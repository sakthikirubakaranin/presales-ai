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ContentType="application/vnd.openxmlformats-officedocument.drawingml.chart+xml" PartName="/xl/charts/chart1.xml"/>
  <Override ContentType="application/vnd.openxmlformats-officedocument.drawingml.chart+xml" PartName="/xl/charts/chart2.xml"/>
  <Override ContentType="application/vnd.openxmlformats-officedocument.drawingml.chart+xml" PartName="/xl/charts/chart3.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1.xml" ContentType="application/vnd.openxmlformats-officedocument.spreadsheetml.comments+xml"/>
  <Override PartName="/xl/drawings/vmlDrawing1.xml" ContentType="application/vnd.openxmlformats-officedocument.vmlDrawing"/>
  <Override ContentType="application/vnd.openxmlformats-officedocument.drawingml.chart+xml" PartName="/xl/charts/chart4.xml"/>
  <Override ContentType="application/vnd.openxmlformats-officedocument.drawingml.chart+xml" PartName="/xl/charts/chart5.xml"/>
  <Override PartName="/xl/drawings/drawing2.xml" ContentType="application/vnd.openxmlformats-officedocument.drawing+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Deals Won (Live update)" r:id="rId1" sheetId="1"/>
    <sheet name="January" r:id="rId2" sheetId="2"/>
    <sheet name="February" r:id="rId3" sheetId="3"/>
    <sheet name="March" r:id="rId4" sheetId="4"/>
    <sheet name="April" r:id="rId5" sheetId="5"/>
    <sheet name="May" r:id="rId6" sheetId="6"/>
    <sheet name="June" r:id="rId7" sheetId="7"/>
    <sheet name="July" r:id="rId8" sheetId="8"/>
    <sheet name="August" r:id="rId9" sheetId="9"/>
    <sheet name="September" r:id="rId10" sheetId="10"/>
    <sheet name="October" r:id="rId11" sheetId="11"/>
    <sheet name="November" r:id="rId12" sheetId="12"/>
    <sheet name="December" r:id="rId13" sheetId="13"/>
    <sheet name="No Show Stats" r:id="rId14" sheetId="14"/>
    <sheet name="Demo Report" r:id="rId15" sheetId="15"/>
    <sheet name="Feature Requests" r:id="rId16" sheetId="16"/>
    <sheet name="Enterprise features" r:id="rId17" sheetId="17"/>
    <sheet name="Custom plan" r:id="rId18" sheetId="18"/>
  </sheets>
  <extLst/>
</workbook>
</file>

<file path=xl/comments1.xml><?xml version="1.0" encoding="utf-8"?>
<comments xmlns="http://schemas.openxmlformats.org/spreadsheetml/2006/main">
  <authors>
    <author/>
  </authors>
  <commentList>
    <comment ref="E6" authorId="0">
      <text>
        <t xml:space="preserve">Includes only new prospects for that month
</t>
      </text>
    </comment>
    <comment ref="I6" authorId="0">
      <text>
        <t xml:space="preserve">Conversion % = Deal Won ÷ (Deal Won + Deal Lost + In Progress)
</t>
      </text>
    </comment>
    <comment ref="J6" authorId="0">
      <text>
        <t xml:space="preserve">Deal Lost % = Deal Lost ÷ (Deal Won + Deal Lost + In-Progress) × 100
</t>
      </text>
    </comment>
    <comment ref="D90" authorId="0">
      <text>
        <t xml:space="preserve">only new prospects
</t>
      </text>
    </comment>
    <comment ref="H151" authorId="0">
      <text>
        <t xml:space="preserve">Deal Won ÷ (Deal Won + Deal Lost + In Progress) × 100
</t>
      </text>
    </comment>
  </commentList>
</comments>
</file>

<file path=xl/sharedStrings.xml><?xml version="1.0" encoding="utf-8"?>
<sst xmlns="http://schemas.openxmlformats.org/spreadsheetml/2006/main" count="3693" uniqueCount="3693">
  <si>
    <t>WorkDrive Presales - Deals Won (Live Dashboard) - 2026</t>
  </si>
  <si>
    <t>Auto-calculated from all 12 monthly tabs. Mark any row "Deal Won" anywhere including later-month conversions and every figure &amp; chart updates automatically.</t>
  </si>
  <si>
    <t>TOTAL DEALS WON</t>
  </si>
  <si>
    <t>TOTAL DEALS LOST</t>
  </si>
  <si>
    <t>IN PROGRESS</t>
  </si>
  <si>
    <t>WIN RATE</t>
  </si>
  <si>
    <t>DEALS WON BY MONTH (live count per tab)</t>
  </si>
  <si>
    <t>Month</t>
  </si>
  <si>
    <t>Demos Logged</t>
  </si>
  <si>
    <t>Deal Won</t>
  </si>
  <si>
    <t>Deal Lost</t>
  </si>
  <si>
    <t>In Progress</t>
  </si>
  <si>
    <t>Win %</t>
  </si>
  <si>
    <t>January</t>
  </si>
  <si>
    <t>New-Prospect Demos</t>
  </si>
  <si>
    <t>Non-prospects</t>
  </si>
  <si>
    <t>February</t>
  </si>
  <si>
    <t>March</t>
  </si>
  <si>
    <t>April</t>
  </si>
  <si>
    <t>May</t>
  </si>
  <si>
    <t>June</t>
  </si>
  <si>
    <t>July</t>
  </si>
  <si>
    <t>August</t>
  </si>
  <si>
    <t>September</t>
  </si>
  <si>
    <t>October</t>
  </si>
  <si>
    <t>November</t>
  </si>
  <si>
    <t>December</t>
  </si>
  <si>
    <t>TOTAL</t>
  </si>
  <si>
    <t xml:space="preserve">NEW-PROSPECT CONVERSION </t>
  </si>
  <si>
    <t>Conversion %</t>
  </si>
  <si>
    <t>DEALS WON BY REGION</t>
  </si>
  <si>
    <t>Region</t>
  </si>
  <si>
    <t>Deals Won</t>
  </si>
  <si>
    <t>% of Won</t>
  </si>
  <si>
    <t>IN</t>
  </si>
  <si>
    <t>US</t>
  </si>
  <si>
    <t>EMEA</t>
  </si>
  <si>
    <t>EU</t>
  </si>
  <si>
    <t>ANZ</t>
  </si>
  <si>
    <t>APAC</t>
  </si>
  <si>
    <t>LATAM</t>
  </si>
  <si>
    <t>Date</t>
  </si>
  <si>
    <t>Handled by</t>
  </si>
  <si>
    <t>Email address</t>
  </si>
  <si>
    <t>Industry</t>
  </si>
  <si>
    <t>Ticket ID</t>
  </si>
  <si>
    <t>Purpose</t>
  </si>
  <si>
    <t>New requirements</t>
  </si>
  <si>
    <t>Current Platform</t>
  </si>
  <si>
    <t>Existing data size</t>
  </si>
  <si>
    <t>Follow up stages</t>
  </si>
  <si>
    <t>PSE Creation</t>
  </si>
  <si>
    <t>Source</t>
  </si>
  <si>
    <t>Engagement Type</t>
  </si>
  <si>
    <t>Trial sign up</t>
  </si>
  <si>
    <t>Status</t>
  </si>
  <si>
    <t>Deal Size</t>
  </si>
  <si>
    <t>Revenue</t>
  </si>
  <si>
    <t>Suggested/purchased edition</t>
  </si>
  <si>
    <t>Notes</t>
  </si>
  <si>
    <t>Demo Recording</t>
  </si>
  <si>
    <t>Sales Notes from CRM</t>
  </si>
  <si>
    <t>Sprint link</t>
  </si>
  <si>
    <t>Sakthi</t>
  </si>
  <si>
    <t>umesh.shringi@allen.in</t>
  </si>
  <si>
    <t>Education</t>
  </si>
  <si>
    <r>
      <t>#</t>
    </r>
    <r>
      <t>152989037</t>
    </r>
  </si>
  <si>
    <t>Workplace prospect looking for Trial migration of Google Workspace to WorkDrive and had a few queries on WorkDrive. Helped them complete the test migration.</t>
  </si>
  <si>
    <t>Google WorkSpace</t>
  </si>
  <si>
    <t>Do not follow</t>
  </si>
  <si>
    <t>Internally Looped</t>
  </si>
  <si>
    <t>New Prospect</t>
  </si>
  <si>
    <t>POC</t>
  </si>
  <si>
    <t>WP flexi</t>
  </si>
  <si>
    <t>Customer Plan
Mail Flexible Plan - 7000 Flexi - Workplace Standard 10gb, 1000 Flexi - Workplace Professional 10gb</t>
  </si>
  <si>
    <t>No notes</t>
  </si>
  <si>
    <t>Janani</t>
  </si>
  <si>
    <r>
      <t>itsupport@kurumgroup.com</t>
    </r>
  </si>
  <si>
    <t>Consulting</t>
  </si>
  <si>
    <r>
      <t>#</t>
    </r>
    <r>
      <t>149943032</t>
    </r>
  </si>
  <si>
    <t xml:space="preserve">Prospect is looking for Sign up for Zoho One 
He already had a session regarding integrating between CRM and WorkDrive and automating features for contacts and creating folders in WorkDrive </t>
  </si>
  <si>
    <t>Document reminder</t>
  </si>
  <si>
    <t>System Server</t>
  </si>
  <si>
    <t>WD support - Chat/Call/Mail</t>
  </si>
  <si>
    <t>Yes</t>
  </si>
  <si>
    <t>Zoho One</t>
  </si>
  <si>
    <t>https://workdrive.zoho.in/file/p7iy5e93d0127862f421ebd7bacb82bd32f95</t>
  </si>
  <si>
    <r>
      <t xml:space="preserve">Document Reminder
</t>
    </r>
    <r>
      <t>https://sprints.zoho.in/workspace/zdocs#P15/itemdetails/I7129</t>
    </r>
  </si>
  <si>
    <t>Jennifer</t>
  </si>
  <si>
    <t>ryan.collins@lsa.inc</t>
  </si>
  <si>
    <t>Language Service Associates</t>
  </si>
  <si>
    <t>#153244173</t>
  </si>
  <si>
    <t>Currently using Egnyte; facing upload/download action limits with additional costs. Looking for a DMS with no action-based limits, secure file sharing and collection from clients, and smooth collaboration for team members.</t>
  </si>
  <si>
    <t>Egnyte</t>
  </si>
  <si>
    <t>&lt; 3 TB</t>
  </si>
  <si>
    <t>Sales follow up 3</t>
  </si>
  <si>
    <t>PSE541721</t>
  </si>
  <si>
    <t>WorkDrive - Book a Demo (direct)</t>
  </si>
  <si>
    <t>No</t>
  </si>
  <si>
    <t xml:space="preserve">Team </t>
  </si>
  <si>
    <t>Price quote is sent in the last mail from the sales team</t>
  </si>
  <si>
    <t xml:space="preserve">No recording </t>
  </si>
  <si>
    <t>Thank you for following up. We do appreciate your time demonstrating your platform and answering any questions we had. Ultimately, we have decided to pursue other vendors that are based in the United States for compliance reasons.</t>
  </si>
  <si>
    <t>mayank.kumar@psb.bank.i</t>
  </si>
  <si>
    <t>Banking</t>
  </si>
  <si>
    <r>
      <t>#</t>
    </r>
    <r>
      <t>153227159</t>
    </r>
  </si>
  <si>
    <t>1. They were looking for replacement for MS Teams, Outlook, OneDrive and they are currently using WhatsApp for internal communication.
&gt;&gt; Suggested Workplace. Gave a quick overview of Workplace.</t>
  </si>
  <si>
    <t>MS Office 365</t>
  </si>
  <si>
    <t>Rohith</t>
  </si>
  <si>
    <t>studio.nkpr@gmail.com</t>
  </si>
  <si>
    <t>Media</t>
  </si>
  <si>
    <t>#106824933</t>
  </si>
  <si>
    <t>The user had already evaluated WorkDrive in May 2025 and confirmed their decision to proceed.
They wanted clarity on the differences between WorkDrive standalone plans and the Workplace bundle.</t>
  </si>
  <si>
    <t>1. Custom roles &amp; permission 
2. AutoCAD file integration features.</t>
  </si>
  <si>
    <t>Google personal Drive</t>
  </si>
  <si>
    <t>Follow up 1</t>
  </si>
  <si>
    <t>PSE542077</t>
  </si>
  <si>
    <t>From Sales End</t>
  </si>
  <si>
    <t>WP (Professional)</t>
  </si>
  <si>
    <t xml:space="preserve">Connected via direct call </t>
  </si>
  <si>
    <r>
      <t>1. Custom Roles &amp;  Permissions</t>
    </r>
    <r>
      <t>https://sprints.zoho.in/workspace/zdocs#P15/itemdetails/I7130</t>
    </r>
    <r>
      <t xml:space="preserve">
2. Auto CAD integration.
</t>
    </r>
    <r>
      <t>https://sprints.zoho.in/workspace/zdocs#P15/itemdetails/I7451</t>
    </r>
  </si>
  <si>
    <t>amith@tbkmetalksa.com</t>
  </si>
  <si>
    <t xml:space="preserve">Architectural </t>
  </si>
  <si>
    <t>#152590768</t>
  </si>
  <si>
    <t>Demo on Workflows</t>
  </si>
  <si>
    <t>Sales follow up 2</t>
  </si>
  <si>
    <t>PSE542080</t>
  </si>
  <si>
    <t>Business</t>
  </si>
  <si>
    <t>Connected via assist</t>
  </si>
  <si>
    <r>
      <t>hareshkapadiya@torrentgas.com</t>
    </r>
  </si>
  <si>
    <t>Manufacturing</t>
  </si>
  <si>
    <r>
      <t>#</t>
    </r>
    <r>
      <t>153216701</t>
    </r>
  </si>
  <si>
    <t xml:space="preserve">Prospect is looking for an overview on how to use WorkDrive
He have signed up for Trial edition, and wanted to share his screen and know the features on </t>
  </si>
  <si>
    <t>Suspended</t>
  </si>
  <si>
    <t>Starter</t>
  </si>
  <si>
    <t>https://workdrive.zoho.in/file/wqwyd1273f93c995e4f08a3d4a3143c4e84bd</t>
  </si>
  <si>
    <t xml:space="preserve">Ringed and no response over mails/calls </t>
  </si>
  <si>
    <r>
      <t xml:space="preserve"> </t>
    </r>
    <r>
      <t>himadri.roy@havrokconsulting.com</t>
    </r>
  </si>
  <si>
    <r>
      <t>#</t>
    </r>
    <r>
      <t>153236632</t>
    </r>
  </si>
  <si>
    <t xml:space="preserve">Prospect is looking for an alternate to Sharepoint in Zoho 
To store and have a collaboration space </t>
  </si>
  <si>
    <t>OneDrive</t>
  </si>
  <si>
    <t>https://workdrive.zoho.in/file/wqwyd0024438bdc594cfe902be9d1abffd67e</t>
  </si>
  <si>
    <t>abhijeet.dey@sedemac.com</t>
  </si>
  <si>
    <r>
      <t>#</t>
    </r>
    <r>
      <t>153282485</t>
    </r>
  </si>
  <si>
    <t>They are currently using PLM application to manager their files internally.</t>
  </si>
  <si>
    <t>In their existing PLM, they extensively use Major and Minor Version control.
&gt;&gt; It is highly crucial for them to have numeric patter link 1.0, 1.1, 1.2,1.3 ….so on and then 2.0, 2.1, 2.2. instead of directly providing 1.0, 2.0, 3.0.
&gt;&gt; An option to create minor versions is very critical for their organization. They want an option to manually add minor versions when and where required while checking in a file. Please advise on this feature requirement.</t>
  </si>
  <si>
    <t>PLM</t>
  </si>
  <si>
    <t xml:space="preserve">As we are unable to provide major and minor versioing, we lost this deal. We have also followed up mentioning that we have started working on supporting major and minor versioning. The prospect is yet to get back. </t>
  </si>
  <si>
    <t>https://workdrive.zoho.in/file/zhubf035eb27aad4042309c8465d67c4437e2</t>
  </si>
  <si>
    <t xml:space="preserve">Sorry for reaching out to you late.
After my discussion with the team, we have decided not to go ahead at this time. There are some basic features we require that are currently not present in Zoho WorkDrive.
Thank you for your time and for sharing the proposal. </t>
  </si>
  <si>
    <r>
      <t>Minor &amp; Major versioning:</t>
    </r>
    <r>
      <t>https://sprints.zoho.in/workspace/zdocs#P15/itemdetails/I7166</t>
    </r>
  </si>
  <si>
    <t>cyuhasz@povprint.com</t>
  </si>
  <si>
    <t>Arts</t>
  </si>
  <si>
    <t>#153293231</t>
  </si>
  <si>
    <t>They need a centralized space to store large files, with the ability to link those files to the corresponding contacts in Zoho CRM.</t>
  </si>
  <si>
    <t>NO PSE</t>
  </si>
  <si>
    <t>Existing Paid Cx</t>
  </si>
  <si>
    <t>Existing user</t>
  </si>
  <si>
    <t>Existing customer</t>
  </si>
  <si>
    <t>ry1071220@gmail.com</t>
  </si>
  <si>
    <t>Education institution</t>
  </si>
  <si>
    <t>#153303861</t>
  </si>
  <si>
    <t>They have a team of fewer than 100 members and need a centralized system to collect individual user information along with related documents. The data includes form-based details and multiple file formats such as Word documents, PDFs, images, and PPTs. Each user should have their own account to upload documents, which must go through a review process. Administrators with appropriate permissions should be able to access, review, and download all submitted files.</t>
  </si>
  <si>
    <t>None</t>
  </si>
  <si>
    <t>-</t>
  </si>
  <si>
    <t>PSE543061</t>
  </si>
  <si>
    <t>10 to 40</t>
  </si>
  <si>
    <t>https://workdrive.zoho.in/file/6ejm19e307182791b490eb753d9252950f3a1</t>
  </si>
  <si>
    <t>no response closing mail sent.</t>
  </si>
  <si>
    <t>dreamloan@centum.ca</t>
  </si>
  <si>
    <t>Finance</t>
  </si>
  <si>
    <t>#153320978</t>
  </si>
  <si>
    <t>Cloud space to store documents</t>
  </si>
  <si>
    <t>Follow up 3</t>
  </si>
  <si>
    <t>No Response from cx</t>
  </si>
  <si>
    <t>https://workdrive.zoho.in/file/6ejm161f9a100fe264c1895dcfdbd51fb907b</t>
  </si>
  <si>
    <t>sukkunmst@gmail.com</t>
  </si>
  <si>
    <t>Tax</t>
  </si>
  <si>
    <t>#153338612</t>
  </si>
  <si>
    <t>They handle sensitive client tax data and are looking for a secure cloud-based document storage solution. Employees should be able to work on and edit assigned documents, but should not be allowed to download, copy, or externally share those files.</t>
  </si>
  <si>
    <t>Custom roles</t>
  </si>
  <si>
    <r>
      <rPr>
        <b/>
        <sz val="10"/>
        <rFont val="Roboto"/>
      </rPr>
      <t>opagarwalandco@gmail.com</t>
    </r>
  </si>
  <si>
    <r>
      <t>#</t>
    </r>
    <r>
      <t>153228475</t>
    </r>
  </si>
  <si>
    <t xml:space="preserve">Prospect is looking to backup data from system to cloud </t>
  </si>
  <si>
    <t>Sales follow up 1</t>
  </si>
  <si>
    <t>https://workdrive.zoho.in/file/ws66nb104dded9b5a4e2dacfa3b077d0a9bd0</t>
  </si>
  <si>
    <t xml:space="preserve">No response </t>
  </si>
  <si>
    <r>
      <t>lakshmi@scas.co.in</t>
    </r>
  </si>
  <si>
    <t>#153274008</t>
  </si>
  <si>
    <t>Prospect was looking for cloud storage platform, that helps their clients to login and get access to the files and folders</t>
  </si>
  <si>
    <t>https://workdrive.zoho.in/file/ws66n691a44bcfced4099b76b8ee87659dbf0</t>
  </si>
  <si>
    <t>waiting for their management approvals</t>
  </si>
  <si>
    <r>
      <t>pankajramol@almamet.com</t>
    </r>
  </si>
  <si>
    <t>Logistics</t>
  </si>
  <si>
    <r>
      <t>#</t>
    </r>
    <r>
      <t>148152614</t>
    </r>
  </si>
  <si>
    <t>Prospect had demo previously last year wanted to know about the product once again</t>
  </si>
  <si>
    <t>Deal won in May month</t>
  </si>
  <si>
    <t>https://workdrive.zoho.in/file/ws66nc4bb16b99a164d7bba22684a0d48aebc</t>
  </si>
  <si>
    <t>finance@tuljaihr.com</t>
  </si>
  <si>
    <t>Accounting</t>
  </si>
  <si>
    <t>#153329888</t>
  </si>
  <si>
    <t xml:space="preserve">They are a startup business. They are using LAN to connect their laptops.
2. They want to know if Truesync can be used to sync contents in one laptop to another, where both the laptop belongs to the same user. </t>
  </si>
  <si>
    <t>dineshk@foodbuddies.in</t>
  </si>
  <si>
    <t xml:space="preserve">Food production </t>
  </si>
  <si>
    <t>#153288747</t>
  </si>
  <si>
    <t>They are currently using the Microsoft platform and facing challenges with storage allocation. As a result, they are exploring an alternative solution with better storage flexibility and collaboration capabilities.</t>
  </si>
  <si>
    <t>1TB</t>
  </si>
  <si>
    <t>Free User</t>
  </si>
  <si>
    <t>manimaran.g@eduvanta.ai</t>
  </si>
  <si>
    <t>#153090179</t>
  </si>
  <si>
    <t>Query in Zoho WorkDrive</t>
  </si>
  <si>
    <t>https://workdrive.zoho.in/file/f48vvd7cb0f09c40e4251818ceb1060b793ac</t>
  </si>
  <si>
    <t>karthik@deducetech.com</t>
  </si>
  <si>
    <t>Location Content and Maps Industry</t>
  </si>
  <si>
    <t>#153267281</t>
  </si>
  <si>
    <t>They are looking for a cloud storage solution to support daily data transfers from Mexico to India. The expected upload volume is around 600–800 GB per day. The data will be downloaded to their NAS at the Bangalore location and then deleted from the cloud, so the requirement is primarily for high-volume, short-term data transfer with reliability and performance.</t>
  </si>
  <si>
    <t>2TB</t>
  </si>
  <si>
    <t>https://workdrive.zoho.in/file/f48vv5fb9145b6e0a46eba97dfa74f321bb1b</t>
  </si>
  <si>
    <t>info@tangoshieldsecurity.com</t>
  </si>
  <si>
    <t xml:space="preserve">IT security </t>
  </si>
  <si>
    <t>#153360663</t>
  </si>
  <si>
    <t>They are an MSP supporting a global distribution client, they are looking for a WorkDrive-focused demo covering strong admin-level control and security policies for BYOD users, integration with Zoho One and third-party systems such as ERP and WMS, encrypted file sharing with detailed audit trails for compliance, geo-restricted access and DLP use cases, and scalable storage with reliable multi-region performance. They also requested examples aligned with high-volume document management and regulated environments such as FedRAMP, HIPAA, and GDPR.</t>
  </si>
  <si>
    <t>https://workdrive.zoho.in/file/6ejm18c85937609b349a0bd9fa53826adc669</t>
  </si>
  <si>
    <t>systemengineer@niperhajipur.ac.in</t>
  </si>
  <si>
    <t>Government sector</t>
  </si>
  <si>
    <t>#153348227</t>
  </si>
  <si>
    <t>1. Their primary requirement is to have a Workflow set up for the below mentioned use-case:
&gt;&gt; They want to trigger a workflow of approval for their purchase orders and other kinds of documents from:
Administrative Officer-&gt; Registrar-&gt; Dean-&gt; Sometimes to HOD for inputs-&gt; Director</t>
  </si>
  <si>
    <t>https://workdrive.zoho.in/file/x4582ce625fce28734c4d9388e7f5e3e02e4b</t>
  </si>
  <si>
    <t>milin.patel@kokuyocamlin.com</t>
  </si>
  <si>
    <r>
      <t>#</t>
    </r>
    <r>
      <t>153385675</t>
    </r>
  </si>
  <si>
    <t>Looking for features like DLP, Access control and team folder based collaboration</t>
  </si>
  <si>
    <t>Logs for Print actions in org-level activity report.</t>
  </si>
  <si>
    <t>https://workdrive.zoho.in/file/l4d7771c8b8a0ee8b4c07b59c6700fbe0ccbc</t>
  </si>
  <si>
    <r>
      <t xml:space="preserve">Print logs in activity report:
</t>
    </r>
    <r>
      <t>https://sprints.zoho.in/workspace/zdocs#P15/itemdetails/I7459</t>
    </r>
  </si>
  <si>
    <r>
      <t>katearf@hotmail.co</t>
    </r>
    <r>
      <t>m</t>
    </r>
  </si>
  <si>
    <r>
      <t>#</t>
    </r>
    <r>
      <t>153382549</t>
    </r>
  </si>
  <si>
    <t xml:space="preserve">Prospect is looking for an alternate to DropBox 
And primary requirement is to share and collaborate with external users </t>
  </si>
  <si>
    <t>https://workdrive.zoho.in/file/l4d77cdc4bc7e500b42bba65e3e67c24e05ea</t>
  </si>
  <si>
    <r>
      <t>mrunalini.hr@mecpl.in</t>
    </r>
  </si>
  <si>
    <t>construction</t>
  </si>
  <si>
    <r>
      <t>#</t>
    </r>
    <r>
      <t>153385925</t>
    </r>
  </si>
  <si>
    <t xml:space="preserve">Primary requirement is to replace Google Sheet in Zoho
Since sales team suggested it is not possible to collaborate only with Zoho Sheet sign up, </t>
  </si>
  <si>
    <t>https://workdrive.zoho.in/file/l4d77f7b0389ece7a4be3a0c7a3a462c09d3c</t>
  </si>
  <si>
    <r>
      <t>md.arif@imoneypay.in</t>
    </r>
  </si>
  <si>
    <t>financial services</t>
  </si>
  <si>
    <r>
      <t>#</t>
    </r>
    <r>
      <t>153322758</t>
    </r>
  </si>
  <si>
    <t xml:space="preserve">Prospect is looking for Zoho apps in common as they are Indian made and mainly a DLP solution </t>
  </si>
  <si>
    <t>- DLP feature, whether it is available as standalone in Zoho same an microsfot purvie</t>
  </si>
  <si>
    <t>Not confirmed</t>
  </si>
  <si>
    <t>https://workdrive.zoho.in/file/ws66n64d3e72d3dd14e6bbeba404ea19e48d1</t>
  </si>
  <si>
    <r>
      <t>hemstoneomondi5@gmail.com</t>
    </r>
  </si>
  <si>
    <r>
      <t>#</t>
    </r>
    <r>
      <t>153349646</t>
    </r>
  </si>
  <si>
    <t xml:space="preserve">Prospect has already signed up for Trial edition and wanted to explore all the features in Zoho WorkDrive </t>
  </si>
  <si>
    <t xml:space="preserve">Zoho One lead </t>
  </si>
  <si>
    <t>https://workdrive.zoho.in/file/ws66n48004e8458ff438696f2365cc533f55b</t>
  </si>
  <si>
    <t>prashant.kumar@omnioffshore.com</t>
  </si>
  <si>
    <t>marine &amp; offshore oil services</t>
  </si>
  <si>
    <r>
      <t>#</t>
    </r>
    <r>
      <t>102351238</t>
    </r>
  </si>
  <si>
    <t>Prospect is looking for an We are looking for an online document management system for our project team. Almost all project documents are in pdf format. The solution should be able to handle commenting and review of pdf documents.</t>
  </si>
  <si>
    <t xml:space="preserve">- He wanted to see if we can have comment export feature 
- Export the document workflow status on track workflow page 
So that they can have reports of all the file that has been gone through reviewal and approval process 
OR 
On every approval and reviewal process, is it possible to add a stamp once the review or approval gets completed </t>
  </si>
  <si>
    <t>https://workdrive.zoho.in/file/ws66ned19fb2bc802423c8fcbd6d1a77af93b</t>
  </si>
  <si>
    <t>The team is actively testing the system now using a trial account. We should have an outcome in a few days., I am sorry to inform that the final decision was not in your favour. I really wanted to move to Zoho WorkDrive but could not convince the engineering team.</t>
  </si>
  <si>
    <t>nidhi@gepathways.com.au</t>
  </si>
  <si>
    <t>Overseas education</t>
  </si>
  <si>
    <t>#151471225</t>
  </si>
  <si>
    <t>They have a distributed team working from multiple locations and need a centralized document repository. Currently, files are stored on individual machines, which has resulted in duplication, version confusion, and difficulty collaborating across teams.</t>
  </si>
  <si>
    <t>Local Drive</t>
  </si>
  <si>
    <t>Follow up 2</t>
  </si>
  <si>
    <t>PSE543164</t>
  </si>
  <si>
    <t>https://workdrive.zoho.in/file/l4d7742e2fd04bdaf4e4793aa54788af17d08</t>
  </si>
  <si>
    <t>trs@zengroupindia.com</t>
  </si>
  <si>
    <t>1. They were currently using hard-disk to manage their files. Accessibility was their primary concern.
2. They have requested for Workflow feature where they want to send document to multiple approvers.</t>
  </si>
  <si>
    <t>https://workdrive.zoho.in/file/l4d77229e30639a8c4f628b69b68db7826a5d</t>
  </si>
  <si>
    <t>advbhagat@zohomail.in</t>
  </si>
  <si>
    <t>Personal use</t>
  </si>
  <si>
    <t>#153404681</t>
  </si>
  <si>
    <t>Queries on Zoho Writer and WorkDrive</t>
  </si>
  <si>
    <t>Google Drive</t>
  </si>
  <si>
    <t>premchand4892@gmail.com</t>
  </si>
  <si>
    <t>Consultant</t>
  </si>
  <si>
    <t>#153030903</t>
  </si>
  <si>
    <t>They are looking for a spreadsheet tool to manage client details such as name, email, and other information.</t>
  </si>
  <si>
    <t xml:space="preserve">While locking the cell, copy action should be restricted </t>
  </si>
  <si>
    <t>manickavalli@gmail.com</t>
  </si>
  <si>
    <t>Unknown</t>
  </si>
  <si>
    <t>#153385007</t>
  </si>
  <si>
    <t>They are using Google Drive and OneDrive to manage their documents from desktop version, however they have challenges with simultaneous syncing process. Plus they are looking to maintain their private files separately and have desktop app that does not take up the system storage.</t>
  </si>
  <si>
    <t>Google Drive and OneDrive</t>
  </si>
  <si>
    <t>~200 GB</t>
  </si>
  <si>
    <t>PSE543282</t>
  </si>
  <si>
    <t>https://workdrive.zoho.in/file/kdqtxe1f50aa9bb484e7e945d487af9fa6616</t>
  </si>
  <si>
    <t>contact@theanant.in</t>
  </si>
  <si>
    <t>#153333592</t>
  </si>
  <si>
    <t>Work Drive, WorkSpace, Biomatric &amp; Attendance, Work Space - App</t>
  </si>
  <si>
    <t>WP  (Standard)</t>
  </si>
  <si>
    <t>https://workdrive.zoho.in/file/x3dyzcd408f3ba3cb4bca9e33b7185d830bf4</t>
  </si>
  <si>
    <r>
      <t xml:space="preserve"> </t>
    </r>
    <r>
      <t>kesar240391@gmail.com</t>
    </r>
  </si>
  <si>
    <t>Personal</t>
  </si>
  <si>
    <r>
      <t>#</t>
    </r>
    <r>
      <t>153445929</t>
    </r>
  </si>
  <si>
    <t xml:space="preserve">Prospect is looking for an overview on WorkDrive and the features </t>
  </si>
  <si>
    <t>https://workdrive.zoho.in/file/x3dyz7ce9c57c565942d6be20aabbf0fb4f54</t>
  </si>
  <si>
    <t>wlfoundation@outlook.com</t>
  </si>
  <si>
    <t>NGO</t>
  </si>
  <si>
    <t>#153394548</t>
  </si>
  <si>
    <t>They are looking for a centralized cloud storage solution to manage data across all project locations, with real-time access for the Hyderabad head office as files are uploaded. They also require controlled folder access per project/location, detailed activity tracking (uploads, edits, moves, and sharing), and an affordable pricing model, preferably with NGO-specific discounts</t>
  </si>
  <si>
    <t>DY box</t>
  </si>
  <si>
    <t>https://workdrive.zoho.in/file/k5iz65300f78e357e4ed2af76077fab7957a4</t>
  </si>
  <si>
    <t>Queries in Zoho WorkDrive</t>
  </si>
  <si>
    <t>PSE543884</t>
  </si>
  <si>
    <t>Already Engaged Px</t>
  </si>
  <si>
    <t>mohammed.wedaa@alqasabi.sa</t>
  </si>
  <si>
    <t>Constructions</t>
  </si>
  <si>
    <t>#152978135</t>
  </si>
  <si>
    <t>The customer is looking for a centralized document management system to manage all project-related files with controlled access at both folder and subfolder levels. They need clearly defined review and approval workflows involving contractors, consultants, and clients, along with strong version control and complete audit trails. Approved documents should be locked to prevent further edits, and they require document logs (such as drawing registers) to track approvals and document history. Additionally, they need powerful search capabilities to manage large volumes of files and scalable storage that can be expanded as the project grows.</t>
  </si>
  <si>
    <t>PSE543890</t>
  </si>
  <si>
    <t>https://workdrive.zoho.in/file/k5iz639d8b63eb02e4db7beefe4945ab0b613</t>
  </si>
  <si>
    <t>Sales followed up in mail</t>
  </si>
  <si>
    <t>nagesh.dhumma@dhummaconsulting.com</t>
  </si>
  <si>
    <t>Consulting Services</t>
  </si>
  <si>
    <t>#152928511</t>
  </si>
  <si>
    <t>They are looking for a combined project and document management solution. Their key needs include centralized document storage with controlled access to files, clear visibility into team progress, and the ability to collaborate seamlessly with team members in Germany. They also require easy access to files and updates from both desktop and mobile devices.</t>
  </si>
  <si>
    <t xml:space="preserve">Trello </t>
  </si>
  <si>
    <t>1.5TB</t>
  </si>
  <si>
    <t>PSE543898</t>
  </si>
  <si>
    <t>https://workdrive.zoho.in/file/k5iz6d47bfeadc843479cb9f6a6ef4c7b9688</t>
  </si>
  <si>
    <t>info@yunikaainternational.com</t>
  </si>
  <si>
    <t>Metal trade &amp; export</t>
  </si>
  <si>
    <t>#152829390</t>
  </si>
  <si>
    <t>The customer is currently on the Zoho Mail Premium plan with 8 users and wanted to check if it’s possible to upgrade to the Zoho Workplace plan for only a few users.</t>
  </si>
  <si>
    <t>Upgrade team is already in touch with cx</t>
  </si>
  <si>
    <r>
      <t xml:space="preserve"> </t>
    </r>
    <r>
      <t>jsrit.sapfico@gmail.com</t>
    </r>
  </si>
  <si>
    <r>
      <t>#</t>
    </r>
    <r>
      <t>153531599</t>
    </r>
  </si>
  <si>
    <t>One user need
To store files and folder in cloud and share</t>
  </si>
  <si>
    <t>https://workdrive.zoho.in/file/x3dyzc65ad2317f134ce9afa771c10ace1a61</t>
  </si>
  <si>
    <t>anil_baheti@yahoo.com</t>
  </si>
  <si>
    <t>#153481993</t>
  </si>
  <si>
    <t>They are looking for a one-stop solution to manage the IT needs of a team of 20+ employees. This includes access-controlled cloud storage, structured folder and file management, a backup solution, email management, an office suite with collaboration capabilities, and document workflows. They are also open to exploring finance and HR modules as part of a unified ecosystem.</t>
  </si>
  <si>
    <t>NAS Drive</t>
  </si>
  <si>
    <t>PSE544205</t>
  </si>
  <si>
    <t>Zoho Workplace team is following up with the cx</t>
  </si>
  <si>
    <t>https://workdrive.zoho.in/file/sxt59a78d85db2972446aa16f714560addb8e</t>
  </si>
  <si>
    <t>cx evaluating other bundle solutions as well , spoke with him got me informed that he will be conclude whether he will move with workdrive , or bundle solution</t>
  </si>
  <si>
    <t>akrofficehyd2@gmail.com</t>
  </si>
  <si>
    <t>#150834398</t>
  </si>
  <si>
    <t>They are using physical servers to host their files which is difficult as it comes only to access from office, so they are looking for a cloud based DMS, with activity tracking, versions.</t>
  </si>
  <si>
    <t>Physical Drive</t>
  </si>
  <si>
    <t>https://workdrive.zoho.in/file/0ylba501b825d1c2348dcb87216692a38e04a</t>
  </si>
  <si>
    <t>harsh@digisidekick.com</t>
  </si>
  <si>
    <t>Digital marketing</t>
  </si>
  <si>
    <t>#153530877</t>
  </si>
  <si>
    <t>They are currently using Dropbox and are facing challenges with storage allocation. As a result, they are exploring alternative solutions that offer better storage management and flexibility.</t>
  </si>
  <si>
    <t>Dropbox</t>
  </si>
  <si>
    <t>https://workdrive.zoho.in/file/sxt59ece227945feb408b9914dce7aae25bf4</t>
  </si>
  <si>
    <t>tom@melsqatar.com</t>
  </si>
  <si>
    <t>lighting design and supply</t>
  </si>
  <si>
    <t>#153325409</t>
  </si>
  <si>
    <t>They work on lighting design and supply projects and are currently facing challenges due to manual approval processes involving printed documents and physical signatures. They are looking for a centralized document repository with structured workflows to streamline approvals and improve efficiency.</t>
  </si>
  <si>
    <t>Sign integration in Workflows</t>
  </si>
  <si>
    <t>PSE544299</t>
  </si>
  <si>
    <t>https://workdrive.zoho.in/file/sxt59a0c82d3793244ee2bef81beb04596304</t>
  </si>
  <si>
    <t>Already provided via custom function</t>
  </si>
  <si>
    <t>wajeeh070@hotmail.com</t>
  </si>
  <si>
    <t>#153593444</t>
  </si>
  <si>
    <t>They have been hosting their files in local storage and looking for a centralised space to save their data. They have been using Zoho Books for few years, which made them to check workdrive as well.</t>
  </si>
  <si>
    <t>https://workdrive.zoho.in/file/nybji77e8d9d6ff2f4b2ba5e37046790a083e</t>
  </si>
  <si>
    <r>
      <t xml:space="preserve"> </t>
    </r>
    <r>
      <t>satish@forecoreprofessionals.com</t>
    </r>
  </si>
  <si>
    <r>
      <t>#</t>
    </r>
    <r>
      <t>153655491</t>
    </r>
  </si>
  <si>
    <t xml:space="preserve"> Need cloud based storage to work on files with real time sync, archival, retrival, on-the-go access like Dropbox for storage of ~1TB. Total team size ~15 persons</t>
  </si>
  <si>
    <t>https://workdrive.zoho.in/file/x3dyz1978a7d81b9546838170dbe2d85a26f2</t>
  </si>
  <si>
    <t>utkarshsarkar2207@gmail.com</t>
  </si>
  <si>
    <t>Interior Design</t>
  </si>
  <si>
    <t>#153510062</t>
  </si>
  <si>
    <t>They have been using Zoho Mail, and are looking for data management, where they would like to keep an eye on not all members having the option to delete a file, admins should have overall control.</t>
  </si>
  <si>
    <t>Local Servers</t>
  </si>
  <si>
    <r>
      <t xml:space="preserve">activated in the email addres - </t>
    </r>
    <r>
      <t>info@bywordhr.com</t>
    </r>
  </si>
  <si>
    <t>No recording - missed to record</t>
  </si>
  <si>
    <t>vikas@civilarch.in</t>
  </si>
  <si>
    <t>Construction</t>
  </si>
  <si>
    <r>
      <t>#</t>
    </r>
    <r>
      <t>153715387</t>
    </r>
  </si>
  <si>
    <t xml:space="preserve">Prospect was looking for cloud storage to store data, provide access to files and folders for their internal team members to edit and collaborate </t>
  </si>
  <si>
    <t>https://workdrive.zoho.in/file/x3dyz5924d8eed1684f8087c6e5ea3a082c39</t>
  </si>
  <si>
    <t>utkarsh.chhiber@stayvista.com</t>
  </si>
  <si>
    <t>Tourism</t>
  </si>
  <si>
    <r>
      <t>#</t>
    </r>
    <r>
      <t>153018670</t>
    </r>
  </si>
  <si>
    <t>1. They were extensive users of Google AppScript. They wanted to link the data generated from Redash in Zoho Sheet for every 2 hours.</t>
  </si>
  <si>
    <t>https://workdrive.zoho.in/file/pu62r8fcd7c11c1964687b5fe551b7580a65d</t>
  </si>
  <si>
    <t>stacey.dias@safeprofire.com</t>
  </si>
  <si>
    <t>Public Safety</t>
  </si>
  <si>
    <r>
      <t>#</t>
    </r>
    <r>
      <t>153456241</t>
    </r>
  </si>
  <si>
    <t>1. They are fire extinguisher manufacturer, looking to digitise their hardcopies to soft copies.
2. They have departments for Sales, invoices and purchases. They want to have repository for each of their departments along with role based access control.</t>
  </si>
  <si>
    <t>The prospect wants to make use of Data templates in Starter edition. As we have plans to enable Data Templates for all plans, when are we going to implement this?</t>
  </si>
  <si>
    <t>https://workdrive.zoho.in/file/pu62r16b26ea9fde3485abadd9352ec500b65</t>
  </si>
  <si>
    <t>anthony@archerinstitute.edu.au</t>
  </si>
  <si>
    <r>
      <t>#</t>
    </r>
    <r>
      <t>153850562</t>
    </r>
  </si>
  <si>
    <t>Would like to know 1. do you have an all in one solution ( drive, CRM etc) 2. Zhoho accounting do you have an api intergration We have an existing software program and we would like to integrate the accounting feature. We would like to see if it would be possible to intergreate with our subscription clients</t>
  </si>
  <si>
    <t>No Scope for WD</t>
  </si>
  <si>
    <t>swapnil@cadsaga.com</t>
  </si>
  <si>
    <r>
      <t>#</t>
    </r>
    <r>
      <t>153850649</t>
    </r>
  </si>
  <si>
    <t>Need to take Workdrive subscription for a team of 5</t>
  </si>
  <si>
    <t>salesinfoelecom@gmail.com</t>
  </si>
  <si>
    <t xml:space="preserve">IT </t>
  </si>
  <si>
    <t>#150301978</t>
  </si>
  <si>
    <t>They are currently storing documents on individual users’ machines and want to move everything to the cloud. They had already explored Zoho WorkDrive and, before proceeding with the purchase, wanted a complete walkthrough of the product.</t>
  </si>
  <si>
    <t>Tried calling the cx - call forwarded and not answered - dropping mail for update</t>
  </si>
  <si>
    <t>jalaj.patil@cleantechsynergy.co.in</t>
  </si>
  <si>
    <t>Renewable energy</t>
  </si>
  <si>
    <t>#122128744</t>
  </si>
  <si>
    <t xml:space="preserve">We want to understand all the features of workdrive </t>
  </si>
  <si>
    <t>abhishek.sawant@wysetek.com</t>
  </si>
  <si>
    <t>Information Technology</t>
  </si>
  <si>
    <r>
      <t>#</t>
    </r>
    <r>
      <t>150535108</t>
    </r>
  </si>
  <si>
    <t>1. They have requested for an ETA of Offline Desktop app for Windows. Kirubbha 
2. They wanted to know what would be the maximum rows and columns supported in Zoho Sheet Offline app once the offline feature is rolled out. Kumar Vinay  Tikeshwar Sahu sahu 
3. They also wanted to get early access for a stable Zoho Sheet Windows app, so that they can test importing their existing large sized spreadsheets in Zoho Sheet. When are we providing early access?</t>
  </si>
  <si>
    <t>1000+</t>
  </si>
  <si>
    <t>WP demo, they haven't recorded it.</t>
  </si>
  <si>
    <t>No response to the call and email.</t>
  </si>
  <si>
    <t>niranjan@droneworx.ai</t>
  </si>
  <si>
    <t>Drone Services</t>
  </si>
  <si>
    <t>#2216101</t>
  </si>
  <si>
    <t>Concerning drive, they have been using google drive and looking for no unauthorised downloads to handle their sensitive files, activity stats, better storage to manage their 20-30 GBs of data.</t>
  </si>
  <si>
    <t>20-30 GB</t>
  </si>
  <si>
    <t>WP follow up</t>
  </si>
  <si>
    <t>Workplace team is following up with the prospect</t>
  </si>
  <si>
    <t>https://workdrive.zoho.in/file/x3dyz715f4b84497f46edaecc870b77e48280</t>
  </si>
  <si>
    <t>atharva.garad@digisecureinsurance.com</t>
  </si>
  <si>
    <t xml:space="preserve">Insurance </t>
  </si>
  <si>
    <t>#153840792</t>
  </si>
  <si>
    <t>montana@xydrobe.com</t>
  </si>
  <si>
    <t>#153862456</t>
  </si>
  <si>
    <t>They are a startup, mainly working with slack, pitch and notion. They are looking for a centralised DMS with their team working together on files with the option to access data from different devices. They are also looking to create share links and share with their global clients securely.</t>
  </si>
  <si>
    <t>PSE546472</t>
  </si>
  <si>
    <t>Reason was not mentioned - followed up asking reason for choosing different app</t>
  </si>
  <si>
    <t>https://workdrive.zoho.in/file/rj2346c5c82de6e4449689f4de44ab439087d</t>
  </si>
  <si>
    <r>
      <t>amittatrey@sysfuturetech.com</t>
    </r>
  </si>
  <si>
    <t>IT services and technology</t>
  </si>
  <si>
    <r>
      <t>#</t>
    </r>
    <r>
      <t>153800705</t>
    </r>
  </si>
  <si>
    <t xml:space="preserve">i am looking a backup solution for my client who has 20 user who has company laptop , and they need to take his machine backup on client , per user data around 100 gb . </t>
  </si>
  <si>
    <t>https://workdrive.zoho.in/file/gbhc36319dcda83aa4b31bc7a7efd380c26cb</t>
  </si>
  <si>
    <t>tallulah@harmonicspeech.com</t>
  </si>
  <si>
    <t>Healthcare</t>
  </si>
  <si>
    <t>#153771634</t>
  </si>
  <si>
    <t>They have been using Google Workspace and looking for alternatives with HIPAA compliance. They had challenges with with AI popups and the increased pricing in google drive because of AI, along with their team members complaining with privacy issues with AI (not shared clearly, as she is not completely aware of it)</t>
  </si>
  <si>
    <t>PSE546522</t>
  </si>
  <si>
    <t>https://workdrive.zoho.in/file/rj23467750ac2c0b146519c04e17154d0bfd1</t>
  </si>
  <si>
    <t>kamran@aisharao.com</t>
  </si>
  <si>
    <t xml:space="preserve">Clothing </t>
  </si>
  <si>
    <t>#153840082</t>
  </si>
  <si>
    <t>They are currently using Google Drive, but are facing storage limitations and high costs. They are looking for a more cost-effective storage solution specifically for their design and marketing teams.</t>
  </si>
  <si>
    <t>esdevco.frans@gmail.com</t>
  </si>
  <si>
    <t>#153737714</t>
  </si>
  <si>
    <t>They are a construction company that currently relies heavily on physical paper documents and manual document handling. They are looking to move to a cloud-based solution to automate document storage, reviews, and approval processes.</t>
  </si>
  <si>
    <t>PSE546869</t>
  </si>
  <si>
    <t>no response over call.</t>
  </si>
  <si>
    <t>ravi.patil@tq3travel.com</t>
  </si>
  <si>
    <t>Travels</t>
  </si>
  <si>
    <t>#153905364</t>
  </si>
  <si>
    <t>Best practices on WorkDrive</t>
  </si>
  <si>
    <t>No recording</t>
  </si>
  <si>
    <t>saurabh_patel1212@yahoo.com</t>
  </si>
  <si>
    <t>Individual</t>
  </si>
  <si>
    <t>#153942401</t>
  </si>
  <si>
    <t xml:space="preserve"> Looking WorkDrive for himself at the moment to manage his client files securely in one centralised space. Currently the documents are fragmented and not saved securely, plus since he is planning to scaleup later with 5 user licenses. </t>
  </si>
  <si>
    <t>PSE546910</t>
  </si>
  <si>
    <t>https://workdrive.zoho.in/file/py0o8e3da2744ced44aa4ab8bd831caf3761f</t>
  </si>
  <si>
    <t>chetan.lotlikar@axismf.com</t>
  </si>
  <si>
    <t>Investment Banking</t>
  </si>
  <si>
    <r>
      <t>#</t>
    </r>
    <r>
      <t>153452804</t>
    </r>
  </si>
  <si>
    <t>As MS Office 2016 is at EOL and there is an immediate renewal coming up for MS Office, they are right now looking for a replacement for MS Office and evaluating Zoho Office Suite.</t>
  </si>
  <si>
    <t>Awaiting early access for Zoho Sheet Offline Windows app.</t>
  </si>
  <si>
    <t>Zoho Office Suite Desktop apps</t>
  </si>
  <si>
    <t>Conducted on MS Teams meeting by prospect</t>
  </si>
  <si>
    <t xml:space="preserve">Hello Manoj,
Since we had very short time to evaluate the OEMs, we had to go ahead with Microsoft.
We will get in touch with you if there is any further requirement. </t>
  </si>
  <si>
    <t>rajvishwakarma@railtelindia.com</t>
  </si>
  <si>
    <r>
      <t>#</t>
    </r>
    <r>
      <t>154030990</t>
    </r>
  </si>
  <si>
    <t>Gave a demo on TrueSync and assisted them with migration from OneDrive to WorkDrive</t>
  </si>
  <si>
    <t>Direct Mail to Presales</t>
  </si>
  <si>
    <r>
      <t xml:space="preserve"> </t>
    </r>
    <r>
      <t>christin.casperson@moddule.com</t>
    </r>
  </si>
  <si>
    <t>supply chain and logistics</t>
  </si>
  <si>
    <r>
      <t>#</t>
    </r>
    <r>
      <t>153986127</t>
    </r>
  </si>
  <si>
    <t xml:space="preserve">Prospect was looking to switch from google to Zoho WorkDrive </t>
  </si>
  <si>
    <t>11-50</t>
  </si>
  <si>
    <t>https://workdrive.zoho.in/file/gbhc353e937872afb49cca738bcc3785f9ace</t>
  </si>
  <si>
    <t>Thank you for the follow up. We have decided to stay with our current solution. Thank you again for the demo and information.</t>
  </si>
  <si>
    <t>mark@dunelmpharma.com</t>
  </si>
  <si>
    <t>Pharmacuteical</t>
  </si>
  <si>
    <t>#152022345</t>
  </si>
  <si>
    <t xml:space="preserve">WorkDrive + CRM integration </t>
  </si>
  <si>
    <t>montya@macmai.com</t>
  </si>
  <si>
    <t>Accounts</t>
  </si>
  <si>
    <t>#153973931</t>
  </si>
  <si>
    <t>Demo on true sync app</t>
  </si>
  <si>
    <t>Local drive</t>
  </si>
  <si>
    <t>PSE547330</t>
  </si>
  <si>
    <t>https://workdrive.zoho.in/file/e5ovz4e83f742619d4b3ebf9dd605c9425404</t>
  </si>
  <si>
    <t>Tried reaching the prospect through phone not able to connect hence sent an email to the prospect.</t>
  </si>
  <si>
    <t>lgonzalez@tworld.com</t>
  </si>
  <si>
    <t>Brokerage</t>
  </si>
  <si>
    <t>#153974109</t>
  </si>
  <si>
    <t>They are looking for organized team folders, role-based access control, secure file sharing, and the ability for agents to upload client documents. They also need simple user management options and the ability to immediately remove, access and transfer files when an agent is offboarded.</t>
  </si>
  <si>
    <t>https://workdrive.zoho.in/file/e5ovz844b9dfefec4442c919590fc44906fae</t>
  </si>
  <si>
    <t>deepak.kashyap@go-mmt.com</t>
  </si>
  <si>
    <t>Travel</t>
  </si>
  <si>
    <r>
      <t>#</t>
    </r>
    <r>
      <t>152283842</t>
    </r>
  </si>
  <si>
    <t>1. Existing File Ago user, with existing storage of 200GB.
&gt;&gt; They are primarily using it for External sharing.
&gt;&gt; They are looking for an alternative as there were so many limitations and not scalab</t>
  </si>
  <si>
    <t>FileAgo</t>
  </si>
  <si>
    <t>Onboarding</t>
  </si>
  <si>
    <t>sumit.gupta@remittanceshub.com</t>
  </si>
  <si>
    <t>financial</t>
  </si>
  <si>
    <r>
      <t>#</t>
    </r>
    <r>
      <t>153893952</t>
    </r>
  </si>
  <si>
    <t>Paid Team edition user needed more clarifications on 
- Collect file feature</t>
  </si>
  <si>
    <t>https://workdrive.zoho.in/file/gbhc351cb7f4c5a30442f9aa9f6fc724a9fe8</t>
  </si>
  <si>
    <r>
      <t>akthakore@divanballubhai.edu.in</t>
    </r>
  </si>
  <si>
    <t>educational institution</t>
  </si>
  <si>
    <t>#153840059</t>
  </si>
  <si>
    <t>Needs a single centralized cloud repository accessible from multiple campuses.</t>
  </si>
  <si>
    <t>200+</t>
  </si>
  <si>
    <t>https://workdrive.zoho.in/file/ws66n0af037759de94ebeace7309fc69fa429</t>
  </si>
  <si>
    <t>jamie@globalregulatoryservices.com</t>
  </si>
  <si>
    <t>IT</t>
  </si>
  <si>
    <t>#153948518</t>
  </si>
  <si>
    <t>Session booked by mistake</t>
  </si>
  <si>
    <t>User booked the session by mistake
They are currently using OneDrive and are not looking to switch services at this time</t>
  </si>
  <si>
    <t>itadmin@choueri-uae.com</t>
  </si>
  <si>
    <t>Real estate</t>
  </si>
  <si>
    <t>#154150764</t>
  </si>
  <si>
    <t>They are looking to set up a cloud-based storage solution for their business. The requirement is to have a shared folder/drive that can be accessed by all four users, with the admin having full control over access and permissions. They are currently using a NextGen cloud solution but lack proper control and permission management.</t>
  </si>
  <si>
    <t>NextGen</t>
  </si>
  <si>
    <t>PSE548129</t>
  </si>
  <si>
    <t>https://workdrive.zohoexternal.in/external/67b5d4169ce32201c9ae5ff9f67504ad3e5c2304780962c7b7146032bca0e9c3</t>
  </si>
  <si>
    <t>px didnt get an chance to speak with her management and she is flying to india this week for vacation so asked to follow in mail after a week</t>
  </si>
  <si>
    <t>sharmavin97@gmail.com</t>
  </si>
  <si>
    <t xml:space="preserve">Marketing </t>
  </si>
  <si>
    <t>#154310795</t>
  </si>
  <si>
    <t>He was using Zoho Flow and needed Zoho Sheet for data storage.
While testing Zoho Sheet, he was redirected to Zoho WorkDrive and wanted to understand its capabilities.</t>
  </si>
  <si>
    <t>PSE550624</t>
  </si>
  <si>
    <t>Free Users</t>
  </si>
  <si>
    <t>Free user</t>
  </si>
  <si>
    <t>No scope for Zoho WorkDrive</t>
  </si>
  <si>
    <t>https://workdrive.zoho.in/file/f19a6f16c177678b44fd084aca45252ca4e7c</t>
  </si>
  <si>
    <t>admin@serenetax.com</t>
  </si>
  <si>
    <t>Financial Services</t>
  </si>
  <si>
    <t>#112457618</t>
  </si>
  <si>
    <t>They have been using OneDrive, however was facing sync issues and file duplications, since they would not like to maintain any file duplicates and now is their peak season for managing their client's tax files they are looking for alternatives and enroll soon. Apart from sync issues and file duplications, they are also looking for access levels where admin to only delete files, and collaboratively work on files.</t>
  </si>
  <si>
    <t>Deal Lost reason - Since the US tax season has started, we got too busy and this might not be the right time to switch our workflow. 
Can we connect after 04/20/2026 to work on this.</t>
  </si>
  <si>
    <t>https://workdrive.zoho.in/file/5zgbmbdb8f789576a478eaa34bed6074ae1f9</t>
  </si>
  <si>
    <r>
      <t>administrator@junooncapital.in</t>
    </r>
  </si>
  <si>
    <t>#154105006</t>
  </si>
  <si>
    <t>Paid WP user , he have challenges to access Google Sheets when it is being shared to Zoho</t>
  </si>
  <si>
    <r>
      <t>ashishjain@pksurfacesystems.com</t>
    </r>
  </si>
  <si>
    <t>manufacturing</t>
  </si>
  <si>
    <r>
      <t>#</t>
    </r>
    <r>
      <t>153358690</t>
    </r>
  </si>
  <si>
    <t>Prospect is a startup and have already explore Zoho office suite application along with Wd</t>
  </si>
  <si>
    <t>https://workdrive.zoho.in/file/gbhc30cfa5d7ff35f4fc486b8131f79c02715</t>
  </si>
  <si>
    <t>mohit@tekshapers.com</t>
  </si>
  <si>
    <t>#154027986</t>
  </si>
  <si>
    <t>Queries on Zoho WorkDrive</t>
  </si>
  <si>
    <t>PSE549454</t>
  </si>
  <si>
    <t>If you wish to bypass the IP restriction, kindly share the detailed reason for this request along with your business use case, as allowing access only via mobile, while restricting web access, may not serve the intended purpose.</t>
  </si>
  <si>
    <t>dkhan@careconnectionservices.com</t>
  </si>
  <si>
    <t>Hospital and Health Care</t>
  </si>
  <si>
    <t>#154218517</t>
  </si>
  <si>
    <t>They were relying on Google Drive for a long time, and now they find it hard in managing their files to be organised, with not much options to filter the required files, so they are looking for better file organisation and search capabilities.</t>
  </si>
  <si>
    <t>&lt;50 GB</t>
  </si>
  <si>
    <t>PSE548698</t>
  </si>
  <si>
    <t>Px did not want to be recorded</t>
  </si>
  <si>
    <t>Happy with free</t>
  </si>
  <si>
    <r>
      <t xml:space="preserve">: </t>
    </r>
    <r>
      <t>nikhilvekariya33@gmail.com</t>
    </r>
  </si>
  <si>
    <r>
      <t>#</t>
    </r>
    <r>
      <t>154188562</t>
    </r>
  </si>
  <si>
    <t>Prospect was looking to switch from google to Zoho, and they are considering to migrate both Mail and Drive</t>
  </si>
  <si>
    <t>Free Individual</t>
  </si>
  <si>
    <t>https://workdrive.zoho.in/file/ws66n95137331b82d4dd79be7d1b878d9d350</t>
  </si>
  <si>
    <r>
      <t xml:space="preserve"> </t>
    </r>
    <r>
      <t>exec@killin.com.au</t>
    </r>
  </si>
  <si>
    <t>Investments</t>
  </si>
  <si>
    <r>
      <t>#</t>
    </r>
    <r>
      <t>153502620</t>
    </r>
  </si>
  <si>
    <t xml:space="preserve">Prospect was looking for about WorkDrive and its features overview </t>
  </si>
  <si>
    <t>https://workdrive.zoho.in/file/gbhc3e9cb03128f494ddaac2336209ed3c549</t>
  </si>
  <si>
    <t>vishnus@softcell.com</t>
  </si>
  <si>
    <t>Global System Integrator</t>
  </si>
  <si>
    <r>
      <t>#</t>
    </r>
    <r>
      <t>154017676</t>
    </r>
  </si>
  <si>
    <t>There are 100 computers provided to 100 employees. The data are available in their computers and hard-disk. Recovering the data when it gets corrupted from computer or hard-disk becomes tedious for them.</t>
  </si>
  <si>
    <t>1. As of now, Desktop Folder sync via TrueSync is only limited to sync upto 5 Desktop folders and not the entire computer with their drives like C; E; D;.
2. They want their employees to work as they want and not force them to keep their content only in those 5 desktop folders, which they might not do, even if enforced. They are looking to use WorkDrive as a backup solution for their entire computers.
&gt;&gt; They want the entire computer to be backed up in the cloud. Do we have this in our roadmap? @Kingsley Reuben Joseph @Kalidoss Rajendran @Manikandan N</t>
  </si>
  <si>
    <t>automation.integration@myoperator.co</t>
  </si>
  <si>
    <t>Automation</t>
  </si>
  <si>
    <t>#154246132</t>
  </si>
  <si>
    <t>Knowledge management solution</t>
  </si>
  <si>
    <t>GetGuru</t>
  </si>
  <si>
    <t>https://workdrive.zoho.in/file/v340a2b2cb5d262144407ba690cd28d76e4c1</t>
  </si>
  <si>
    <t>customdesign970@gmail.com</t>
  </si>
  <si>
    <t>Architecture and Design</t>
  </si>
  <si>
    <t>#154224762</t>
  </si>
  <si>
    <t>Concerning storage, they are looking to track file activity, to be able to edit their designer files, apply tasks and have admin control for their project executives.</t>
  </si>
  <si>
    <t>Google Drive and Dzylo</t>
  </si>
  <si>
    <t>&lt; 5 TB</t>
  </si>
  <si>
    <t>PSE549093</t>
  </si>
  <si>
    <t>info@staffinitysolutions.co.uk</t>
  </si>
  <si>
    <t>Human Resources</t>
  </si>
  <si>
    <t>#154135131</t>
  </si>
  <si>
    <t>They are looking for desktop version, the option to share files with their global clients who are in UK, Pakistan. Currently they dont have formal system in place to manage files.</t>
  </si>
  <si>
    <t>https://workdrive.zoho.in/file/rvdm5c3fd26af30844dfaad0bf37e34c3bd11</t>
  </si>
  <si>
    <t>nk@nkpr.in</t>
  </si>
  <si>
    <t>#153840386</t>
  </si>
  <si>
    <t>Onboarding session</t>
  </si>
  <si>
    <t>Custom roles &amp; permission and Integration with CAD</t>
  </si>
  <si>
    <t>arunrajchettiyar@gmail.com</t>
  </si>
  <si>
    <t>Training</t>
  </si>
  <si>
    <t>#154271961</t>
  </si>
  <si>
    <t>Startup, who have just started preparing KT sessions and related documents for their clients. They have individually maintained files in their local drive, which was difficult to access beyond their work environment. Plus collaborating with their clients was a challenge hence looking to move into Zoho Ecosystem and planning to explore mail, CRM, sites, forms, drive and more.</t>
  </si>
  <si>
    <t>Search by Video Chapter Name, Search by Timestamp Comment Content, Search Within Video Content, Multilingual Transcription generation for videos (specially Tamil).</t>
  </si>
  <si>
    <t>&lt; 1 TB</t>
  </si>
  <si>
    <t>PSE549664</t>
  </si>
  <si>
    <t>Extended</t>
  </si>
  <si>
    <t>https://workdrive.zoho.in/file/13zc92fe794d354db402b996bc446ecbf0307</t>
  </si>
  <si>
    <t>spoke with the cx, explained him on the plan nd pricing and help him book demo with our team demo went well , and evaluation is progressing well within his org as well , and shraed the price quote , he will be moving forward with the paid version once if the trial period got expired</t>
  </si>
  <si>
    <t>https://sprints.zoho.in/workspace/zdocs#P15/itemdetails/I2111</t>
  </si>
  <si>
    <t>pdalal@curruxvision.com</t>
  </si>
  <si>
    <t>Transportation Infrastructure</t>
  </si>
  <si>
    <t>#154173397</t>
  </si>
  <si>
    <t>They have large amount of documents expected to be around 3 TB in their Google Drive, where they have challenges with file duplication, shared file access for their clients. Looking for the option to maintain files with track changes, set up permissions, maintain versions, work together on files, receive notifications.</t>
  </si>
  <si>
    <t>3 TB</t>
  </si>
  <si>
    <t>PSE549665</t>
  </si>
  <si>
    <t>https://workdrive.zoho.in/file/13zc99de2f2829d704bd1b12d79423ab99308</t>
  </si>
  <si>
    <t>jashir.alimathil@dailydelight.com</t>
  </si>
  <si>
    <t>Food manufacturing</t>
  </si>
  <si>
    <r>
      <t>#</t>
    </r>
    <r>
      <t>154309576</t>
    </r>
  </si>
  <si>
    <t>The requirement was to have documents sent to Workflow for an approval from a manager and the end of the workflow they want to add e-sign.</t>
  </si>
  <si>
    <t>They wanted to sent up file contract and expiry for the files.
They wanted to collect E-sign at the end of the workflow.
&gt;&gt; Showcased “Execute custom function” where sign can be added.</t>
  </si>
  <si>
    <t>100+</t>
  </si>
  <si>
    <t>https://workdrive.zoho.in/file/0vc1317ca5d797f3047cfb0f6218b3add78c1</t>
  </si>
  <si>
    <t xml:space="preserve">No response for several call attempts and follow up email </t>
  </si>
  <si>
    <r>
      <t>File Expiry:</t>
    </r>
    <r>
      <t>https://sprints.zoho.in/workspace/zdocs#P15/itemdetails/I7169</t>
    </r>
  </si>
  <si>
    <t>preetam.shetty@navsanindia.com</t>
  </si>
  <si>
    <t>#153060512</t>
  </si>
  <si>
    <t>They are currently using Zoho People and ManageEngine products and are looking for a centralized cloud storage solution for unstructured data with around 1 TB of storage. They have evaluated Box and Dropbox but prefer to continue within the Zoho ecosystem for document management.</t>
  </si>
  <si>
    <t xml:space="preserve">Reminders for documents </t>
  </si>
  <si>
    <t>PSE549963</t>
  </si>
  <si>
    <t>https://workdrive.zoho.in/file/0vc13f0e971a6621c45f2b2cf93bfffcb934c</t>
  </si>
  <si>
    <r>
      <t xml:space="preserve">Document reminders
</t>
    </r>
    <r>
      <t>https://sprints.zoho.in/workspace/zdocs#P15/itemdetails/I7129</t>
    </r>
  </si>
  <si>
    <r>
      <t xml:space="preserve"> </t>
    </r>
    <r>
      <t>itsupport@thevatconsultant.com</t>
    </r>
  </si>
  <si>
    <r>
      <t>#</t>
    </r>
    <r>
      <t>154320536</t>
    </r>
  </si>
  <si>
    <t xml:space="preserve">Prospect is already using Zoho WorkDrive Free individual edition and now wanted to switch to Team edition and wanted to explore features that will be benefit them as a team to store, and manage documents in cloud </t>
  </si>
  <si>
    <t>https://workdrive.zoho.in/file/mnji985c271caecf6431a80364004fef296ec</t>
  </si>
  <si>
    <r>
      <t xml:space="preserve"> </t>
    </r>
    <r>
      <t>sohail@cloudmojo.tech</t>
    </r>
  </si>
  <si>
    <r>
      <t>#</t>
    </r>
    <r>
      <t>154261241</t>
    </r>
  </si>
  <si>
    <t>I am using a Zoho One account and need a Demo on the work drive to show me how it works.</t>
  </si>
  <si>
    <t>https://workdrive.zoho.in/file/mnji98d468b7a58414cf9b9d2954b3244220b</t>
  </si>
  <si>
    <r>
      <t xml:space="preserve"> </t>
    </r>
    <r>
      <t>nithin@purplerock.com</t>
    </r>
  </si>
  <si>
    <t>FInance</t>
  </si>
  <si>
    <t>#154251472</t>
  </si>
  <si>
    <t xml:space="preserve">But the team needs to setup an application that has DC in Saudi , since they are already using Zoho and aware of SA DC </t>
  </si>
  <si>
    <t xml:space="preserve">MS Office platform </t>
  </si>
  <si>
    <t>https://workdrive.zoho.in/file/mnji9baf42da68fbc4f56b72f89de92eef5ba</t>
  </si>
  <si>
    <t>accounts@dvmgopalandassociates.in</t>
  </si>
  <si>
    <t xml:space="preserve">Legal </t>
  </si>
  <si>
    <t>#154359737</t>
  </si>
  <si>
    <t>They operate three different firms and currently use Zoho products across all of them, including Zoho Books and Payroll. They are looking to implement Zoho WorkDrive as a centralized document management system across all firms. Their use case includes storing employee appointment letters, agreements, vendor POs, client NDAs, and contracts.</t>
  </si>
  <si>
    <t>https://workdrive.zoho.in/file/0vc137f5da8f31ae54caa950b13d008620820</t>
  </si>
  <si>
    <t>sentme@zohomail.in</t>
  </si>
  <si>
    <t xml:space="preserve">Personal </t>
  </si>
  <si>
    <t>#154324374</t>
  </si>
  <si>
    <t>They are currently using Google Drive, with storage usage nearing 1TB. Due to higher costs, they are exploring alternative solutions and prefer an Indian company. The user wanted a comparison between Google Drive and Zoho WorkDrive, details on storage options, and information on migrating existing data.</t>
  </si>
  <si>
    <t>PSE550455</t>
  </si>
  <si>
    <t>https://workdrive.zoho.in/file/mnji9b321c95e8ed5430ba4fb9fc1619264d9</t>
  </si>
  <si>
    <t>spoke with him he is evaluating the Zoho Workplace and planning to migrate from Google one so no requirements for now and had a query from the technical team, got them informed to address this promptlyc</t>
  </si>
  <si>
    <t>shinoy.thachapully@ae.mcd.com</t>
  </si>
  <si>
    <t>Food</t>
  </si>
  <si>
    <r>
      <t>#</t>
    </r>
    <r>
      <t>154488423</t>
    </r>
  </si>
  <si>
    <t>They are currently using Legacy NTFS Windows server and they want to migrate over to Zoho WorkDrive.</t>
  </si>
  <si>
    <t>They have requested for UAE sensitive information types like Emirates passport, Emirates ID.
&gt;&gt; We have requested for the list of predefined sensitive information types that need to be added by default.
They want exemptions for files applied with DLP. Like a time based exemption.
&gt;&gt; As of now, marking “Remove classification label”, once marked it is not time based exemptions.
&gt;&gt; Once the time is set up the want the removed classification label to be reapplied with the classification label.
They have requested for integration with Teams, Office 365, Sharepoint.
&gt;&gt; Do we have any integration with Teams in our roadmap. For O365 we can suggest MS office extension. For Sharepoint, we have requested for more information.</t>
  </si>
  <si>
    <t>Legacy NTFS Windows server</t>
  </si>
  <si>
    <t>MS Teams</t>
  </si>
  <si>
    <t>Update from Shinoy - Mc D
"I am in talk with our global cyber team to whitelist Zoho workdrive for POC"</t>
  </si>
  <si>
    <r>
      <t>1. UAE Sensitive information type:</t>
    </r>
    <r>
      <t>https://sprints.zoho.in/workspace/zdocs#P15/itemdetails/I7229</t>
    </r>
    <r>
      <t xml:space="preserve">
2.  ZScalar integration: </t>
    </r>
    <r>
      <t>https://sprints.zoho.in/workspace/zdocs#P15/itemdetails/I7231</t>
    </r>
  </si>
  <si>
    <t>info@prcas.com</t>
  </si>
  <si>
    <t>Financial</t>
  </si>
  <si>
    <t>#154380360</t>
  </si>
  <si>
    <t xml:space="preserve">Zoho Mail user, need more information on Individual edition as of now they are looking to store data to Zoho WorkDrive cloud </t>
  </si>
  <si>
    <t>GDrive</t>
  </si>
  <si>
    <t>https://workdrive.zoho.in/file/1obh949b6c61eb6a84224837ee046365ba7f4</t>
  </si>
  <si>
    <t>adam.teitelbaum@wartsila.com</t>
  </si>
  <si>
    <t>Sales</t>
  </si>
  <si>
    <t>#154399628</t>
  </si>
  <si>
    <t>They are looking to build a centralized sales content library where all documents are stored in one place and can be easily searched and filtered based on content types. The setup should allow a single admin to create, edit, and manage all sales content, while the sales team should have view-only access to ensure content consistency. Additionally, they are looking for a cost-effective licensing model to support this structure.</t>
  </si>
  <si>
    <t>No PSE</t>
  </si>
  <si>
    <t>3 + 20CL</t>
  </si>
  <si>
    <t>https://workdrive.zoho.in/file/ddt54977a91741ab644a7a34ed16fdd888522</t>
  </si>
  <si>
    <t>No response from cx</t>
  </si>
  <si>
    <t>atkconsult3@gmail.com</t>
  </si>
  <si>
    <t>#154433327</t>
  </si>
  <si>
    <t>They are exploring broader Zoho apps and planning to move to the zoho ecosystem and have signed up for Zoho One already. Concerning WD, they are looking for multiple user access, with permissions applied for now.</t>
  </si>
  <si>
    <t>7-year data retention feasibility</t>
  </si>
  <si>
    <t>Z1 follow up</t>
  </si>
  <si>
    <t>Still in trial evaluating - Zoho one</t>
  </si>
  <si>
    <t>https://workdrive.zoho.in/file/f19a64b5d1cc9053747c28108e2dac2ef2202</t>
  </si>
  <si>
    <t>https://sprints.zoho.in/workspace/zdocs#P15/itemdetails/I6334/details</t>
  </si>
  <si>
    <t>jasonb@ricelandcabinet.com</t>
  </si>
  <si>
    <t>#153778548</t>
  </si>
  <si>
    <t>They currently need their team members to be able to capture pictures from their different branches to WorkDrive, where their staff members are not tech savvy. They are also looking for document sharing with their clients, which they have been doing with zoho mail now. they also used dropbox, but not extensively, so no comments on it.</t>
  </si>
  <si>
    <t>PSE550740</t>
  </si>
  <si>
    <t>https://workdrive.zoho.in/file/f19a68b15f4e7792d4555abacf49e9747e5fa</t>
  </si>
  <si>
    <t>second follow up mail sent</t>
  </si>
  <si>
    <t>jay19shah@gmail.com</t>
  </si>
  <si>
    <t>#154475521</t>
  </si>
  <si>
    <t>They have been using local server, NAS backup for all these years, however they have been having challenges with accessing and planning to move to a cloud based to maintain their files with MS office, PDF, Image extensions. They currently own 100 GB of data and expecting to expand a little more, with the options to access from mobile and set access levels for their members.</t>
  </si>
  <si>
    <t>Local Server</t>
  </si>
  <si>
    <t>100 GB</t>
  </si>
  <si>
    <t>PSE551193</t>
  </si>
  <si>
    <t>https://workdrive.zoho.in/file/ddt54b473e77fb44945c293458b101e058863</t>
  </si>
  <si>
    <t>no response from the prospect</t>
  </si>
  <si>
    <t>atchula@zohomail.in</t>
  </si>
  <si>
    <t>#154485655</t>
  </si>
  <si>
    <t xml:space="preserve">Prospect needs cloud storage to store family photos </t>
  </si>
  <si>
    <t>Google photos</t>
  </si>
  <si>
    <t>https://workdrive.zoho.in/file/1obh926832b4cfd46447da8bc10c8696c80f3</t>
  </si>
  <si>
    <t>edp@krishcarbon.com</t>
  </si>
  <si>
    <t>#154465180</t>
  </si>
  <si>
    <t>Prospect is looking for our primary requirement is that we want to share the document within our organisation.</t>
  </si>
  <si>
    <t>System server</t>
  </si>
  <si>
    <t>10-15</t>
  </si>
  <si>
    <t>https://workdrive.zoho.in/file/1obh994e2751b212f4d9aadb75e58ef3b08b3</t>
  </si>
  <si>
    <t xml:space="preserve">Spoke with cx and they are not looking for this application currently. </t>
  </si>
  <si>
    <t>anas@goldenfinty.com</t>
  </si>
  <si>
    <t>Electrical &amp; Mechanical Contracting</t>
  </si>
  <si>
    <r>
      <t>#</t>
    </r>
    <r>
      <t>154413902</t>
    </r>
  </si>
  <si>
    <t>Prospect is looking for an cloud storage platform where they collect data and store in cloud for other team members to access it</t>
  </si>
  <si>
    <t>https://workdrive.zoho.in/file/1obh945e5f09f915347f8b718ae51057b3684</t>
  </si>
  <si>
    <t>sumit@nagpal.law</t>
  </si>
  <si>
    <t>Law</t>
  </si>
  <si>
    <r>
      <t>#</t>
    </r>
    <r>
      <t>150564803</t>
    </r>
  </si>
  <si>
    <t xml:space="preserve">Prospect is using OneDrive and wanted to switch to zoho due to some challenges in OneDrive </t>
  </si>
  <si>
    <t>https://workdrive.zoho.in/file/1obh9b436450577644980959b6c12196cae41</t>
  </si>
  <si>
    <t xml:space="preserve">Looking for Zoho Workplace </t>
  </si>
  <si>
    <t>raghav.banflexcables@gmail.com</t>
  </si>
  <si>
    <t>B2B</t>
  </si>
  <si>
    <t>#154464648</t>
  </si>
  <si>
    <t>They are a B2B cable company based in Delhi currently using a local network drive, which lacks proper access control, leads to version conflicts, and makes it difficult to access data outside the office.</t>
  </si>
  <si>
    <t>Network Drive</t>
  </si>
  <si>
    <t>5GB</t>
  </si>
  <si>
    <t>PSE551368</t>
  </si>
  <si>
    <t>https://workdrive.zoho.in/file/r9vht2a9685e2dd3b425e8b317fd51a72891c</t>
  </si>
  <si>
    <t xml:space="preserve">Px declined the call after introduction </t>
  </si>
  <si>
    <t>nistha@caankur.com</t>
  </si>
  <si>
    <t xml:space="preserve"> #154475061</t>
  </si>
  <si>
    <t>They are looking for a document storage solution to manage client data, where users can edit files but are restricted from deleting them unless the admin explicitly allows it. At present, all documents are stored on a local drive. They have evaluated other tools but felt those solutions did not adequately address their access control and permission requirements.</t>
  </si>
  <si>
    <t>PSE551387</t>
  </si>
  <si>
    <t>https://workdrive.zoho.in/file/ddt54852a6401347e4589aa9fca6f858d7e35</t>
  </si>
  <si>
    <t xml:space="preserve">spoke with px she stated that they will continue with their existing subscription </t>
  </si>
  <si>
    <r>
      <t>fabian@oakleewellness.com</t>
    </r>
    <r>
      <t xml:space="preserve">/ </t>
    </r>
    <r>
      <t>fabian.newman@oakleewellnessbilling.com</t>
    </r>
  </si>
  <si>
    <t>#154500314</t>
  </si>
  <si>
    <t>Concerning Drive, they are looking for option to create folder for each of their employee to access exclusively, with different access levels, and desktop access.</t>
  </si>
  <si>
    <t>Box</t>
  </si>
  <si>
    <r>
      <t xml:space="preserve">purchased from </t>
    </r>
    <r>
      <t>fabian.newman@oakleewellnessbilling.com</t>
    </r>
    <r>
      <t xml:space="preserve"> </t>
    </r>
  </si>
  <si>
    <t>https://workdrive.zoho.in/file/1obh9726447234096497e869ae92c4e54a8dd</t>
  </si>
  <si>
    <t>caakashag9@gmail.com</t>
  </si>
  <si>
    <t>#154205905</t>
  </si>
  <si>
    <t>They are looking for a cloud storage solution for three members, where each user has a private space, along with a shared common space for collaboration.</t>
  </si>
  <si>
    <t>PSE552267</t>
  </si>
  <si>
    <t xml:space="preserve">Busy line - no response over mail/calls </t>
  </si>
  <si>
    <t>ali@emeraldenc.com</t>
  </si>
  <si>
    <t xml:space="preserve">Metals &amp; minerals </t>
  </si>
  <si>
    <t>#153549439</t>
  </si>
  <si>
    <t>They are an electrical contracting company handling a high volume of project documents and are looking for a centralized cloud storage solution with better control, visibility, and access restrictions. They want to prevent unauthorized copying, downloading, or sharing of sensitive documents, and the solution should be easy for non-IT staff to adopt.</t>
  </si>
  <si>
    <t>Custom roles &amp; permission</t>
  </si>
  <si>
    <t>PSE552314</t>
  </si>
  <si>
    <t>10-20</t>
  </si>
  <si>
    <t>https://workdrive.zoho.in/file/nkkih6525f41b96f04f6c90174e81ad70956a</t>
  </si>
  <si>
    <t xml:space="preserve">Not responding to calls or emails. </t>
  </si>
  <si>
    <t>https://sprints.zoho.in/workspace/zdocs#P15/itemdetails/I7452/details</t>
  </si>
  <si>
    <r>
      <t xml:space="preserve"> </t>
    </r>
    <r>
      <t>kunal.parikh@ralsonics.com</t>
    </r>
  </si>
  <si>
    <t>#154482268</t>
  </si>
  <si>
    <t>Prospect is from manufacturing company and there are over 80-100 employees in the organisation. but he needs a centralized respository to store all the image, files and folders in common folder so that each department can get easy</t>
  </si>
  <si>
    <r>
      <t xml:space="preserve"> </t>
    </r>
    <r>
      <t>itkaraulibhojubeer@gmail.com</t>
    </r>
  </si>
  <si>
    <t>Medical</t>
  </si>
  <si>
    <r>
      <t>#</t>
    </r>
    <r>
      <t>154472095</t>
    </r>
  </si>
  <si>
    <t xml:space="preserve">Prospect is from clinical and diagnostic labs.
And needed an software equivalent to LIS in Zoho </t>
  </si>
  <si>
    <t>LIS</t>
  </si>
  <si>
    <t>imartinez@jasperenterprisesinc.com</t>
  </si>
  <si>
    <t>#154507399</t>
  </si>
  <si>
    <t>They are looking to manage their files better and to have it organised, with accessible to their members or external users.  They currently have no system in place to manage their files.</t>
  </si>
  <si>
    <t>Stil in Zoho One trial - testing</t>
  </si>
  <si>
    <t>No recording - px requested</t>
  </si>
  <si>
    <r>
      <t>knconsultantsind@gmail.com</t>
    </r>
  </si>
  <si>
    <r>
      <t>#</t>
    </r>
    <r>
      <t>154524230</t>
    </r>
  </si>
  <si>
    <t xml:space="preserve">Prospect is currently using system server, Tally, Excel and multiple other applications to create, edit and collaborate </t>
  </si>
  <si>
    <t>mohamed.aareef@kiongroup.com</t>
  </si>
  <si>
    <t xml:space="preserve"> Machinery manufacturer</t>
  </si>
  <si>
    <t>#154592783</t>
  </si>
  <si>
    <t>The customer is evaluating Zoho WorkDrive to understand its features, capabilities, and suitability for enterprise-wide document management. They are looking for a centralized document management system for ~50 users across Europe, the Middle East, Asia-Pacific, and China. Key areas of interest include document storage and version control, team collaboration and access controls, security and compliance, integrations with Zoho and third-party applications, and enterprise-friendly pricing and licensing models.
They have prior experience with Zoho CRM Analytics but this was their first exposure to Zoho WorkDrive</t>
  </si>
  <si>
    <t>Expiry for documents</t>
  </si>
  <si>
    <t>PSE552420</t>
  </si>
  <si>
    <t>Connect post</t>
  </si>
  <si>
    <t>https://workdrive.zoho.in/file/nkkih8d3e828a2009425db49f3b564a0275f6</t>
  </si>
  <si>
    <r>
      <t>https://sprints.zoho.in/workspace/zdocs#P15/itemdetails/I7323</t>
    </r>
  </si>
  <si>
    <t>jennifer.gonzalez@graphite-technology.com</t>
  </si>
  <si>
    <t>#154189469</t>
  </si>
  <si>
    <t>Zoho CRM integration with OneDrive</t>
  </si>
  <si>
    <t>PSE552427</t>
  </si>
  <si>
    <t>livingston.d@tsts.in</t>
  </si>
  <si>
    <t>#152346855</t>
  </si>
  <si>
    <t>They want a clear folder structure based on departments and years. Their objective is to maintain a single source of truth for documents, supported by strong versioning, audit logs, and granular access controls at both folder and file levels. They also require multi-stage approval workflows for documents, secure access across web, desktop, and mobile platforms with admin-level controls, and robust security and compliance features to meet ISO/QMS audit requirements. Additionally, they want smooth collaboration capabilities for both internal teams and external users.</t>
  </si>
  <si>
    <t xml:space="preserve">Watermarks for all documents </t>
  </si>
  <si>
    <t>PSE553469</t>
  </si>
  <si>
    <t>https://workdrive.zoho.in/file/ws66n9a4da5e250824d7b800882b457718ec6</t>
  </si>
  <si>
    <t xml:space="preserve">Spoke with the cx, they haen;t started with the trial will get back to us post to the evlaution on next week follow up email sent </t>
  </si>
  <si>
    <t>https://sprints.zoho.in/workspace/zdocs#P15/itemdetails/I7453</t>
  </si>
  <si>
    <t>kunal@spap.in</t>
  </si>
  <si>
    <t>Information service</t>
  </si>
  <si>
    <t>#153136027</t>
  </si>
  <si>
    <t>The customer has already purchased Zoho WorkDrive and wants to ensure that all data remains accessible strictly within the WorkDrive environment. Users, including those working remotely or from outstation locations, should be able to access and work on files without downloading them to local machines. Any upload or download activity should remain controlled within the Drive ecosystem.</t>
  </si>
  <si>
    <t>PSE553768</t>
  </si>
  <si>
    <t>parthiv.panchal@devx.work</t>
  </si>
  <si>
    <t>Software</t>
  </si>
  <si>
    <t>#154632266</t>
  </si>
  <si>
    <t>The customer wants to build a library-style document structure similar to what they currently use in Microsoft OneDrive. They need a main index page (for example, “Audited Financials”) that, when clicked, allows users to select a specific year such as 2025 or 2024. Once a year is selected, all documents within that respective folder should be displayed.</t>
  </si>
  <si>
    <t>https://workdrive.zoho.in/file/l9oi3ec56b991bdab4ede89cafb10dcfff39f</t>
  </si>
  <si>
    <t>abhay.nawale@gmail.com</t>
  </si>
  <si>
    <t>#154113603</t>
  </si>
  <si>
    <t>hey are currently using Google Suite and looking for certain suite like service in Zoho for managing files, mails, and meetings.</t>
  </si>
  <si>
    <t>Google Suite</t>
  </si>
  <si>
    <t>WP team following up</t>
  </si>
  <si>
    <t>sachin.baluja@shivnadarfoundation.org</t>
  </si>
  <si>
    <r>
      <t>#</t>
    </r>
    <r>
      <t>152016104</t>
    </r>
  </si>
  <si>
    <t>Business unit head and procurement head for Shiv Nadar foundation attended the session along with other key stakeholders.</t>
  </si>
  <si>
    <t>1. Upon overdue of the approval during a workflow, actions like auto-approved or auto-reject has to be done.
2. Slab based pricing
3. In-house support assistance.
4. Preview support for DWG files
5. Zia hubs early access
6. E-sign integration with custom functions.</t>
  </si>
  <si>
    <t>50 +500 client licenses</t>
  </si>
  <si>
    <t>On campus demo</t>
  </si>
  <si>
    <t xml:space="preserve">Spoke with their procurement head and clarified all their commercial queries. Cx may need another 10-15 days to get this cleared from the procurement end. </t>
  </si>
  <si>
    <r>
      <t xml:space="preserve"> Auto CAD preview support:
</t>
    </r>
    <r>
      <t>https://sprints.zoho.in/workspace/zdocs#P15/itemdetails/I7462</t>
    </r>
  </si>
  <si>
    <r>
      <t>siddhartha.sarkar@meldx.in</t>
    </r>
  </si>
  <si>
    <t>#154656070</t>
  </si>
  <si>
    <t xml:space="preserve">Prospect is already part of Zoho using Payroll and CRM and wanted to know how to store their files in Zoho WorkDrive in an organised way </t>
  </si>
  <si>
    <t>https://workdrive.zoho.in/file/ws66n2068f095eb244e17bcfda294fab89640</t>
  </si>
  <si>
    <t>ranjith@rantronicstechnology.com</t>
  </si>
  <si>
    <t xml:space="preserve">Electronics </t>
  </si>
  <si>
    <t>#154211791</t>
  </si>
  <si>
    <t>The customer is looking for an online cloud storage solution to store all their project-related documents. No additional requirements were raised during the discussion.</t>
  </si>
  <si>
    <t>tawarventures@gmail.com</t>
  </si>
  <si>
    <t>#154771687</t>
  </si>
  <si>
    <t>they are using their server to maintain their files, however have challenges when need to access files from their sites via other systems or mobile.</t>
  </si>
  <si>
    <t>none</t>
  </si>
  <si>
    <t>on-premise</t>
  </si>
  <si>
    <t>&lt;1 TB</t>
  </si>
  <si>
    <t>PSE553074</t>
  </si>
  <si>
    <t>https://workdrive.zoho.in/file/qn8e235d74a6d117a483bbdefa9c727b0fa21</t>
  </si>
  <si>
    <t>waqas@global-security.co.uk</t>
  </si>
  <si>
    <t>Security</t>
  </si>
  <si>
    <t>#2275029</t>
  </si>
  <si>
    <t>They are looking for cloud based storage solution to manage their files with no duplications and to have their members from London and Pakistan to access as well.</t>
  </si>
  <si>
    <t>DropBox</t>
  </si>
  <si>
    <t>50 GB</t>
  </si>
  <si>
    <t>https://workdrive.zoho.in/file/qn8e2b7b59b3a3bff4390a56c43b1f39f0467</t>
  </si>
  <si>
    <t>Email sent - 3 followups</t>
  </si>
  <si>
    <r>
      <t>sskpas@gmail.com</t>
    </r>
  </si>
  <si>
    <t>#154803355</t>
  </si>
  <si>
    <t xml:space="preserve">Prospect is from consulting services looking for a cloud storage platform for 21 users who is part of the org </t>
  </si>
  <si>
    <t>System</t>
  </si>
  <si>
    <t>https://workdrive.zoho.in/file/gxtko8201ea5bcc934808bfaf4bb276c1a46d</t>
  </si>
  <si>
    <t xml:space="preserve">Ringed and no response - and no response over mail </t>
  </si>
  <si>
    <t>nupur.madaan@fwdefence.com</t>
  </si>
  <si>
    <t>Defence</t>
  </si>
  <si>
    <r>
      <t>#</t>
    </r>
    <r>
      <t>154635017</t>
    </r>
  </si>
  <si>
    <t>1. The prospect is an existing Zoho Mail and Zoho People user.</t>
  </si>
  <si>
    <t>Google Workspace</t>
  </si>
  <si>
    <t>PSE560110</t>
  </si>
  <si>
    <t>https://workdrive.zoho.in/file/ltgcl01fc2fc3fc464fff99738df1a7a8d0ae</t>
  </si>
  <si>
    <t>sumeet.sodhani@gmail.com</t>
  </si>
  <si>
    <t>CA</t>
  </si>
  <si>
    <t>#154821218</t>
  </si>
  <si>
    <t>They are using an on-premise file server, but faced difficulties accessing files while traveling. This often led to manual file transfers, resulting in file duplication and challenges in maintaining a single, consistent version of the same file.</t>
  </si>
  <si>
    <t>PSE553553</t>
  </si>
  <si>
    <t>https://workdrive.zoho.in/file/l9oi3432634188af347c5a8551f628bfcc383</t>
  </si>
  <si>
    <t>spoke with px he stated that he is occupied with some other work and will get back after 10days</t>
  </si>
  <si>
    <r>
      <t xml:space="preserve"> </t>
    </r>
    <r>
      <t>akash.gupta@veeline.com</t>
    </r>
  </si>
  <si>
    <r>
      <t>#</t>
    </r>
    <r>
      <t>154815828</t>
    </r>
  </si>
  <si>
    <t xml:space="preserve">Prospect is looking for cloud storage space to store and collaborate with documents within the team and provide them proper access level and permissions </t>
  </si>
  <si>
    <t>System Drive</t>
  </si>
  <si>
    <t>3TB</t>
  </si>
  <si>
    <t>csgsbhat@gmail.com</t>
  </si>
  <si>
    <r>
      <t>#</t>
    </r>
    <r>
      <t>153909151</t>
    </r>
  </si>
  <si>
    <t xml:space="preserve">Prospect is looking for cloud storage to store their tally documents and provide access to their users who are working remotely right now </t>
  </si>
  <si>
    <t>https://workdrive.zoho.in/file/f05xz2c1964cc8d5a4fb4895756925558c6f5</t>
  </si>
  <si>
    <t>sam@goodluckusa.com</t>
  </si>
  <si>
    <t>#154834363</t>
  </si>
  <si>
    <t>Requirement is related to Zoho CRM</t>
  </si>
  <si>
    <t>Partners</t>
  </si>
  <si>
    <t>https://workdrive.zoho.in/file/xgtrm7aa2c9b2129043edad6536e201bbe431</t>
  </si>
  <si>
    <t>jagachchandarr.ljconsulting@gmail.com</t>
  </si>
  <si>
    <t>Consultancy</t>
  </si>
  <si>
    <t>#154914117</t>
  </si>
  <si>
    <t>Px is using dropbox, however they find difficult with accessing the files few times, so manually they are sending the files back and forth, they also tried using Gdrive and finally have reached here.</t>
  </si>
  <si>
    <t>No recording - connected via Zoho voice and shared screen through meeting</t>
  </si>
  <si>
    <t>jyoti@kelevosoftware.co.in</t>
  </si>
  <si>
    <t>Zoho Partner</t>
  </si>
  <si>
    <t>#154921590</t>
  </si>
  <si>
    <t>As a Zoho Partner, they requested a detailed process walkthrough/demo to better understand the current workflow and system usage. The objective is to align the Zoho solution accurately with their customer’s business requirements. They wanted a complete end-to-end explanation that would help them design the integration and implementation properly.</t>
  </si>
  <si>
    <t>Partner</t>
  </si>
  <si>
    <t>https://workdrive.zoho.in/file/l8q3i4edfebc500ce4333a3e73e053bf945ba</t>
  </si>
  <si>
    <t>it.admin@petiolehub.com</t>
  </si>
  <si>
    <t>#154948296</t>
  </si>
  <si>
    <t>They are currently using Zoho Mail, Cliq, and Zoho People. For document management, they are using Box and are now exploring a move to Zoho WorkDrive.</t>
  </si>
  <si>
    <t>Automation using AI</t>
  </si>
  <si>
    <t>PSE554233</t>
  </si>
  <si>
    <t>$ 2,160 (USD)</t>
  </si>
  <si>
    <t>https://workdrive.zoho.in/file/l8q3i6e9182268b4642878f50f036b4a10694</t>
  </si>
  <si>
    <t>trial extended till 25th march 2026</t>
  </si>
  <si>
    <t xml:space="preserve">Option available via API </t>
  </si>
  <si>
    <r>
      <t>jigna.vr@gmail.com</t>
    </r>
  </si>
  <si>
    <t>Radiology</t>
  </si>
  <si>
    <r>
      <t>#</t>
    </r>
    <r>
      <t>154800911</t>
    </r>
  </si>
  <si>
    <t xml:space="preserve">They will be receiving DICOM files which are scanned files sent via email from 25 different radiology centres. </t>
  </si>
  <si>
    <t>Preview support for DICOM files (XRAY, MRI, scan-file)</t>
  </si>
  <si>
    <t>V transfer</t>
  </si>
  <si>
    <t>https://workdrive.zoho.in/file/bs2ila6b142c1f95145d0b999f87d14b9df00</t>
  </si>
  <si>
    <t xml:space="preserve">Looking for Workplace Professional 8 user licenses </t>
  </si>
  <si>
    <r>
      <t xml:space="preserve"> </t>
    </r>
    <r>
      <t>matt.birtwhistle@jbagroup.co.uk</t>
    </r>
  </si>
  <si>
    <t>Industrial Automation</t>
  </si>
  <si>
    <r>
      <t>#</t>
    </r>
    <r>
      <t>121050445</t>
    </r>
  </si>
  <si>
    <t>They will be signing up for a new domain and email address in EU DC for the same set of users in US DC.</t>
  </si>
  <si>
    <t xml:space="preserve">The prospect wanted to sync his SSO from US DC to EU DC as he wanted to create an org in EU DC. </t>
  </si>
  <si>
    <t>Accounts team has mentioned that syncing SSO from US DC to EU DC for the same set of users with different domain and email address would not be supported.</t>
  </si>
  <si>
    <t>Supply Chain</t>
  </si>
  <si>
    <r>
      <t>#</t>
    </r>
    <r>
      <t>154592783</t>
    </r>
  </si>
  <si>
    <t xml:space="preserve">They will be starting the POC and have requested for early access for Zia Hubs once they start POC.  </t>
  </si>
  <si>
    <t xml:space="preserve">Followup email sent </t>
  </si>
  <si>
    <r>
      <t xml:space="preserve">Document Expiry: 
</t>
    </r>
    <r>
      <t>https://sprints.zoho.in/workspace/zdocs#P15/itemdetails/I7323</t>
    </r>
  </si>
  <si>
    <t>1. The sent us an agenda, for the topics to discuss on the demo as follows: Team Folders, Access control, Audit Trail, Version control, Smart search, Sync/mobile apps, file collection, Data templates, DLP, Workflows, client users.
2. The total storage they are looking for is 30TB of storage for 550 users initially.</t>
  </si>
  <si>
    <t xml:space="preserve">1. They wanted to integrate WorkDrive with ZScaler for DLP. @Aravindhan N
2. They wanted to have UAE based PII predefined sensitive information types. We have also asked them for a list. In the meantime we have to work on this from our end to provide default UAE related sensitive information PII types. @Rishi @Saravanapandi S
3. They wanted to provide us with SSL certificate for custom domain, instead of us purchasing and maintaining the SSL certificate for them. @Saravanapandi S
&gt;&gt; We have mentioned that due to the expiry of SSL, every time reaching out to MC Donald’s for SSL will be tedious and asked to confirm whether this is a mandatory requirement.
4. They are also evaluating Egnyte and wanted a comparison document of WD VS Egnyte. @Durai
5. They also asked for threat and anomaly detections like bulk download notifications, Bulk version deletion notification, bulk deletion notification and DLP download attempts, Malware detections and alerts. @Aravindhan N
6. They have requested for integration with Teams, Office 365, Sharepoint.
&gt;&gt; Do we have any integration with Teams in our roadmap. For O365 we can suggest MS office extension. For Sharepoint, we have requested for more information. Aravindhan </t>
  </si>
  <si>
    <t>keir@dbmp.com</t>
  </si>
  <si>
    <t>#154962417</t>
  </si>
  <si>
    <t xml:space="preserve"> Looking to interact with his clients - so demoed on collect files and share feature. however collect files were not suitable to him, as he is just looking to share and maybe get few files - so explained on share feature where they can share folder with upload permission which creates a common ground between client and him</t>
  </si>
  <si>
    <t>iakashsharma68@gmail.com</t>
  </si>
  <si>
    <t>Marketing agency</t>
  </si>
  <si>
    <t>#155022165</t>
  </si>
  <si>
    <t>They are looking to move their entire organization’s ecosystem from multiple tools into a single Zoho ecosystem.</t>
  </si>
  <si>
    <t>GoogleDrive</t>
  </si>
  <si>
    <t>They are evaluating Zoho One and were intending to connect with the Zoho One team, but the session was booked with us by mistake.</t>
  </si>
  <si>
    <t>https://workdrive.zoho.in/file/9rfbo7b58a28a890f43559c2c62417c28e369</t>
  </si>
  <si>
    <t>rrangdal@agility.com</t>
  </si>
  <si>
    <t>logistics &amp; warehousing</t>
  </si>
  <si>
    <t>#155023704</t>
  </si>
  <si>
    <t>They are evaluating Zoho WorkDrive as a replacement for SharePoint Online for day-to-day document collaboration, while continuing to use SharePoint for intranet content and organizational announcements.</t>
  </si>
  <si>
    <t>They require data retention settings of up to five years from the admin console, in line with company policies
Migration tool support for SharePoint.</t>
  </si>
  <si>
    <t>Sharepoint</t>
  </si>
  <si>
    <t>Less than 20TB</t>
  </si>
  <si>
    <t>PSE555894</t>
  </si>
  <si>
    <t>200 to 500</t>
  </si>
  <si>
    <t>https://workdrive.zoho.in/file/b2sef14488879233543d2b37fe060981ada85</t>
  </si>
  <si>
    <t xml:space="preserve">Couldn't reach the cx. Sent a follow up email. </t>
  </si>
  <si>
    <r>
      <t xml:space="preserve">Sharepoint migration
</t>
    </r>
    <r>
      <t>https://sprints.zoho.in/workspace/zdocs#P15/itemdetails/I7454</t>
    </r>
  </si>
  <si>
    <t>ravishmaniyar@gmail.com</t>
  </si>
  <si>
    <r>
      <t>#</t>
    </r>
    <r>
      <t>150560748</t>
    </r>
  </si>
  <si>
    <t>Prospect is looking for OneDrive alternative due to challenges in brining in data to cloud from their clients.</t>
  </si>
  <si>
    <t xml:space="preserve">Collect file feature enhancement to be able to change destination folder after creating the link </t>
  </si>
  <si>
    <t>https://workdrive.zoho.in/file/b3vi3d3a6e4167ded4eaea22c9b26ecea75e4</t>
  </si>
  <si>
    <r>
      <t>anil.kunda@charismight.com</t>
    </r>
  </si>
  <si>
    <t>#155018697</t>
  </si>
  <si>
    <t>Zoho Document Management System (DMS) to better understand its features, functionalities, and use cases. The session will help us evaluate how Zoho DMS can support our document organization, access control, version management, and overall operational efficiency</t>
  </si>
  <si>
    <t>https://workdrive.zoho.in/file/b3vi3894bee8af7194e62b3ecb831ee679525</t>
  </si>
  <si>
    <t>abhilash@mecpl.in</t>
  </si>
  <si>
    <t>#155085591</t>
  </si>
  <si>
    <t>The customer is exploring Zoho Workplace and requested a detailed session specifically on Zoho WorkDrive. They were looking for clarity around data security, access control, offline usage, migration from on-premise or local servers to the cloud, and the ability to continue working with existing Excel and Microsoft Office files.</t>
  </si>
  <si>
    <t>PSE556004</t>
  </si>
  <si>
    <t>₹ 493,240
[418,000 + 75,240(Tax)]</t>
  </si>
  <si>
    <t>https://workdrive.zoho.in/file/8boq9281db074b5bb4274a60c08ba4ee05f26</t>
  </si>
  <si>
    <t>civani@sisgea.com</t>
  </si>
  <si>
    <t>#155051299</t>
  </si>
  <si>
    <t xml:space="preserve">Assisted on managing storage </t>
  </si>
  <si>
    <t>george@gcgtax.ca</t>
  </si>
  <si>
    <t>#155083810</t>
  </si>
  <si>
    <t>They are looking for a centralized document storage solution that enables real-time collaboration between two remote users working from different locations. The expectation is functionality similar to Google Docs, without using Google, mainly for collaborating on Excel and Word files, as well as data files generated by TaxCycle (Canadian tax software). Maintaining version consistency is critical, with no duplicate or conflicting files during collaboration.</t>
  </si>
  <si>
    <t>PSE555931</t>
  </si>
  <si>
    <t>https://workdrive.zoho.in/file/b2sefe10c440522e74bd1be09069d7225ae7f</t>
  </si>
  <si>
    <t>ITC</t>
  </si>
  <si>
    <t>They are looking for MS O365 replacement.</t>
  </si>
  <si>
    <t>1. Though we have an option to enable or disable Zoho Editors to open and edit non-native files. However, they expect an option where a docx file need to be opened with Zoho Office editor without a copy and save in Office Suite format itself instead of Zoho Proprietary format. The severity of this feature can only be known in further engagements.
&gt;&gt; As of now, though offline desktop apps has this an option to locally save the files in MS Office formats (as available in Zoho Writer desktop app), can we incorporate the same in the cloud as well, for saving docx files opened in Writer as docx, also for Sheet and Show in corresponding MS Office formats.
&gt;&gt; We have also suggested downloading the file in corresponding MS Office formats in such cases, however, they want the actual file to retain the original format.</t>
  </si>
  <si>
    <t>Zoho Office visit</t>
  </si>
  <si>
    <r>
      <t xml:space="preserve">Open and save in MS office format via Zoho Editors online
</t>
    </r>
    <r>
      <t>https://sprints.zoho.in/workspace/zdocs#P15/itemdetails/I7480</t>
    </r>
  </si>
  <si>
    <t>ea@pasarigroup.com</t>
  </si>
  <si>
    <t>Real Estate</t>
  </si>
  <si>
    <t>#155075586</t>
  </si>
  <si>
    <t>There are departments like Accounts, Purchase, Legal, Sales and Marketting.
They are looking to use WD where some of them need to upload and share, some of them should only view and comment.</t>
  </si>
  <si>
    <t xml:space="preserve">Call went unanswered - dropped mail </t>
  </si>
  <si>
    <t>ashok_gaikar@icicipruamc.com</t>
  </si>
  <si>
    <r>
      <t>#</t>
    </r>
    <r>
      <t>155133975</t>
    </r>
  </si>
  <si>
    <t>1. Zscalar is being used and Edge is their secured browser.
2. Mail has integrated with ForcePoint for DLP but WorkDrive is yet to integrate with Forcepoint.</t>
  </si>
  <si>
    <t>2. Mail has integrated with ForcePoint for DLP but WorkDrive is yet to integrate with Forcepoint.</t>
  </si>
  <si>
    <r>
      <t xml:space="preserve">Forcepoint integration with WorkDrive:
</t>
    </r>
    <r>
      <t>https://sprints.zoho.in/workspace/zdocs#P15/itemdetails/I7467/details</t>
    </r>
  </si>
  <si>
    <t>hospitalityfunding@yahoo.com</t>
  </si>
  <si>
    <t>#155055933</t>
  </si>
  <si>
    <t>Dropbox users looking to create a private link to have his clients upload files to prospect without have his clients create zoho accounts.</t>
  </si>
  <si>
    <t xml:space="preserve">3 FUP sent - asked to call on Monday </t>
  </si>
  <si>
    <t>#155133975</t>
  </si>
  <si>
    <t>Test migration from OneDrive</t>
  </si>
  <si>
    <t>Foods</t>
  </si>
  <si>
    <t>Followup session</t>
  </si>
  <si>
    <t>PSE556152</t>
  </si>
  <si>
    <t>https://workdrive.zoho.in/file/8boq990261e54827a44a3b222612466ac8cbe</t>
  </si>
  <si>
    <t>vivek@aihifusion.com</t>
  </si>
  <si>
    <t>#154960613</t>
  </si>
  <si>
    <t>She has been using Google Drive and MS Office but had challenges with collecting documents from her clients, where she does not want to rely on mail to get files from clients.</t>
  </si>
  <si>
    <t>Google Drive and Microsoft</t>
  </si>
  <si>
    <t>https://workdrive.zoho.in/file/bjqb6a5a65dc946bb4afd85c0deedce0908d6</t>
  </si>
  <si>
    <t xml:space="preserve">spoke with px they are completely occupied and will get back by April 1st week </t>
  </si>
  <si>
    <t>pranil@spadesecurityservices.com</t>
  </si>
  <si>
    <t>#155165637</t>
  </si>
  <si>
    <t>Prospect is new to Zoho and has signed up for Zoho One trial. Looking to know more about workdrive - especially his challenges on security over files upon member deletion and while being active. Plus the option to migrate the data from google drive to WD.</t>
  </si>
  <si>
    <t>https://workdrive.zoho.in/file/bjqb67e324ddb32c6450c9fc3ef2de28ebd9c</t>
  </si>
  <si>
    <r>
      <t xml:space="preserve">   </t>
    </r>
    <r>
      <t>vivek@aihifusion.com</t>
    </r>
  </si>
  <si>
    <t>IT services</t>
  </si>
  <si>
    <t>#155026814</t>
  </si>
  <si>
    <t xml:space="preserve">Prospect is already using Zoho Mail and wanted Zoho WorkDrive to store, manage and secure platform their data </t>
  </si>
  <si>
    <t>https://workdrive.zoho.in/file/8boq978974de924784820a365af44f89ce0c5</t>
  </si>
  <si>
    <r>
      <t>vigneshdev.nagarajan@ilink-systems.com</t>
    </r>
  </si>
  <si>
    <t>Sales force</t>
  </si>
  <si>
    <t>#155153837</t>
  </si>
  <si>
    <t>The customer is evaluating cloud-based document storage solutions and is currently comparing multiple services in the market. Their primary focus was to understand pricing, storage options, and overall suitability before moving away from local storage.</t>
  </si>
  <si>
    <t>HardDrive</t>
  </si>
  <si>
    <t>Less than 5TB</t>
  </si>
  <si>
    <t>PSE556061</t>
  </si>
  <si>
    <t>https://workdrive.zoho.in/file/8boq9012e828f5f3e4e55893074cb7b045df8</t>
  </si>
  <si>
    <t xml:space="preserve">got me the reverted stating that it takes some time to get an update internally and get back to us , </t>
  </si>
  <si>
    <t>gomathishivabalan@gmail.com</t>
  </si>
  <si>
    <t>Startup</t>
  </si>
  <si>
    <t>#155222210</t>
  </si>
  <si>
    <t>They run a startup and are currently storing documents on local machines. They are looking for a straightforward cloud-based solution that supports collaboration, especially on Excel files.</t>
  </si>
  <si>
    <t>5 to 10</t>
  </si>
  <si>
    <t>https://workdrive.zoho.in/file/fu5rw9d8c3ae3a74e4d6f98dec71e3b496818</t>
  </si>
  <si>
    <t xml:space="preserve">Cx is not looking for standalone application as Zoho WorkDrive. </t>
  </si>
  <si>
    <r>
      <t>sethu@elvisec.com</t>
    </r>
    <r>
      <t xml:space="preserve">/ </t>
    </r>
    <r>
      <t>rajesh.s@elvisec.com</t>
    </r>
  </si>
  <si>
    <t>#155064151</t>
  </si>
  <si>
    <t>They are looking for a backup solution to sync automatically between their local storage to WorkDrive with the option to configure access levels at department levels. They had been having challenges with their servers, where because of system crashes the data loss happens.</t>
  </si>
  <si>
    <t>https://workdrive.zoho.in/file/fu5rw34414ce31f274b40b079fb75cd5fcefc</t>
  </si>
  <si>
    <t>No recording - Follow up session</t>
  </si>
  <si>
    <t>Call went unanswered</t>
  </si>
  <si>
    <t>pradeep.thakur@canarahsbclife.in</t>
  </si>
  <si>
    <t>Insurance</t>
  </si>
  <si>
    <r>
      <t>#</t>
    </r>
    <r>
      <t>155280636</t>
    </r>
  </si>
  <si>
    <t>Their are looking to replace MS Office 365 replacement only for their Sales team who are frontline workers.</t>
  </si>
  <si>
    <t>1. Using Intune they can save email attachments directly to OneDrive for their entire org. They are looking for this MDM based settings or product level settings, where they can let the Email attachments save to WorkDrive for their entire org, instead of creating the filter manually at the user-level.  &gt;&gt; Mentioned that we will check on this internally and circle back.
2. Currently there is a restriction in OneDrive while copying permalink “Anyone on the team” can be restricted and only email address based internal sharing with Default “View” only access can be allowed. &gt;&gt; Informed that as of now, only external sharing can be restricted and “Anyone on the team” links can be created and restriction of “Anyone on the team” based sharing at the org-level is currently not supported. &gt;&gt; As of now, though we support internal sharing with email address, he wants to restrict “Anyone on the team” based sharing as he does n to want files to be loosely shared as links, even internally. </t>
  </si>
  <si>
    <r>
      <t xml:space="preserve">Save email attachments to WorkDrive at org level
</t>
    </r>
    <r>
      <t>https://sprints.zoho.in/workspace/zdocs#P15/itemdetails/I7478</t>
    </r>
    <r>
      <t xml:space="preserve">
Restrict anyone on the team share:
</t>
    </r>
    <r>
      <t>https://sprints.zoho.in/workspace/zdocs#P15/itemdetails/I7479</t>
    </r>
  </si>
  <si>
    <t>rameshg@amrutanjan.com</t>
  </si>
  <si>
    <t>#155281858</t>
  </si>
  <si>
    <t xml:space="preserve">Gave a complete training to Amrutanjan team. 30+ Users joined the session. </t>
  </si>
  <si>
    <t>Training session.</t>
  </si>
  <si>
    <r>
      <t>finance@enviro-t.in</t>
    </r>
  </si>
  <si>
    <r>
      <t>#</t>
    </r>
    <r>
      <t>155257553</t>
    </r>
  </si>
  <si>
    <t xml:space="preserve"> We need Online Server for 15 people to store our company data and which can be accessed through cloud.</t>
  </si>
  <si>
    <t>1-3TB</t>
  </si>
  <si>
    <t>https://workdrive.zoho.in/file/2yn4mb93a47d903b0461a82f3ea61548feeff</t>
  </si>
  <si>
    <t>s.johnsonsamuel@gmail.com</t>
  </si>
  <si>
    <r>
      <t>#</t>
    </r>
    <r>
      <t>155188147</t>
    </r>
  </si>
  <si>
    <t>Prospect is looking for difference between Workplace and standalone workdrive</t>
  </si>
  <si>
    <t>https://workdrive.zoho.in/file/2yn4mc8e68c21dbb041c2b7aba7b2cb54728f</t>
  </si>
  <si>
    <t>No response</t>
  </si>
  <si>
    <t>agnes.buyser@priorityconsultants.com</t>
  </si>
  <si>
    <r>
      <t>#</t>
    </r>
    <r>
      <t>155029864</t>
    </r>
  </si>
  <si>
    <t>The user is looking to upload client related documents, like contracts with deadlines, policies, client reports.
They will be asking Zia certain questions like based on the expiry, summary of a report and any key parameters of a report.</t>
  </si>
  <si>
    <t xml:space="preserve">1. As of now, the user is looking to generate some outreach program document and client agreement document. As of now, the generated content cannot be directly saved to Zia hub, it can only be saved within My folder or Team folder. 
2. The user is looking for a replacement of Chat GPT, within WorkDrive. So, if the user uploads a “Client agreement” template along with user details and expiry, and asks AI to generate a document tailored to this user and save it in Zia Hubs directly. This will be very helpful to ask questions later in Hub.
3. Also, the user is looking the kinds of questions that can be used for Zia hubs. If there is a list of questions or best practices for Zia hubs, it would be nice.Sivaprakasam S  Aravindhan </t>
  </si>
  <si>
    <t>accounts@fineinstruments.in</t>
  </si>
  <si>
    <t xml:space="preserve">Mechanical </t>
  </si>
  <si>
    <t>#155280740</t>
  </si>
  <si>
    <t xml:space="preserve">NO recording </t>
  </si>
  <si>
    <t>renjith.kalathil@sofonmaritime.com</t>
  </si>
  <si>
    <t>Maritime</t>
  </si>
  <si>
    <t>#155287517</t>
  </si>
  <si>
    <t>They are looking to replace Microsoft OneDrive with a centralized cloud storage solution that supports folder-based collaboration, controlled access, the ability to download files, and local sync capabilities.</t>
  </si>
  <si>
    <t>less than 3TB</t>
  </si>
  <si>
    <t>PSE557630</t>
  </si>
  <si>
    <t>https://workdrive.zoho.in/file/1x1sbd2d1b696ecb144cdb2302b36a6360990</t>
  </si>
  <si>
    <t xml:space="preserve">March 6 - Cx asked me to follow up with him after a couple of weeks </t>
  </si>
  <si>
    <r>
      <t xml:space="preserve"> </t>
    </r>
    <r>
      <t>darshana.t@olankatravels.com</t>
    </r>
  </si>
  <si>
    <r>
      <t xml:space="preserve">  #</t>
    </r>
    <r>
      <t>155293791</t>
    </r>
  </si>
  <si>
    <t xml:space="preserve"> Our organization is looking for a secure cloud storage solution to manage highly sensitive internal documents and partner collaborations. We would like to request a demo specifically focused on the following requirements:</t>
  </si>
  <si>
    <t>https://workdrive.zoho.in/file/1x1sbd21f0648d2694dc08a93a19a9baa4a26</t>
  </si>
  <si>
    <t>it@raudratech.com</t>
  </si>
  <si>
    <t>Tech</t>
  </si>
  <si>
    <t>#155296677</t>
  </si>
  <si>
    <t>They are currently managing documents using an inbuilt tool but are facing challenges due to the lack of a centralized repository. Finding the right documents has become difficult, and there is no clear structure across departments or projects. They are looking for a centralized, well-structured document management system that enables easy document discovery while providing controlled access based on departments or project needs.</t>
  </si>
  <si>
    <t xml:space="preserve">Inbuilt </t>
  </si>
  <si>
    <t>PSE557639</t>
  </si>
  <si>
    <t>https://workdrive.zoho.in/file/nm45ybfa0a6bfe14443a0a4cca4a3f149adab</t>
  </si>
  <si>
    <t>User wants document collaboration and approval workflows to be managed in Zoho WorkDrive and the finalized documents should be pushed to Box AI</t>
  </si>
  <si>
    <t>PSE557549</t>
  </si>
  <si>
    <t xml:space="preserve">No recording - issue with Zoho Meeting </t>
  </si>
  <si>
    <t>deepak.singh@fazethree.com</t>
  </si>
  <si>
    <t xml:space="preserve">Textile </t>
  </si>
  <si>
    <t>#150718624</t>
  </si>
  <si>
    <t>The user is ready to proceed with Zoho WorkDrive and wanted to understand how to migrate data from their local drive to WorkDrive. They also requested a quick walkthrough of the product and its core features.</t>
  </si>
  <si>
    <t>PSE557554</t>
  </si>
  <si>
    <t>office@shanthibhavan.in</t>
  </si>
  <si>
    <t>#155293424</t>
  </si>
  <si>
    <t>The customer is currently using Dropbox along with a local drive for document storage and wants to consolidate everything into a single cloud-based storage solution.</t>
  </si>
  <si>
    <t>Local Drive and Dropbox</t>
  </si>
  <si>
    <t>Less than 1TB</t>
  </si>
  <si>
    <t>PSE557569</t>
  </si>
  <si>
    <t xml:space="preserve">March 18 
Follow up email shared to cx. </t>
  </si>
  <si>
    <t>Monisha</t>
  </si>
  <si>
    <t>rahuljha@4basecare.com</t>
  </si>
  <si>
    <t>Hindi Demo - They are using Google WorkSpace and now want to switch to WorkDrive.
They were interested in Collaboration features, custom folder , external share settings, Team Folders and granular access control.</t>
  </si>
  <si>
    <t xml:space="preserve">no answer, follow up email sent   </t>
  </si>
  <si>
    <r>
      <t xml:space="preserve"> </t>
    </r>
    <r>
      <t>atul2goyal@gmail.com</t>
    </r>
  </si>
  <si>
    <r>
      <t>#</t>
    </r>
    <r>
      <t>155437253</t>
    </r>
  </si>
  <si>
    <t xml:space="preserve">prospect is consulting firm looking for an detailed overview about Zoho WorkDrive in Workplace </t>
  </si>
  <si>
    <t>Below 500GB</t>
  </si>
  <si>
    <t>10 ( May increaase to 70)</t>
  </si>
  <si>
    <t>https://workdrive.zoho.in/file/tz2iw5fdc0a5cc6b148a08a1dd7dbd667ddc9</t>
  </si>
  <si>
    <r>
      <t>puru.jain@urbanmoney.co.in</t>
    </r>
  </si>
  <si>
    <r>
      <t>#</t>
    </r>
    <r>
      <t>154978856</t>
    </r>
  </si>
  <si>
    <t>Need to handle large amount of data on cloud to get an access easily from anywhere.</t>
  </si>
  <si>
    <t>System HardDrive</t>
  </si>
  <si>
    <t>https://workdrive.zoho.in/file/xww67dcd144a57f3249ff919523ad423d2fb5</t>
  </si>
  <si>
    <t xml:space="preserve">Purchased under a different account </t>
  </si>
  <si>
    <t>vinita.yadav@hawkinscookers.com</t>
  </si>
  <si>
    <t>Consumer goods</t>
  </si>
  <si>
    <t>#155182259</t>
  </si>
  <si>
    <t>They are currently maintaining all documents in physical form and are looking to digitize them. However, due to internal company policy, they require the data to be hosted on their own in-house servers rather than on a public cloud platform.</t>
  </si>
  <si>
    <t>On-prem</t>
  </si>
  <si>
    <t>Physical documents</t>
  </si>
  <si>
    <t>PSE558023</t>
  </si>
  <si>
    <t>vedant.kasture@smartjoules.in</t>
  </si>
  <si>
    <t xml:space="preserve">Electrical </t>
  </si>
  <si>
    <t>#155286038</t>
  </si>
  <si>
    <t>Centralized repository &amp; structure, Version control &amp; controlled documents,Approval workflows,Access control &amp; external sharing,Search &amp; retrieval,Compliance readiness,Integrations &amp; automation</t>
  </si>
  <si>
    <t>PSE558412</t>
  </si>
  <si>
    <t xml:space="preserve">Org size - 150, deal size is not confirmed </t>
  </si>
  <si>
    <t xml:space="preserve">Session not recorded </t>
  </si>
  <si>
    <t xml:space="preserve">Cx dropped mail stating they are not planning to opt in for now </t>
  </si>
  <si>
    <t>daminijain123@gmail.com</t>
  </si>
  <si>
    <t xml:space="preserve">Data management </t>
  </si>
  <si>
    <t>#155499791</t>
  </si>
  <si>
    <t>They are looking for a cloud-based solution to store audit reports, checklists, inspection documents, and related files with controlled access for employees. The documents should be accessible from anywhere, as they are currently stored on local hard drives.</t>
  </si>
  <si>
    <t>Local Drivel</t>
  </si>
  <si>
    <t>500GB</t>
  </si>
  <si>
    <t>PSE558434</t>
  </si>
  <si>
    <t>https://workdrive.zoho.in/file/oaggobff5c726c66c46658e466cac5c3b7e23</t>
  </si>
  <si>
    <t>jmoore@escrow321.com</t>
  </si>
  <si>
    <t>#155476923</t>
  </si>
  <si>
    <t>They have been using GreenFolder (workflow and document management system for title, escrow, and real estate operations)  as their file manipulation s/w and database, where they had challenges on simple tasks due to their recent update. Plus they are planning to move from onsite to a cloud based solution.</t>
  </si>
  <si>
    <t>GreenFolders</t>
  </si>
  <si>
    <t>https://workdrive.zoho.in/file/vt5o1a363a8fe54b34168948668789e8adff8</t>
  </si>
  <si>
    <r>
      <t>abhishek@bhagatassociates.in</t>
    </r>
  </si>
  <si>
    <r>
      <t>#</t>
    </r>
    <r>
      <t>155302796</t>
    </r>
  </si>
  <si>
    <t xml:space="preserve"> Automation for folder creation and writer mail merge And auto document creation .</t>
  </si>
  <si>
    <t xml:space="preserve">Cx dropped mail asking for call by sunday - reshared link yesterday will fup accordingly </t>
  </si>
  <si>
    <t>p.byali@hima.com</t>
  </si>
  <si>
    <t>finance</t>
  </si>
  <si>
    <r>
      <t>#</t>
    </r>
    <r>
      <t>155489858</t>
    </r>
  </si>
  <si>
    <t xml:space="preserve">Primary requirement include of 
- Organising data in cloud
- Managing file activity and versions within application </t>
  </si>
  <si>
    <t>No response from the cx</t>
  </si>
  <si>
    <r>
      <t xml:space="preserve"> </t>
    </r>
    <r>
      <t>development@greenrootsrenewable.in</t>
    </r>
  </si>
  <si>
    <r>
      <t>#</t>
    </r>
    <r>
      <t>155446405</t>
    </r>
  </si>
  <si>
    <t>Prospect is looking for a data managing tool</t>
  </si>
  <si>
    <t>creditcontroller@dhofarglobal.com</t>
  </si>
  <si>
    <t>Household goos</t>
  </si>
  <si>
    <t>#155495307</t>
  </si>
  <si>
    <t>They operate across four regions and are currently using Zoho CRM and Zoho Books. They are evaluating a document management system that can handle document expiry and renewal management, specifically for tracking trade licenses and contracts. Key expectations include automatic identification of expiry dates from documents, automated email notifications (for example, 30 days before expiry) to internal teams or customers, strong search and classification capabilities, and AI-based document intelligence.</t>
  </si>
  <si>
    <t xml:space="preserve"> Expiry dates can be assigned to documents and automated follow-up emails are triggered at configurable intervals (such as 30, 60, or 90 days before expiry), on the expiry date itself, and with escalation if the document is not renewed.</t>
  </si>
  <si>
    <t>PSE558481</t>
  </si>
  <si>
    <t>https://workdrive.zoho.in/file/oaggofc11b79bca6440538048d24b4616510c</t>
  </si>
  <si>
    <t>https://sprints.zoho.in/workspace/zdocs#P15/itemdetails/I7455/details</t>
  </si>
  <si>
    <t>vinathreshview@gmail.com</t>
  </si>
  <si>
    <t>Design</t>
  </si>
  <si>
    <t>#155555191</t>
  </si>
  <si>
    <t>They are a small design team working on posters and templates. Currently, all files are stored on local drives, which makes collaboration difficult and often leads to duplicate versions. They also share and collect files from clients through WhatsApp, resulting in unnecessary phone storage usage and a cluttered workflow. They are looking for a simpler, centralized way to collaborate, manage versions, and exchange files with clients.</t>
  </si>
  <si>
    <t>PSE558571</t>
  </si>
  <si>
    <t>https://workdrive.zoho.in/file/zav3se462839206ef46b5b4e7106b913c7752</t>
  </si>
  <si>
    <t>jaiprakash.yadav@kotak.com</t>
  </si>
  <si>
    <r>
      <t>#</t>
    </r>
    <r>
      <t>150750654</t>
    </r>
  </si>
  <si>
    <t>90% of their org is looking for offline desktop apps and 10% of their org (both online + offline).</t>
  </si>
  <si>
    <t>They mentioned that they use VLOOKUP a lot in Excel.
&gt;&gt; In Online and Offline we have a limitation with VLOOKUP, where pulling data from different spreadsheets is not yet supported.
&gt;&gt; In the offline Sheet app, do we have it in the roadmap to support VLOOKUP across different workbooks, as in Excel?</t>
  </si>
  <si>
    <t xml:space="preserve">No response, sent follow up mail to cx.  </t>
  </si>
  <si>
    <t>Office editors</t>
  </si>
  <si>
    <t>palakkhurana0000@gmail.com</t>
  </si>
  <si>
    <t>#155559576</t>
  </si>
  <si>
    <t>They are planning to go for Zoho One, as they have requirements towards multiple apps. Concerning WD, they are looking for a centralised space to manage their files along with sharing them with their vendors.</t>
  </si>
  <si>
    <t>PSE558632</t>
  </si>
  <si>
    <t>https://workdrive.zoho.in/file/zav3sce8f970aadf747f3a9313ae1fd40799f</t>
  </si>
  <si>
    <r>
      <t>mohit@cstarunakalra.com</t>
    </r>
  </si>
  <si>
    <r>
      <t>#</t>
    </r>
    <r>
      <t>154799418</t>
    </r>
  </si>
  <si>
    <t xml:space="preserve">Prospect is looking to store their data in cloud and manage it online </t>
  </si>
  <si>
    <t xml:space="preserve">Need Device management in Starter Edition </t>
  </si>
  <si>
    <t>200GB</t>
  </si>
  <si>
    <t>https://workdrive.zoho.in/file/ocdz17f16d42b8faf4fb0be435adfe70ee4b8</t>
  </si>
  <si>
    <t xml:space="preserve">March 20
No response to the call yesterday </t>
  </si>
  <si>
    <t>Custom plan</t>
  </si>
  <si>
    <r>
      <t>sahilnparikh@gmail.com</t>
    </r>
  </si>
  <si>
    <r>
      <t>#</t>
    </r>
    <r>
      <t>155540839</t>
    </r>
  </si>
  <si>
    <t>Prospect is looking to switch from Google to Zoho WorkDrive due to pricing constrain</t>
  </si>
  <si>
    <t>https://workdrive.zoho.in/file/ocdz177cb6c5d85994386935d079d16554ecf</t>
  </si>
  <si>
    <t>sagar@healthylifeinnovation.com</t>
  </si>
  <si>
    <t>#155573211</t>
  </si>
  <si>
    <t>Query on WorkDrive</t>
  </si>
  <si>
    <t>bnpatel@mehsanaunion.coop</t>
  </si>
  <si>
    <t>#155496215</t>
  </si>
  <si>
    <t>They are looking for a document management system that enables easy sharing of documents with clients, supports review and approval workflows, and includes an option for digital signatures.</t>
  </si>
  <si>
    <t>PSE560465</t>
  </si>
  <si>
    <t>https://workdrive.zoho.in/file/78y5lfc5f30f04dae4266af7a4488e3279496</t>
  </si>
  <si>
    <t xml:space="preserve">MArch 17
Cx said he will schedule the meeting and share the confirmation. </t>
  </si>
  <si>
    <t>enquiry@vaultenergy.no</t>
  </si>
  <si>
    <t xml:space="preserve">Renewable energy </t>
  </si>
  <si>
    <t>#155613452</t>
  </si>
  <si>
    <t>They are looking for a document management system that enables seamless internal team collaboration as well as secure collaboration with suppliers and clients. The solution should support configurable workflows with automated reminders, built-in document revisioning and version control, and a structured way to track supplier data updates and manage documents efficiently.</t>
  </si>
  <si>
    <t>PSE560479</t>
  </si>
  <si>
    <t xml:space="preserve">Cx doesn’t want it to be recorded </t>
  </si>
  <si>
    <t>parveen@pvrealtyadvisors.ca</t>
  </si>
  <si>
    <t>#155642635</t>
  </si>
  <si>
    <t>Most of their requirements where on the pricing. They basically want to upload files and review/download it. They are a team of 10, however they prefer to purchase for 3 licenses and rest should be able to only upload/view files for whom they dont prefer to not purchase license.</t>
  </si>
  <si>
    <t>Collect files enabled in starter edition using custom plan</t>
  </si>
  <si>
    <t>https://workdrive.zoho.in/file/ocdz1ef819e3909ec426399f32e0f06f8e590</t>
  </si>
  <si>
    <r>
      <t>george@spectra.com.my</t>
    </r>
  </si>
  <si>
    <t>Legal</t>
  </si>
  <si>
    <r>
      <t>#</t>
    </r>
    <r>
      <t>154905556</t>
    </r>
  </si>
  <si>
    <t>wants to digitalise their storage, which is currently on hard drives / NAS, into a proper document management solution.</t>
  </si>
  <si>
    <t>Hardcopies</t>
  </si>
  <si>
    <t>https://workdrive.zoho.in/file/us2t75b80c2eacf5044c08b507567d19e28ac</t>
  </si>
  <si>
    <t>roshan.komaravolu@altinvest.ai</t>
  </si>
  <si>
    <t>Investment Management</t>
  </si>
  <si>
    <r>
      <t>#</t>
    </r>
    <r>
      <t>155626072</t>
    </r>
  </si>
  <si>
    <t>. Centralized document management system to replace Google Drive, Dropbox, and scattered local storage.</t>
  </si>
  <si>
    <t>They are looking Activity tab alone in Starter edition. So, we may need to enable custom plan for this user, if he confirms he goes with Starter edition.</t>
  </si>
  <si>
    <t>Google Workspace, Dropbox</t>
  </si>
  <si>
    <t xml:space="preserve">No answer, follow up email sent </t>
  </si>
  <si>
    <t>Energy</t>
  </si>
  <si>
    <r>
      <t>#</t>
    </r>
    <r>
      <t>155613452</t>
    </r>
  </si>
  <si>
    <r>
      <t xml:space="preserve">While initiating manual workflow for a file, the email address of an external user (non-zoho) is being added. The external user receives an email with the link and an OTP gets triggered, but the same email address does not receive an OTP despite retrying several times. “ </t>
    </r>
    <r>
      <t>sunil.shenoy@outlook.com</t>
    </r>
    <r>
      <t xml:space="preserve"> ” is the external user’s email address, who is not receiving OTP to his inbox</t>
    </r>
  </si>
  <si>
    <t xml:space="preserve">1.The user wants to reassign email address in the middle of the manual workflow, to some other external user. If a person does not approve the file, the initiator needs to assign to a different external user. Pradeepkumar C Kabilkumar C 
2. The prospect requested for exporting workflow activity as a report. </t>
  </si>
  <si>
    <t>The user did not want the session to be recorded.</t>
  </si>
  <si>
    <t xml:space="preserve">Mail addressed by support for a follow-up. </t>
  </si>
  <si>
    <r>
      <t xml:space="preserve">Reassign external user in Workflow
</t>
    </r>
    <r>
      <t>https://sprints.zoho.in/workspace/zdocs#P15/itemdetails/I7674</t>
    </r>
  </si>
  <si>
    <t>ori@crowdmaster.co.uk</t>
  </si>
  <si>
    <t xml:space="preserve">Software </t>
  </si>
  <si>
    <t>#155703133</t>
  </si>
  <si>
    <t>They are currently using Zoho Mail and Microsoft OneDrive for document management. They are considering a move to Zoho WorkDrive to keep everything within a single ecosystem. In addition, they need a way to send quizzes or forms to large groups (100–400 participants) and collect responses efficiently.</t>
  </si>
  <si>
    <t>https://workdrive.zoho.in/file/gnb8b797ff3212b19463c8172b1d1117f963b</t>
  </si>
  <si>
    <r>
      <t>nurul.apriani@acc.co.id</t>
    </r>
  </si>
  <si>
    <r>
      <t>#</t>
    </r>
    <r>
      <t>155277269</t>
    </r>
  </si>
  <si>
    <t xml:space="preserve">Prospect is looking for an overview about Zoho Sheet and collaborative tool in Zoho WorkDrive roles and permissions , security and compliance also added more on collaborating data </t>
  </si>
  <si>
    <t>Testing maximum row and column limits (creating and loading 4 million data entries), and Show Set Up Configuration - Zoho Sheet</t>
  </si>
  <si>
    <t>Excel</t>
  </si>
  <si>
    <t>https://workdrive.zoho.in/file/kkv2z048eee0cf13a43f9b94797db906a1eae</t>
  </si>
  <si>
    <t>Regarding the current engagement, I would like to inform you that we are putting the process on hold for the time being. This is due to some internal feature adjustments and architectural alignment that we need to finalize on our end.</t>
  </si>
  <si>
    <t>dhiraj@playo.co</t>
  </si>
  <si>
    <t>Financial service</t>
  </si>
  <si>
    <r>
      <t>#</t>
    </r>
    <r>
      <t>155713681</t>
    </r>
  </si>
  <si>
    <t>Zoho One requirement. The prospect changed his mind and started looking at Zoho One License.</t>
  </si>
  <si>
    <t>recruitment@meridiangbl.com</t>
  </si>
  <si>
    <t>HR solution</t>
  </si>
  <si>
    <t>#155619049</t>
  </si>
  <si>
    <t>They are currently using Google Workspace and find it expensive. They are exploring a more affordable alternative and evaluating Zoho Workplace as a replacement.</t>
  </si>
  <si>
    <t>https://workdrive.zoho.in/file/3p8iefef86f8b99dd464abca54b22146772dd</t>
  </si>
  <si>
    <r>
      <t>admin.team@neemargroup.com</t>
    </r>
  </si>
  <si>
    <r>
      <t>#</t>
    </r>
    <r>
      <t>155857905</t>
    </r>
  </si>
  <si>
    <t xml:space="preserve">Prospect is looking for an cloud storage platform to store their data and manage in cloud </t>
  </si>
  <si>
    <t>https://workdrive.zoho.in/file/6j1r6dea4b57fc9404337b3d55a2de35fa86c</t>
  </si>
  <si>
    <t>Connected on the call, the free plan is sufficient.</t>
  </si>
  <si>
    <r>
      <t>abbabu@lorveninsurance.com</t>
    </r>
  </si>
  <si>
    <t>#155617914</t>
  </si>
  <si>
    <t xml:space="preserve">Paid Zoho Workplace Standard user 
User did not join the session, tried reaching on call he joined the session </t>
  </si>
  <si>
    <t>https://workdrive.zoho.in/file/6j1r604f45a2f569e483dbaee29f0bf7d6ecd</t>
  </si>
  <si>
    <r>
      <t>deepak.joshi@insecticidesindia.com</t>
    </r>
  </si>
  <si>
    <t>Agrochemicals</t>
  </si>
  <si>
    <r>
      <t>#</t>
    </r>
    <r>
      <t>155667623</t>
    </r>
  </si>
  <si>
    <t>2 TB of cloud storage for files and folders. - User Management: Ability to create users with file upload and download permissions. - Desktop Integration: Ability to map the drive directly to local computers. - Backup: A comprehensive backup solution. - Security: Robust security features.</t>
  </si>
  <si>
    <t>https://workdrive.zoho.in/file/j753996ece80acf1442b5b41edc62cf53b48b</t>
  </si>
  <si>
    <t xml:space="preserve">Cx had purchased today </t>
  </si>
  <si>
    <t>kaldavi350@gmail.com</t>
  </si>
  <si>
    <t>#155857330</t>
  </si>
  <si>
    <t>I want to be able to control my production process through a digital system and have the information at hand.</t>
  </si>
  <si>
    <t>user would like to know more about Zoho WorkDrive and prefers to continue the conversation in Spanish, looped LATAM team</t>
  </si>
  <si>
    <t>Praba</t>
  </si>
  <si>
    <t>giordanivarenkha@gmail.com</t>
  </si>
  <si>
    <t>Induvidual</t>
  </si>
  <si>
    <r>
      <t>#</t>
    </r>
    <r>
      <t>155860272</t>
    </r>
  </si>
  <si>
    <t>User is interested in the Zoho Workplace bundle and requested a demo focused on Zoho WorkDrive.</t>
  </si>
  <si>
    <t>lucie@ateliergaia.cz</t>
  </si>
  <si>
    <t>#2329436</t>
  </si>
  <si>
    <t>Queries on WD</t>
  </si>
  <si>
    <t>PSE/Concierge 59501</t>
  </si>
  <si>
    <t>jijil@gsoftcomm.net</t>
  </si>
  <si>
    <t xml:space="preserve">Partner </t>
  </si>
  <si>
    <t>#154461063</t>
  </si>
  <si>
    <t>Their teams operate from Mumbai and Kerala, with documents currently stored on local drives and external hard drives. Files are primarily shared via email, which has led to multiple versions of the same document and confusion over the latest copy. They are looking to move to a centralized cloud-based solution to streamline collaboration and eliminate duplication.</t>
  </si>
  <si>
    <t>15 to 20TB</t>
  </si>
  <si>
    <t xml:space="preserve">March 23
No response from the customer. Partner will let us know once the customer responds. </t>
  </si>
  <si>
    <t>prashant.saxena@charismight.com</t>
  </si>
  <si>
    <t>Maritime Charter</t>
  </si>
  <si>
    <r>
      <t>#</t>
    </r>
    <r>
      <t>155018697</t>
    </r>
  </si>
  <si>
    <t>&gt;&gt; Existing MS Office 365 user. Initially looking for a DMS that integrates with their Charismight application, which is an in-house application built in PHP and hosted in cloud.</t>
  </si>
  <si>
    <t>1. The charter documents are usually 200 to 250 pages. They want to have charter templates created and documents created using templates. He will be saving charter template documents as org templates.
&gt;&gt; The charter document will have lots of check lists, based on the check-lists filled, a score will be auto-calculated in the document, which will be in a table within the document.
&gt;&gt; Based on the score generated in the document, a dashboard showcasing the analytics like the histograms will be created separately. For this dashboard, they are using an in-house application created using PHP. The painpoint is the complexity involved in quick updation of the parameters of the document checklists.
&gt;&gt; He wants a solution that caters to this particular requirement, for which creator can also be suggested if Writer provides such data to create dashboards based on the parameters and scores generated in the document.</t>
  </si>
  <si>
    <t>https://workdrive.zoho.in/file/6j1r6acd85030cfc1480e81fd8a2789478238</t>
  </si>
  <si>
    <t xml:space="preserve">Connected to  cx Anushka  00917775860594  POC  said she will check and update  creator team is also working on their requirements </t>
  </si>
  <si>
    <t>Writer related Requirement</t>
  </si>
  <si>
    <t>alcantro@wellbeingnutrition.com</t>
  </si>
  <si>
    <t>Supplement manufacturing</t>
  </si>
  <si>
    <r>
      <t>#</t>
    </r>
    <r>
      <t>155674385</t>
    </r>
  </si>
  <si>
    <t>Existing MS O365 E1 users. They currently have 14 TB of data in Sharepoint.</t>
  </si>
  <si>
    <t>They are looking for a Sharepoint migration tool as migrating 14TB of data manually would be a tedious task.</t>
  </si>
  <si>
    <t>14TB</t>
  </si>
  <si>
    <r>
      <t xml:space="preserve">Spoke with cx, they wanted to go with the monthly billing. Shared mail to cx. Licenses will be procured under </t>
    </r>
    <r>
      <t>implementations@wellbeingnutrition.com</t>
    </r>
    <r>
      <t xml:space="preserve">  </t>
    </r>
  </si>
  <si>
    <r>
      <t xml:space="preserve">Sharepoint migration
</t>
    </r>
    <r>
      <t>https://sprints.zoho.in/workspace/zdocs#P15/itemdetails/I7689</t>
    </r>
  </si>
  <si>
    <t>idham.zulkifli@binary-nexus.com</t>
  </si>
  <si>
    <r>
      <t>#</t>
    </r>
    <r>
      <t>155778053</t>
    </r>
  </si>
  <si>
    <t xml:space="preserve"> They are currently using 8000 MS O 365 licenses and aprox 6000 Google Workspace licenses.</t>
  </si>
  <si>
    <t>1. They want interoperability with OneDrive and Google Workspace.
&gt;&gt; As of now, interoperability with OneDrive is possible, however adding all MS O365 user as unlicensed users in Google Workspace is not supported.
2. They want files created in OneDrive or Google Drive to be saved in WorkDrive too.
&gt;&gt; Have mentioned that have files created in one cloud platform and saving the same file in WorkDrive will only create copies and would not be the right approach.
&gt;&gt; We have mentioned that we only support migration tool and not cross platform syncing kind of solution.
3. They have requested for “Save to WorkDrive” MS Office add-on for Google editors too. They want files created using Google Docs, Sheet and Slides to be saved to WorkDrive, like it is available for MS Office.
&gt;&gt; Informed them that WorkDrive add-on is only available for MS Office desktop app and not online. As Google editors are online editors, we do not support extensions to “save to WorkDrive”.</t>
  </si>
  <si>
    <t>MS Office 365 &amp; Google Workspace</t>
  </si>
  <si>
    <t>Interoperability between Google and WorkDrive was requested.</t>
  </si>
  <si>
    <t>MS Teams Meeting</t>
  </si>
  <si>
    <t>Logaraj</t>
  </si>
  <si>
    <r>
      <t>#</t>
    </r>
    <r>
      <t>155476923</t>
    </r>
  </si>
  <si>
    <t xml:space="preserve">- Annotation feature, adding electronical signature, working on PDF, Workflow - assigning to groups. 
- Wants to store their Email. </t>
  </si>
  <si>
    <t>https://workdrive.zoho.in/file/j7539cd3c15f539c14db0a2215b56650da51a</t>
  </si>
  <si>
    <t>jerome.bruno@tejmerjerendeavours.com</t>
  </si>
  <si>
    <r>
      <t>#</t>
    </r>
    <r>
      <t>155884284</t>
    </r>
  </si>
  <si>
    <t>Storage and document management</t>
  </si>
  <si>
    <t>https://workdrive.zoho.in/file/j7539fd154448438940859346b61a70310d26</t>
  </si>
  <si>
    <t>sahilnparikh@gmail.com</t>
  </si>
  <si>
    <t>Google</t>
  </si>
  <si>
    <t>https://workdrive.zoho.in/file/j7539149f37b0835c4ca1860b66922baa51ed</t>
  </si>
  <si>
    <t>Tried reaching no response</t>
  </si>
  <si>
    <t>padmanabh_k@hotmail.com</t>
  </si>
  <si>
    <t>#154886776</t>
  </si>
  <si>
    <t>Zoho office desktop app</t>
  </si>
  <si>
    <t>jim@jimpeake.com</t>
  </si>
  <si>
    <t xml:space="preserve">Consultancy </t>
  </si>
  <si>
    <t>#101418190</t>
  </si>
  <si>
    <t>jayachandran.karumathil@intlreg.org</t>
  </si>
  <si>
    <t xml:space="preserve">Shipping </t>
  </si>
  <si>
    <t>#148896893</t>
  </si>
  <si>
    <t>They are currently using a private cloud solution provided by a local IT company in Miami that offers hardware support, a VOIP phone system, and IT support services. They are looking for a cloud storage solution with folder hierarchy, user access control, personal folders for individual users, and department-based folder setup.</t>
  </si>
  <si>
    <t>Inhouse server</t>
  </si>
  <si>
    <t>PSE563085</t>
  </si>
  <si>
    <t>Added 5 more license in trial account with custom plan</t>
  </si>
  <si>
    <t>https://workdrive.zoho.in/file/z1hra53740e3081b1473a957b654820096096</t>
  </si>
  <si>
    <t>head.it@sithltd.com</t>
  </si>
  <si>
    <r>
      <t>#</t>
    </r>
    <r>
      <t>155995585</t>
    </r>
  </si>
  <si>
    <t>1. They were looking for a repository for their HR and Finance teams.</t>
  </si>
  <si>
    <t>Support for Workflow on mobile apps for iOS and Android</t>
  </si>
  <si>
    <t>Power Doc</t>
  </si>
  <si>
    <t>https://workdrive.zoho.in/file/uhqn7c0b45a41b1f84806bef8b9e3d9a6e480</t>
  </si>
  <si>
    <r>
      <t xml:space="preserve">Support Workflow on mobile app (Android)
</t>
    </r>
    <r>
      <t>https://sprints.zoho.in/workspace/zdocs#P15/itemdetails/I7693</t>
    </r>
    <r>
      <t xml:space="preserve">
Support Workflow on mobile app (iOS)
</t>
    </r>
    <r>
      <t>https://sprints.zoho.in/workspace/zdocs#P15/itemdetails/I7692</t>
    </r>
  </si>
  <si>
    <t>pragneshdhage@zohomail.in</t>
  </si>
  <si>
    <t>Information Services</t>
  </si>
  <si>
    <r>
      <t>#</t>
    </r>
    <r>
      <t>153102371</t>
    </r>
  </si>
  <si>
    <t xml:space="preserve">Gave a complete demo to Pragnesh, there were no special requirements. prospect is looking to purchase 5Starter licenses. </t>
  </si>
  <si>
    <t>https://workdrive.zoho.in/file/uhqn77ccc817b375d49f580c6198f936eab87</t>
  </si>
  <si>
    <t xml:space="preserve">No response over mails/ calls </t>
  </si>
  <si>
    <r>
      <t>caredont473@gmail.com</t>
    </r>
  </si>
  <si>
    <r>
      <t>#</t>
    </r>
    <r>
      <t>155825611</t>
    </r>
  </si>
  <si>
    <t>Store company data securely.
Share selected files/folders with clients.</t>
  </si>
  <si>
    <t>tanmay.th@gmail.com</t>
  </si>
  <si>
    <t>Small Tech Project</t>
  </si>
  <si>
    <t>#150273609</t>
  </si>
  <si>
    <t xml:space="preserve">Prospect is looking for switch from System server to cloud, as there are 2 people in the CA firm and accessing data if a person is not available has been a challenge </t>
  </si>
  <si>
    <t>https://workdrive.zoho.in/file/j753962559477364341238cfc09e30ab36c04</t>
  </si>
  <si>
    <t>admin@bramhall1840.co.uk</t>
  </si>
  <si>
    <t>#155301639</t>
  </si>
  <si>
    <t>Customer joined the session using a mobile device due to laptop issues.
Customer had already explored the free trial earlier.
Primary requirement is to upload data, organize files, and give team access.
Data is currently stored on a local hard drive.</t>
  </si>
  <si>
    <t>https://workdrive.zoho.in/file/j7539bdd595fddc7a4adeabd366b4038064c5</t>
  </si>
  <si>
    <t>jayaprakash.h@spagofoods.com</t>
  </si>
  <si>
    <t>Food Retail</t>
  </si>
  <si>
    <r>
      <t>#</t>
    </r>
    <r>
      <t>155893242</t>
    </r>
  </si>
  <si>
    <t>The customer is looking to digitize physical documents and implement a digital approval workflow to eliminate paper-based approvals and manual document handling.</t>
  </si>
  <si>
    <t>Connect customer with Zoho Concierge Team for solution consultation.
Arrange follow-up discussions for:
Zoho Desk
Zoho Projects
Zoho Creator integrations</t>
  </si>
  <si>
    <t>https://workdrive.zoho.in/file/j753910a15b5d141e46638b3c5aeb5be9f141</t>
  </si>
  <si>
    <t>shayne.higino@devtac.com</t>
  </si>
  <si>
    <r>
      <t>#</t>
    </r>
    <r>
      <t>155942873</t>
    </r>
  </si>
  <si>
    <t>Gave a training to partner DEVTAC. 20+ Team members from Partner org joined the session to focus on how WorkDrive can be pitched.</t>
  </si>
  <si>
    <t>Partner training session.</t>
  </si>
  <si>
    <t>https://workdrive.zoho.in/file/z1hracdfadd9dc69f4fc587b00fd885f037c2</t>
  </si>
  <si>
    <t>#2221931</t>
  </si>
  <si>
    <t xml:space="preserve">Not recorded </t>
  </si>
  <si>
    <t>yogesh@vara.co</t>
  </si>
  <si>
    <t>#156144235</t>
  </si>
  <si>
    <t>They are looking for a compliance tracker solution that can automatically send monthly reminders to upload compliance documents and provide a tracking system to ensure files are uploaded regularly. Once documents are uploaded, the system should notify or report to the hierarchy or higher management. They are looking for something more advanced than simple cloud storage, unlike their current setup with OneDrive</t>
  </si>
  <si>
    <t xml:space="preserve"> compliance tracking + reminders + document repository solution</t>
  </si>
  <si>
    <t>https://workdrive.zoho.in/file/j75397a625a94bb9841459110c92fb9786316</t>
  </si>
  <si>
    <r>
      <t xml:space="preserve">Documents expiry - </t>
    </r>
    <r>
      <t>https://sprints.zoho.in/workspace/zdocs#P15/itemdetails/I7456/details</t>
    </r>
  </si>
  <si>
    <t>manivelca@gmail.com</t>
  </si>
  <si>
    <t>#156105917</t>
  </si>
  <si>
    <t>They are currently using OneDrive for document management but are facing several issues, especially with after-sales support. As a result, they are exploring Zoho as an alternative—not only for document management but also for other Zoho solutions such as invoicing, payment gateway, campaigns, CRM, and more.</t>
  </si>
  <si>
    <t>PSE562759</t>
  </si>
  <si>
    <t>https://workdrive.zoho.in/file/j7539bbd99514d7a042eba5a30594ad2ca679</t>
  </si>
  <si>
    <t xml:space="preserve">They are interested in Zoho One bundle solution they will be evaluating it accordingly </t>
  </si>
  <si>
    <r>
      <t>bhavik181931@gmail.com</t>
    </r>
  </si>
  <si>
    <t>#156092071</t>
  </si>
  <si>
    <t xml:space="preserve">Prospect was looking for family storage option, explained and differentiated </t>
  </si>
  <si>
    <t>Zillum</t>
  </si>
  <si>
    <t>https://workdrive.zoho.in/file/j75395e530457887840518ded021fcc290f28</t>
  </si>
  <si>
    <t>Telecommunications</t>
  </si>
  <si>
    <t>https://workdrive.zoho.in/file/j7539f5e1afc021954a8e9d1c427d63ffc986</t>
  </si>
  <si>
    <t>chris@nwids.com</t>
  </si>
  <si>
    <t>#155981652</t>
  </si>
  <si>
    <t xml:space="preserve">manage expenses, invoices, inventory, mileage, and equipment purchases </t>
  </si>
  <si>
    <t>Suggested Zoho Inventory &amp; books</t>
  </si>
  <si>
    <t>https://workdrive.zoho.in/file/j75391ae6f914b67846c09456657fcc8a68e6</t>
  </si>
  <si>
    <t>stu.hunter@rbbs.com.au</t>
  </si>
  <si>
    <t xml:space="preserve">Internet </t>
  </si>
  <si>
    <t>#155891419</t>
  </si>
  <si>
    <t>The customer is looking for a secure FTP-based file transfer solution where their customers can upload sensitive documents safely instead of sending them through email. The files should be uploaded to a secure server, remain available for about 72 hours, and then automatically delete. The solution should also support large file uploads (up to ~25 GB) and provide timestamping or traceability for the transfers. They currently use Microsoft OneDrive for storage and host their systems on Microsoft Azure, but are exploring more cost-effective alternatives since Azure’s FTP feature is relatively expensive.</t>
  </si>
  <si>
    <t>PSE562761</t>
  </si>
  <si>
    <t xml:space="preserve">They are not interested to move from OneDrive to WorkDrive, just looking for FTP solution </t>
  </si>
  <si>
    <t>https://workdrive.zoho.in/file/j75393864b76e15544396bff0a9dab75cfd54</t>
  </si>
  <si>
    <t>itsupport@linesandframesprojects.com</t>
  </si>
  <si>
    <t>#156166565</t>
  </si>
  <si>
    <t>user wanted to know the available storage add-on options in the Workplace bundle.</t>
  </si>
  <si>
    <t>https://workdrive.zoho.in/file/j753926d5e2aa340848d48a31908e7f981bab</t>
  </si>
  <si>
    <t>sales@piinacle.com.sg</t>
  </si>
  <si>
    <r>
      <t>#</t>
    </r>
    <r>
      <t>155432463</t>
    </r>
  </si>
  <si>
    <t>provided an overview of Zia AI capabilities within Zoho WorkDrive for existing Zoho Workplace users and to address queries related to AI features and user management.</t>
  </si>
  <si>
    <t xml:space="preserve">ZIA Hubs in WP </t>
  </si>
  <si>
    <r>
      <t>shaheer@shintech.co.uk</t>
    </r>
  </si>
  <si>
    <r>
      <t>#</t>
    </r>
    <r>
      <t>156129679</t>
    </r>
  </si>
  <si>
    <t>1. Existing users of Zoho Books. 
The customer is currently using Synology for local storage and wants a cloud-based backup and collaboration solution.</t>
  </si>
  <si>
    <t>https://workdrive.zoho.in/file/bwvtoaf5a513edcb34da185495b4665d29d9a</t>
  </si>
  <si>
    <t>#122669811</t>
  </si>
  <si>
    <t>Discussed on Zoho Office Suite.
They have requested for packages to download writer, sheet and Show in one go.</t>
  </si>
  <si>
    <t>Download Writer, Sheet and Show offline apps in one package.</t>
  </si>
  <si>
    <t>Related to Office Suite</t>
  </si>
  <si>
    <t>p.riesel@massbbo.org</t>
  </si>
  <si>
    <t xml:space="preserve">Law practice </t>
  </si>
  <si>
    <t>#155963064</t>
  </si>
  <si>
    <t>They have recently purchased Zoho Desk for their ticketing system and are currently using ShareFile for document storage. Since ShareFile does not integrate with Zoho Desk, they are unable to attach files from their document storage while replying to tickets. Hence, they are considering moving to Zoho WorkDrive so they can easily pick and attach files from WorkDrive while responding in Zoho Desk. No other special requirements were mentioned.</t>
  </si>
  <si>
    <t>ShareFile</t>
  </si>
  <si>
    <t>https://workdrive.zoho.in/file/iyyxxc3b64be9b6a04845a99d956eeeb3df01</t>
  </si>
  <si>
    <t xml:space="preserve">Tried reaching the prospect through phone but it was a common line hence sent an email to the prospect. </t>
  </si>
  <si>
    <t>arunav.uppal@gmail.com</t>
  </si>
  <si>
    <t>#156105271</t>
  </si>
  <si>
    <t>The customer wanted to understand key aspects of Zoho WorkDrive, including storage limits and scalability for their team, admin controls and user permission management, integration capabilities with tools such as Microsoft 365 and Gmail, as well as details on data security, compliance, privacy, and pricing flexibility including any enterprise or volume discounts.</t>
  </si>
  <si>
    <t>They were also particularly interested in the AI aspect and asked whether Claude AI by Anthropic can integrate with WorkDrive through a plugin, extension, marketplace integration, or APIs.</t>
  </si>
  <si>
    <t>30 - 40</t>
  </si>
  <si>
    <t>https://workdrive.zoho.in/file/iyyxxb6ce4fa2352d495a87794f56e70112af</t>
  </si>
  <si>
    <t xml:space="preserve">Mach 18
No response  </t>
  </si>
  <si>
    <r>
      <t xml:space="preserve">WorkDrive + Claude AI integration 
</t>
    </r>
    <r>
      <t>https://sprints.zoho.in/workspace/zdocs#P15/itemdetails/I7737</t>
    </r>
  </si>
  <si>
    <t>rmishra@hngil.com</t>
  </si>
  <si>
    <r>
      <t>#</t>
    </r>
    <r>
      <t>156099020</t>
    </r>
  </si>
  <si>
    <t>The main objective discussed was to digitize and organize all physical and digital records into a structured document management system.</t>
  </si>
  <si>
    <r>
      <t>docsupport@choiceorg.com</t>
    </r>
  </si>
  <si>
    <r>
      <t>#</t>
    </r>
    <r>
      <t>156154216</t>
    </r>
  </si>
  <si>
    <t>How documentation and folders can be managed in the system,
How restricted access can be provided to specific users
How the owner or admin can control permissions for accessing folders and documents
How workflows for document review and approval can be implemented</t>
  </si>
  <si>
    <r>
      <t>christine.sielemann@luxaviation.com</t>
    </r>
  </si>
  <si>
    <t>Aviation</t>
  </si>
  <si>
    <r>
      <t>#</t>
    </r>
    <r>
      <t>154334623</t>
    </r>
  </si>
  <si>
    <t>The prospect is evaluating for 3 user licenses.</t>
  </si>
  <si>
    <t>Need to check on your requirement to have a template document created as theme in Zoho Show, so that you can change the theme to the slides created from Analytics dashboard</t>
  </si>
  <si>
    <t>Zoho Show has to provide an upload or create theme and set it up as default theme.\</t>
  </si>
  <si>
    <t>https://workdrive.zoho.in/file/77r61dc36760c40f64012ac4fadb56000e227</t>
  </si>
  <si>
    <t>Zoho Show related.</t>
  </si>
  <si>
    <t>ajked@ajkcas.com</t>
  </si>
  <si>
    <t>Educational institution</t>
  </si>
  <si>
    <t>#152777802</t>
  </si>
  <si>
    <t>1. Existing prospect came for a complete demo on Workflow with their team.
2. He wanted to integrate Zoho Sign at the end of the Workflow. Showed him how to meet this requirement using cu</t>
  </si>
  <si>
    <t>https://workdrive.zoho.in/file/77r6157747334e0874574a33c38d5de5a468b</t>
  </si>
  <si>
    <t xml:space="preserve">Cx is asked to follow up later </t>
  </si>
  <si>
    <t>kvrvenkat.ca@outlook.com</t>
  </si>
  <si>
    <t>Marketing</t>
  </si>
  <si>
    <t>#156203899</t>
  </si>
  <si>
    <t>They are currently using multiple Zoho products, but for document management they use Google Drive in their Chennai office and OneDrive in their Bangalore office. They are planning to move to Zoho WorkDrive so that all document management can be handled on a single unified platform.</t>
  </si>
  <si>
    <t>Google Drive &amp; OneDrive</t>
  </si>
  <si>
    <t>https://workdrive.zoho.in/file/77r612966ee480df54a099360e1e983d4bcd3</t>
  </si>
  <si>
    <t xml:space="preserve">23/3/2026
No answer , follow up email sent   </t>
  </si>
  <si>
    <t>ben.thomas@absatellite.com</t>
  </si>
  <si>
    <r>
      <t>#</t>
    </r>
    <r>
      <t>156096705</t>
    </r>
  </si>
  <si>
    <t>- We need team folder management with group-based access controls so we can assign users to specific folders by department or project</t>
  </si>
  <si>
    <t>https://workdrive.zoho.in/file/ggxqxa2b3b1c1cb0c4b65b51569925fd399c2</t>
  </si>
  <si>
    <t>spoke with the px he said he is going the existing subcription - share point</t>
  </si>
  <si>
    <r>
      <t xml:space="preserve"> </t>
    </r>
    <r>
      <t>thoratshivraj@gmail.com</t>
    </r>
  </si>
  <si>
    <r>
      <t>#</t>
    </r>
    <r>
      <t>155249896</t>
    </r>
  </si>
  <si>
    <t>Selective Sync - Need to choose Subfolders from a team folder Sync</t>
  </si>
  <si>
    <t>https://workdrive.zoho.in/file/ggxqxe17d54ecc3714df58faa299a743b6d9e</t>
  </si>
  <si>
    <t>charan.kumar@tattvasol.com</t>
  </si>
  <si>
    <t>Digital Marketing</t>
  </si>
  <si>
    <r>
      <t>#</t>
    </r>
    <r>
      <t>149786709</t>
    </r>
  </si>
  <si>
    <t xml:space="preserve">Need to explore for documents storing, and sharing with customer . Working online, joning the meeting </t>
  </si>
  <si>
    <t>https://workdrive.zoho.in/file/ggxqx628403b290d04b5cbc4ad820366c5426</t>
  </si>
  <si>
    <t xml:space="preserve">wanted to get price quote shared him official price quote follow up email sent </t>
  </si>
  <si>
    <t>infoteranovaspace026@gmail.com</t>
  </si>
  <si>
    <t>#156146347</t>
  </si>
  <si>
    <t>They are facing challenges in sharing large files both internally and with external clients. Their typical file size is around 20GB per file, and clients need to download files via shared links.</t>
  </si>
  <si>
    <t>PSE566674</t>
  </si>
  <si>
    <t>https://workdrive.zoho.in/file/hcuw68b00812983db471aa94d1722504d40ab</t>
  </si>
  <si>
    <t xml:space="preserve">March 25
No answer, follow up email sent   </t>
  </si>
  <si>
    <t>deepak.joshi@insecticidesindia.com</t>
  </si>
  <si>
    <r>
      <t>#</t>
    </r>
    <r>
      <t>155667623</t>
    </r>
  </si>
  <si>
    <t>Need to store large files such as videos, images, and scanned documents instead of storing them locally on laptops</t>
  </si>
  <si>
    <t>https://workdrive.zoho.in/file/h18q4cf49afb79d1f446a819e361e4a30827f</t>
  </si>
  <si>
    <t>info@kcomforttravels.com</t>
  </si>
  <si>
    <t>#156202152</t>
  </si>
  <si>
    <t>They are exploring various Zoho apps like WorkDrive, CRM, Books and mail.</t>
  </si>
  <si>
    <t>bria@brightlittlepages.com</t>
  </si>
  <si>
    <t>#156135761</t>
  </si>
  <si>
    <t>She is an author who is looking for centralised storage between herself and her friend with whom she will be sharing documents, initially she was using mail but found it difficult to keep track.</t>
  </si>
  <si>
    <t>Mail</t>
  </si>
  <si>
    <t>PSE564062</t>
  </si>
  <si>
    <t>https://workdrive.zoho.in/file/h8u2hde72b07ea9ca4cfab2dc288f0edae7a3</t>
  </si>
  <si>
    <t>Deal won</t>
  </si>
  <si>
    <t>dinagaran@bvrpc.com</t>
  </si>
  <si>
    <t>#155569446</t>
  </si>
  <si>
    <t>Cx and team (existing paid team) joined the session and mentioned they are a consulting firm with 10-15 members using large data of resumes. Currently they are managing files from their local drives, where its difficult to process them so looking for ways to efficiently manage them.</t>
  </si>
  <si>
    <t>bharathkumar.k@cityunionbank.in</t>
  </si>
  <si>
    <r>
      <t>#</t>
    </r>
    <r>
      <t>156377104</t>
    </r>
  </si>
  <si>
    <t>1. They are evaluating Offline Desktop apps of Writer, Sheet and Show for 8700 users.
2. There are 3700+ Linux (SUSE) machines and 4000+ Windows machines.</t>
  </si>
  <si>
    <t>Special Requirement:
1. They are looking for Zoho Sheet and Zoho Show for Linux (SUSE) as .RMP.
&gt;&gt; They wanted to be notified once beta for Linux SUSE for Sheet and Show is available.
&gt;&gt; As 3700 users are using Linux machines and the number is going to grow in the future as they want to curb Windows machine and increase Linux machines in their organisation.
@Vaseekaran Baskaran @Tikeshwar Sahu @Kumar Vinay Shree Shiv Shankar Prasad Saw @Kirubhakaran Mohan @Ramasubiah Mohanasundaram @John Victor D
2. Currently Writer for Linux is available as .DEB, but they are looking to have as .RMP format installer file. @Ganeshprabhu Rajendran @Madhankumar Ramamoorthy
3. Macros support for Zoho Sheet Offline desktop app. @Kumar Vinay Shree Shiv Shankar Prasad Saw @Ganesh Ramsakthi Mohan
4. Offline installation (without internet) for Writer, Sheet and Show, is crucial for them as they do not want to provide internet access to their users.
5. They want to push the installation of Office Suite and app updates through ME Endpoint Central. They are currently using Endpoint Central to install other applications and they want native Zoho application to be the same way.
&gt;&gt; Please add your insights for #4 and #5, @Shyamala Ramesh @Ramesh Sripathy @Karthikeyan Jambulingam</t>
  </si>
  <si>
    <t>Zoho Office Suite related.</t>
  </si>
  <si>
    <r>
      <t xml:space="preserve"> </t>
    </r>
    <r>
      <t>ssbglobal07@gmail.com</t>
    </r>
  </si>
  <si>
    <t>Consutling</t>
  </si>
  <si>
    <r>
      <t>#</t>
    </r>
    <r>
      <t>156350015</t>
    </r>
  </si>
  <si>
    <t>UL - 10
Connected with Suresh and provided an overview and demo of Zoho WorkDrive.</t>
  </si>
  <si>
    <t>https://workdrive.zoho.in/file/100ge76ffc86606524f71875e40b8ac4b3b17</t>
  </si>
  <si>
    <t xml:space="preserve">no answer, follow up emnail sent </t>
  </si>
  <si>
    <t>design@iscaffdesigns.co.uk</t>
  </si>
  <si>
    <t>Architect</t>
  </si>
  <si>
    <r>
      <t>#</t>
    </r>
    <r>
      <t>156375211</t>
    </r>
  </si>
  <si>
    <t>Connected with the customer and discussed their requirement to share folders with remote employees to upload and download files without giving full platform access.</t>
  </si>
  <si>
    <t>akashvince.h@usam.in</t>
  </si>
  <si>
    <r>
      <t>#</t>
    </r>
    <r>
      <t>155932660</t>
    </r>
  </si>
  <si>
    <t>1. They are using Auto CAD to preview and edit their design files.
2. WorkDrive is yet to support Auto CAD. They say that in order to preview the file, it has to be downloaded. 
3. As of now suggested WorkDrive TrueSync and Genie to preview and edit CAD files. .</t>
  </si>
  <si>
    <t>1. We need to provide preview support for CAD files in WorkDrive</t>
  </si>
  <si>
    <t>It was a user education session for Partner for a client's requirement.</t>
  </si>
  <si>
    <r>
      <t>Auto CAD preview support</t>
    </r>
    <r>
      <t>https://sprints.zoho.in/workspace/zdocs#P15/itemdetails/I7462/details</t>
    </r>
  </si>
  <si>
    <t>xemploy09@gmail.com</t>
  </si>
  <si>
    <t>#156394602</t>
  </si>
  <si>
    <t xml:space="preserve"> i need a full crm, inventory management or dealer Portal. so can you give me a demo about this system?</t>
  </si>
  <si>
    <t xml:space="preserve">Cx is looking for CRM &amp; Inventory </t>
  </si>
  <si>
    <t>hima.haridas@whitehatvirtual.com</t>
  </si>
  <si>
    <t>#156348331</t>
  </si>
  <si>
    <t>The customer initially mentioned a requirement for data management, but during the discussion it became clear that their needs were primarily related to Zoho Vault.</t>
  </si>
  <si>
    <t>Zoom meeting</t>
  </si>
  <si>
    <t>sudharsan0124@gmail.com</t>
  </si>
  <si>
    <t xml:space="preserve">Photography </t>
  </si>
  <si>
    <t>#156265729</t>
  </si>
  <si>
    <t>The customer is a photographer currently storing raw files on external hard disks. Due to increasing storage costs, they are exploring cloud storage as a secondary backup solution for raw photography files.</t>
  </si>
  <si>
    <t>Hard Disk</t>
  </si>
  <si>
    <t>PSE565504</t>
  </si>
  <si>
    <t>https://workdrive.zoho.in/file/pzjvw6e8f055db870443bacb31579e495ed6e</t>
  </si>
  <si>
    <t xml:space="preserve">March 23
No answer, follow up email sent    </t>
  </si>
  <si>
    <t>archita.s.parikh@gmail.com</t>
  </si>
  <si>
    <r>
      <t>#</t>
    </r>
    <r>
      <t>156406214</t>
    </r>
  </si>
  <si>
    <t>Customer is evaluating migration from Google Workspace to Zoho within 24 hours</t>
  </si>
  <si>
    <t xml:space="preserve">WP Team has sent email </t>
  </si>
  <si>
    <t>https://workdrive.zoho.in/file/100gef4ccd26f92b44bfcb68c569065a5a3e8</t>
  </si>
  <si>
    <t>enquiry@ssmasc.edu.in</t>
  </si>
  <si>
    <t>#156261467</t>
  </si>
  <si>
    <t>They are currently using their local drive and mail to host and share files within them, and now looking to moved to a cloud based DMS.</t>
  </si>
  <si>
    <t>PSE564517</t>
  </si>
  <si>
    <t>https://workdrive.zoho.in/file/dixwue73221d9aeb24d708f809a6d8ce9b682</t>
  </si>
  <si>
    <t xml:space="preserve">Follow up email sent asking for updates </t>
  </si>
  <si>
    <t>director@indokrisna.com</t>
  </si>
  <si>
    <t>#156480110</t>
  </si>
  <si>
    <t>They are looking to understand how Zoho WorkDrive can be positioned as a standalone DMS solution for their clients.</t>
  </si>
  <si>
    <t>Client's requirement: AI-based auto-classification of files into folders based on content</t>
  </si>
  <si>
    <t>https://workdrive.zoho.in/file/du5hqf274dc4db26c4d439e1a5bb5113512af</t>
  </si>
  <si>
    <t>https://sprints.zoho.in/workspace/zdocs#P15/itemdetails/I7425</t>
  </si>
  <si>
    <t>vishal.s@senseselec.com</t>
  </si>
  <si>
    <t>Electronics</t>
  </si>
  <si>
    <t>#156422427</t>
  </si>
  <si>
    <t>They are currently using Google services to store and share training materials such as videos, PPTX, DOCX, XLSX, and audio files. They have also created a self-training website using Google Sites where team members log in to access content stored in Google Drive.</t>
  </si>
  <si>
    <t>Google drive</t>
  </si>
  <si>
    <t>PSE564809</t>
  </si>
  <si>
    <t xml:space="preserve">10 + few client user license </t>
  </si>
  <si>
    <t>https://workdrive.zoho.in/file/pzjvw973ec7ee532a40249fe16d81c405b513</t>
  </si>
  <si>
    <t xml:space="preserve">April 6
Tried reaching the px but they ignored my call </t>
  </si>
  <si>
    <t>vir.singh@teri.res.in</t>
  </si>
  <si>
    <t>Non-profit</t>
  </si>
  <si>
    <r>
      <t>#</t>
    </r>
    <r>
      <t>155224008</t>
    </r>
  </si>
  <si>
    <t>Each project has a defined approval hierarchy (Purchase department-&gt; PI → Director → Department Director → Purchase Admin Director → DG based on value less than or More than 10L).</t>
  </si>
  <si>
    <t>https://workdrive.zoho.in/file/du5hqaa1ce780c7684be88414cdcbb28ae88e</t>
  </si>
  <si>
    <t xml:space="preserve">Tried reaching the px no response, sent email  </t>
  </si>
  <si>
    <t>jaineel.shah@npcpl.in</t>
  </si>
  <si>
    <r>
      <t>#</t>
    </r>
    <r>
      <t>156340712</t>
    </r>
  </si>
  <si>
    <t>Looking for a cloud storage solution similar to Dropbox/Google Drive but more cost-effective.</t>
  </si>
  <si>
    <t>Google Drive / Dropbox</t>
  </si>
  <si>
    <t>https://workdrive.zoho.in/file/du5hq608203f3ffbe4194b9be1db4d19c16b4</t>
  </si>
  <si>
    <t>Cx had dropped mail 
Dear Monica,
I tried zoho workdrive and I found useful. However we have to use office 365 for other users for their day to day tasks. So it is not making sense for me tonpay at both ends.
But in future I will definitely consider this as sure replacement of onedrive.</t>
  </si>
  <si>
    <t xml:space="preserve">Follow up QnA session </t>
  </si>
  <si>
    <t xml:space="preserve">px done with demo tried reaching the px no response sent email - Tried reaching no response sent commercials, px done with demo </t>
  </si>
  <si>
    <r>
      <t xml:space="preserve"> </t>
    </r>
    <r>
      <t>rvasane@amherst.com</t>
    </r>
  </si>
  <si>
    <t>#156472880</t>
  </si>
  <si>
    <t>Customer manages ~10K+ invoices/month using Excel with formulas.</t>
  </si>
  <si>
    <t>https://workdrive.zoho.in/file/100ged37e3681e54d434c85e40ad8be672f01</t>
  </si>
  <si>
    <t>jitesh.jadhav@tyger.in</t>
  </si>
  <si>
    <t>#156208786</t>
  </si>
  <si>
    <t xml:space="preserve">OneDrive for test migration </t>
  </si>
  <si>
    <t>rizwan@alainfinance.ae</t>
  </si>
  <si>
    <t>#155474896</t>
  </si>
  <si>
    <t xml:space="preserve">Requirement discussion </t>
  </si>
  <si>
    <t>PSE568758</t>
  </si>
  <si>
    <t>https://workdrive.zoho.in/file/100ge9cd034004ccf43cdbfe14909a3c0ece5</t>
  </si>
  <si>
    <t>Real Estate Investment</t>
  </si>
  <si>
    <r>
      <t>#</t>
    </r>
    <r>
      <t>156472880</t>
    </r>
  </si>
  <si>
    <t>The prospect currently uses Excel with multiple sheets and formulas to record utility service bill details before uploading them to their accounting application. The file often hangs when making enhancements. He is looking for an alternative solution where the same formulas can be applied, and multiple team members can access and work on the file simultaneously.</t>
  </si>
  <si>
    <t>Excel is slow and unstable with large data (~3+ lakh rows).
Manual consolidation and GL coding.</t>
  </si>
  <si>
    <t>https://workdrive.zoho.in/file/100ge0c5230ccb6bc4bfd9a9da1930684d91b</t>
  </si>
  <si>
    <t>ayushdas11@gmail.com</t>
  </si>
  <si>
    <t>#156495380</t>
  </si>
  <si>
    <t>Conducted a product demo of Zoho WorkDrive for ~5–10 users looking for a cloud-based solution primarily for data storage and backup. Clarified that WorkDrive is a cloud storage and collaboration platform (similar to Google Drive/Dropbox) and does not support automatic system backup—files need to be uploaded manually or via TrueSync.</t>
  </si>
  <si>
    <t>https://workdrive.zoho.in/file/100ge4dd7f17f2dbe4e1f88b30205ac249860</t>
  </si>
  <si>
    <t xml:space="preserve">Tried reaching the px no response. </t>
  </si>
  <si>
    <r>
      <t xml:space="preserve"> </t>
    </r>
    <r>
      <t>mehdi.alinejad@yhuterminal.com</t>
    </r>
  </si>
  <si>
    <t>#156559493</t>
  </si>
  <si>
    <t xml:space="preserve">Prospect joined the session, due to some audio challenges prospect wanted to share the details about the feature and then he will reach back to us </t>
  </si>
  <si>
    <t>Thank you for your quotation and support.
After careful review, we have decided to proceed with another option and will not be moving forward with your proposal at this time.
We appreciate your time .</t>
  </si>
  <si>
    <t>schmittef@gemm.ms.de</t>
  </si>
  <si>
    <t xml:space="preserve">Primary school </t>
  </si>
  <si>
    <t>#2371902</t>
  </si>
  <si>
    <t>They are currently using IServ, a platform designed for schools, but are facing limitations with storage (only 1 TB available). They also highlighted issues such as files being accidentally deleted by students and difficulty accessing files across multiple devices.</t>
  </si>
  <si>
    <t>They are looking for SSO integration with the IServ platform</t>
  </si>
  <si>
    <t>IServ, a platform designed for schools</t>
  </si>
  <si>
    <t>PSE/Concierge 59998</t>
  </si>
  <si>
    <t>150 user licenses and 1000 client user licenses</t>
  </si>
  <si>
    <r>
      <t xml:space="preserve">They plan to start evaluating the product after April 13 (post school vacation), with a potential full rollout by August this year.
</t>
    </r>
    <r>
      <t>Connect post</t>
    </r>
  </si>
  <si>
    <t>https://workdrive.zoho.in/file/tcoml783644bce4eb45d48a27f35fb7240bc3</t>
  </si>
  <si>
    <t>Accounts team related</t>
  </si>
  <si>
    <t>slouis@ohs.uk</t>
  </si>
  <si>
    <t>#2375234</t>
  </si>
  <si>
    <t>They are looking to manage invoices for construction projects. Currently, invoices are received via Gmail and approved manually, which is inefficient. They want a centralized portal to upload all invoices, set up approval workflows, and then move approved files to the appropriate folders.</t>
  </si>
  <si>
    <t>PSE/Concierge 60049</t>
  </si>
  <si>
    <t>https://workdrive.zoho.in/file/tcomla0e7767734304ba08c306d78fa19b4e5</t>
  </si>
  <si>
    <t xml:space="preserve">no response, sending an email follow up  </t>
  </si>
  <si>
    <t>crandell@myedusolutions.com</t>
  </si>
  <si>
    <t>#156678022</t>
  </si>
  <si>
    <t>ustomer is using multiple Zoho One organizations across different businesses and is looking for a consistent UI/experience across all.</t>
  </si>
  <si>
    <t xml:space="preserve"> </t>
  </si>
  <si>
    <t>adpradhan5101@gmail.com</t>
  </si>
  <si>
    <r>
      <t>#</t>
    </r>
    <r>
      <t>156581004</t>
    </r>
  </si>
  <si>
    <t>I want to explore all the possible features that we can use on zoho to optimise our workflow and also want to know in detail regarding the workflow option in zoho workdrive</t>
  </si>
  <si>
    <t>siddharthbest@gmail.com</t>
  </si>
  <si>
    <t>#156619048</t>
  </si>
  <si>
    <t>They are currently going e-commerce/digital where they are trying to create ad and would like their external users to directly access around 50 number of files for view or download purposes.</t>
  </si>
  <si>
    <t>No recording - connected in Zvoice for audio and Zmeeting for share screen</t>
  </si>
  <si>
    <t>April 21
Spoke with cx and they had queries in external share link. Email shared to cx</t>
  </si>
  <si>
    <t>shivaraj@yantralive.com</t>
  </si>
  <si>
    <t>Automobile</t>
  </si>
  <si>
    <t>#156480655</t>
  </si>
  <si>
    <t>They are into the heavy equipment (attachments &amp; spare parts) business and are looking to use WorkDrive as a centralized DMS to manage their operations.</t>
  </si>
  <si>
    <t>Zoho Books + WorkDrive Integration and Automation to track missing documents when users miss to upload few files (e.g., if only partial files uploaded, system should notify).</t>
  </si>
  <si>
    <t>Notion, Google Drive</t>
  </si>
  <si>
    <t>PSE565778</t>
  </si>
  <si>
    <t>https://workdrive.zoho.in/file/6fmw0d74daf6691904fbbbff084c16cca8089</t>
  </si>
  <si>
    <t>Spoke with the cx, the demo has been completed , and they need some time for product evalaution asked me to call on tuesday</t>
  </si>
  <si>
    <r>
      <t xml:space="preserve">Books + WD - </t>
    </r>
    <r>
      <t>https://sprints.zoho.in/workspace/zdocs#P15/itemdetails/I7563</t>
    </r>
    <r>
      <t xml:space="preserve">  Automation to track missing - </t>
    </r>
    <r>
      <t>https://sprints.zoho.in/workspace/zdocs#P15/itemdetails/I7564</t>
    </r>
  </si>
  <si>
    <t>ashfaquedawre@bdo.in</t>
  </si>
  <si>
    <r>
      <t>#</t>
    </r>
    <r>
      <t>156639884</t>
    </r>
  </si>
  <si>
    <t>The prospect was looking for interoperability between MS O 365 and Zoho WorkDrive.</t>
  </si>
  <si>
    <t>sendil.kumar@varroc.com</t>
  </si>
  <si>
    <r>
      <t>#</t>
    </r>
    <r>
      <t>156698049</t>
    </r>
  </si>
  <si>
    <t>1. They requested for desktop apps of Zoho Office Suite.
&gt;&gt; Informed them that offline desktop apps are now available for Zoho Office Suite.</t>
  </si>
  <si>
    <t>1. They have created some custom apps in their Sharepoint, which they wanted to replace.
&gt;&gt; The creator integration in Zoho Connect has been suggested.
&gt;&gt; Based on their requirement if creator is required, it can be solutioned in.
2. They are also existing Power BI user and looking for an analytics tool.
&gt;&gt; Raghu has mentioned that based on their requirement if Zoho Analytics need to be included, it can be solutioned in.
3. They have requested for Think Add-on for Excel to be supported for Zoho Sheet as well. @Tikeshwar Sahu @Abinaya Kannan
&gt;&gt; We have mentioned that we'll check on this internally and circle back.</t>
  </si>
  <si>
    <t>MS O365</t>
  </si>
  <si>
    <t>4000+</t>
  </si>
  <si>
    <t>Workplace team will follow up further.</t>
  </si>
  <si>
    <t>harisha.prabakaran@laserxprts.com</t>
  </si>
  <si>
    <t>#118772090</t>
  </si>
  <si>
    <t>5 TB</t>
  </si>
  <si>
    <t>https://workdrive.zoho.in/file/gsg5wcab2e71923aa472a822567a9fed751d3</t>
  </si>
  <si>
    <t xml:space="preserve">No answer, follow up email sent  </t>
  </si>
  <si>
    <t>#156581004</t>
  </si>
  <si>
    <t xml:space="preserve">Paid WD business user - QnA session on Workflows </t>
  </si>
  <si>
    <t>gayathri@energyls.in</t>
  </si>
  <si>
    <t>#156479911</t>
  </si>
  <si>
    <t>They are currently managing files from their local drive and is looking for a cloud based set-up for internal collab and with AI integrations and automations for better productivity.</t>
  </si>
  <si>
    <t>support@qdas.net</t>
  </si>
  <si>
    <t>Data Analytics</t>
  </si>
  <si>
    <t>#156540435</t>
  </si>
  <si>
    <t>Paid Workplace user - QnA session on WD and other apps</t>
  </si>
  <si>
    <t>it@sanstar.in</t>
  </si>
  <si>
    <r>
      <t>#</t>
    </r>
    <r>
      <t>156602722</t>
    </r>
  </si>
  <si>
    <t>The prospect is looking to back up his Windows 2019 and 2012 servers to the cloud.</t>
  </si>
  <si>
    <t>Windows 2019 server and 2012 server</t>
  </si>
  <si>
    <t>5TB</t>
  </si>
  <si>
    <t xml:space="preserve">No response  </t>
  </si>
  <si>
    <t>arck@mantrauae.com</t>
  </si>
  <si>
    <t>Digital Solutions</t>
  </si>
  <si>
    <r>
      <t>#</t>
    </r>
    <r>
      <t>156704181</t>
    </r>
  </si>
  <si>
    <t>We are a tax audit and accounting consultancy startup firm with about six users. I’m looking to start the drive with approximately 2 TB of storage</t>
  </si>
  <si>
    <t xml:space="preserve">Getting an error while uploading recording in WD </t>
  </si>
  <si>
    <t>jose@newstageroofing.com</t>
  </si>
  <si>
    <r>
      <t>#</t>
    </r>
    <r>
      <t>156762894</t>
    </r>
  </si>
  <si>
    <t>Overview of Zoho WorkDrive as a cloud storage &amp; collaboration tool.</t>
  </si>
  <si>
    <t>quality@thepcatech.com</t>
  </si>
  <si>
    <t>#156732481</t>
  </si>
  <si>
    <t>They have been using OneDrive and had challenges with versions and manually sending the documents for review or for sign and looking for automations.</t>
  </si>
  <si>
    <t>https://workdrive.zoho.in/file/7aupw629c5e9faaa947dc9ac0f63966252f08</t>
  </si>
  <si>
    <t xml:space="preserve">spoke with px he is not happy with pricing </t>
  </si>
  <si>
    <r>
      <t xml:space="preserve">1. Integrate WorkDrive with their ERP system: </t>
    </r>
    <r>
      <t>https://sprints.zoho.in/workspace/zdocs#P15/itemdetails/I7565</t>
    </r>
    <r>
      <t xml:space="preserve">
2. Define document number as the file name: </t>
    </r>
    <r>
      <t>https://sprints.zoho.in/workspace/zdocs#P15/itemdetails/I7566</t>
    </r>
  </si>
  <si>
    <t>rajesh.r@albalagh.com</t>
  </si>
  <si>
    <t>Oil and Energy</t>
  </si>
  <si>
    <t>#156542662</t>
  </si>
  <si>
    <t xml:space="preserve"> They are using Egnyte and currently have no challenges, since they are planning to expand they are looking for alternate solutions. Key need is a centralized cloud DMS to handle documents across locations (including sites with limited connectivity) and support growing storage requirements.</t>
  </si>
  <si>
    <t>Egnyte's Compression &amp; deduplication for file versions ,   Migration from Egnyte for more than 20 TB data</t>
  </si>
  <si>
    <t>&gt; 20 TB</t>
  </si>
  <si>
    <t>PSE566642</t>
  </si>
  <si>
    <t>https://workdrive.zoho.in/file/hcuw60b4d1ef75ea744d8b6f5fb4000612e13</t>
  </si>
  <si>
    <t>No sales note yet</t>
  </si>
  <si>
    <r>
      <t xml:space="preserve">1.  Egnyte's Compression &amp; deduplication for file versions: </t>
    </r>
    <r>
      <t>https://sprints.zoho.in/workspace/zdocs#P15/itemdetails/I7567</t>
    </r>
    <r>
      <t xml:space="preserve">
2. Migration from Egnyte for more than 20 TB data: </t>
    </r>
    <r>
      <t>https://sprints.zoho.in/workspace/zdocs#P15/itemdetails/I7568</t>
    </r>
  </si>
  <si>
    <t>Demo on how to integrate Zoho Sign at the end of the Workflow. Showed him how to meet this requirement using custom functions</t>
  </si>
  <si>
    <t>April 22
Cx shared an email for a call tomorrow, asked for their timeslot for day after tomorrow</t>
  </si>
  <si>
    <t>anvesh.rao@sufcindia.com</t>
  </si>
  <si>
    <t>Football Club</t>
  </si>
  <si>
    <t>#156742608</t>
  </si>
  <si>
    <t>They are currently using OneDrive for file storage, but the available storage fills up quickly. They’re exploring alternative solutions to manage large media files and are looking for around 200 TB of storage.</t>
  </si>
  <si>
    <t>1TB looking for 200TB</t>
  </si>
  <si>
    <t>https://workdrive.zoho.in/file/100ge7052c960d382444b828fd747bf038a83</t>
  </si>
  <si>
    <t xml:space="preserve">They are not interested on the current model of subscription. </t>
  </si>
  <si>
    <t>edgar@tiemokgawainc.co.za</t>
  </si>
  <si>
    <t>#156473087</t>
  </si>
  <si>
    <t>They are a law firm currently storing documents on individual machines, which has led to data duplication and occasional data loss. They’re looking for a cloud-based solution with a case-based folder structure, role-based access, activity tracking, external sharing with clients, and workflows for document reviews.</t>
  </si>
  <si>
    <t>PSE566829</t>
  </si>
  <si>
    <t>https://workdrive.zoho.in/file/100ge3b62b09b1833475198a7fc07a4dda9a5</t>
  </si>
  <si>
    <r>
      <t>deal@drakeandgorham.com</t>
    </r>
  </si>
  <si>
    <r>
      <t xml:space="preserve"> #</t>
    </r>
    <r>
      <t>156798774</t>
    </r>
  </si>
  <si>
    <t>Replace corrupted shared server with a cloud solution</t>
  </si>
  <si>
    <t>https://workdrive.zoho.in/file/100ge1c3a5c9662e842939219983a57df9159</t>
  </si>
  <si>
    <t xml:space="preserve">Couldn't reach the cx. Sent a follow up email  </t>
  </si>
  <si>
    <t>blessy@cfaemirates.com</t>
  </si>
  <si>
    <t>#156754028</t>
  </si>
  <si>
    <t xml:space="preserve">They are currently using Dropbox to store all their documents (finance, company docs, event data, photos, etc.) and are looking to move to a more structured cloud-based DMS.
Key requirement is to organize documents better, enable easy internal access for remote team (WFH setup), and simplify external sharing </t>
  </si>
  <si>
    <t>https://workdrive.zoho.in/file/pgrno2513eef4a8964014b41ef3496b86be0b</t>
  </si>
  <si>
    <t xml:space="preserve">spoke with the px she is comparing with other solution providers she said her management is will decide it - if any updates she will reach back to us </t>
  </si>
  <si>
    <t>mohamed.abdulla@albalagh.com</t>
  </si>
  <si>
    <t>Do not follow the px - Barath mentioned - Kindly do not send any follow up emails to this cx. Zoho UAE team is in touch with the cx already.</t>
  </si>
  <si>
    <r>
      <t xml:space="preserve">Deduplication of files - </t>
    </r>
    <r>
      <t>https://sprints.zoho.in/workspace/zdocs#P15/itemdetails/I7448</t>
    </r>
    <r>
      <t xml:space="preserve"> </t>
    </r>
  </si>
  <si>
    <t>nagaharikrishna@railtelindia.com</t>
  </si>
  <si>
    <t>Railway</t>
  </si>
  <si>
    <r>
      <t>#</t>
    </r>
    <r>
      <t>149970514</t>
    </r>
  </si>
  <si>
    <t>They are looking for a File management platform with these features: Retrival, OCR, Backup of data, Coauthoring, Categorisation, time bound reminders, AI related features, DLP, Web and mobile accessibility.</t>
  </si>
  <si>
    <t>1. They are looking for an Integration with EOffice. The use-cases of integration is yet to be discussed. They said we can discuss on this later part.</t>
  </si>
  <si>
    <t>https://workdrive.zoho.in/file/v5kwj9b43c236d73c44a2a99b5e2395a04e1f</t>
  </si>
  <si>
    <t>Suggested APIs</t>
  </si>
  <si>
    <t>avik.das@naukri.com</t>
  </si>
  <si>
    <t>Recruitment</t>
  </si>
  <si>
    <r>
      <t>#</t>
    </r>
    <r>
      <t>156785589</t>
    </r>
  </si>
  <si>
    <t>. Naukri is looking for installable Offline desktop office suite apps. Most of the system have Mac OS.</t>
  </si>
  <si>
    <t>1. Centralized Deployment &amp; Update Control (Critical)
This came out as a strong IT requirement.
They are not in favor of user-level installations
Expectation is clearly towards:
&gt;&gt; Admin-driven deployment (MSI / silent installs)
&gt;&gt; Centralized patch management.
&gt;&gt; Alignment with existing endpoint management tools
How are we planning to provide a centralised installation and patch update management rather than leaving it at the user level? @Shyamala Ramesh @Ganeshprabhu Rajendran
2. Advanced Spreadsheet Capabilities (Very Critical)
This is a power-user environment with heavy Excel dependency.
&gt;&gt; Macros support for Zoho Sheet Offline Desktop apps
&gt;&gt; Slicers for dynamic data filtering.</t>
  </si>
  <si>
    <t>Yet to confirm</t>
  </si>
  <si>
    <t xml:space="preserve">Sent follow up mail to cx. </t>
  </si>
  <si>
    <t>Office Suite related</t>
  </si>
  <si>
    <t>sorav@theshivra.com</t>
  </si>
  <si>
    <r>
      <t>#</t>
    </r>
    <r>
      <t>156766163</t>
    </r>
  </si>
  <si>
    <t>Client is currently using Google Workspace and exploring a complete migration to Zoho ecosystem</t>
  </si>
  <si>
    <t>https://workdrive.zoho.in/file/eo49d51a00ff80c08437ab56c169a659735a8</t>
  </si>
  <si>
    <t>Follow up session - Truesync installation and demo</t>
  </si>
  <si>
    <t>for ref - Demo take in the month of feb</t>
  </si>
  <si>
    <t xml:space="preserve">Tried reaching the px no response </t>
  </si>
  <si>
    <t>pefinfo@poornamecovision.org</t>
  </si>
  <si>
    <t>#156914039</t>
  </si>
  <si>
    <t>They are using Google Drive and had challenges with their upload limit of 40 GB per user for their photos and videos they upload and looking for alternatives.</t>
  </si>
  <si>
    <t>~2 TB</t>
  </si>
  <si>
    <t>https://workdrive.zoho.in/file/jxur3142724bcbb084f09bf09f0683e33c984</t>
  </si>
  <si>
    <t>Architecture</t>
  </si>
  <si>
    <r>
      <t>#</t>
    </r>
    <r>
      <t>154771687</t>
    </r>
  </si>
  <si>
    <t>Customer’s primary focus was on strict access control:
Only Admins should have delete (trash) permissions</t>
  </si>
  <si>
    <t>https://workdrive.zoho.in/file/bsk3pf535fc56abef48109c09dfb21b993531</t>
  </si>
  <si>
    <t>jash.sanghvi@waterfieldadvisors.com</t>
  </si>
  <si>
    <t>Wealth management</t>
  </si>
  <si>
    <t>#156798116</t>
  </si>
  <si>
    <t>They are looking for a DMS solution to store client documents in a centralized location. Their clients should be able to log in and view documents, but should not be able to download, share, print, or take screenshots of them.</t>
  </si>
  <si>
    <t>They are specifically looking for a watermark option across all document types, since screenshots cannot be fully prevented. We informed them that watermarking is currently available for images and will confirm if similar support is available for other file types.</t>
  </si>
  <si>
    <t>Connected via Google meet</t>
  </si>
  <si>
    <r>
      <t xml:space="preserve">Watermark support for all types of format 
</t>
    </r>
    <r>
      <t>https://sprints.zoho.in/workspace/zdocs#P15/itemdetails/I7527</t>
    </r>
  </si>
  <si>
    <t>Query on Workflows</t>
  </si>
  <si>
    <t>arjunhgowda@gmail.com</t>
  </si>
  <si>
    <t>#157015216</t>
  </si>
  <si>
    <t>To store and manage a question bank, which is highly sensitive in nature. They are currently using Google Drive and are exploring WorkDrive mainly for better security and control.</t>
  </si>
  <si>
    <t>PSE568228</t>
  </si>
  <si>
    <t xml:space="preserve">Pricing is a concern but they are interested in DLP - suggested Starter plan with business feature add-on - since they are happy with starter storage </t>
  </si>
  <si>
    <t>https://workdrive.zoho.in/file/82egnc225d4be86db415bb26b15e7132d73ef</t>
  </si>
  <si>
    <t xml:space="preserve">Spoke with him today follow up emaul sent </t>
  </si>
  <si>
    <t>rmohan@transfurt.com</t>
  </si>
  <si>
    <t>Agriculture</t>
  </si>
  <si>
    <t>#156429174</t>
  </si>
  <si>
    <t>To build a centralized repository where technical documentation can be securely stored, standardized, and accessed across units, including by a central team in Mumbai. They are also looking at enabling search using metadata and improving overall accessibility.</t>
  </si>
  <si>
    <t>Local Drive, mail and individual cloud platforms</t>
  </si>
  <si>
    <t>PSE568334</t>
  </si>
  <si>
    <t>early-stage evaluation session</t>
  </si>
  <si>
    <t>https://workdrive.zoho.in/file/pw6rd7780a25cebf54aef9f5702cb91506d37</t>
  </si>
  <si>
    <t>Tried reaching the px no response sent commercials</t>
  </si>
  <si>
    <t>k@brandiantree.com</t>
  </si>
  <si>
    <t>Design studio</t>
  </si>
  <si>
    <t>#151732334</t>
  </si>
  <si>
    <t>They are a creative agency looking for a cloud solution to store and manage their design files. They have already explored WorkDrive and had a few questions around licensing, storage, and features.</t>
  </si>
  <si>
    <t>PSE568916</t>
  </si>
  <si>
    <t>https://workdrive.zoho.in/file/65q56b776742cdc1446f38e04e529f541a8fb</t>
  </si>
  <si>
    <t xml:space="preserve">April 6
Dropped a fup mail </t>
  </si>
  <si>
    <t>krishnanvp.79@rediffmail.com</t>
  </si>
  <si>
    <t>Charitable Foundation</t>
  </si>
  <si>
    <t>#157057566</t>
  </si>
  <si>
    <t>They are a newly established non-profit organization, Mythili Charitable Foundation, focused on activities that support the growth and preservation of Hinduism and related initiatives. They intend to run their entire operations online using Zoho’s suite of applications and prefer not to host their data on foreign servers. They are looking to understand how Zoho’s ecosystem can support all their operational needs, from email to overall management of foundation activities.
As an immediate requirement, a secure online storage solution was requested to store and share documents among representatives, similar to Google Drive.</t>
  </si>
  <si>
    <t>PSE568928</t>
  </si>
  <si>
    <t>Recording failed in meeting app</t>
  </si>
  <si>
    <t>meticulousdeconstruction@gmail.com</t>
  </si>
  <si>
    <t xml:space="preserve">Construction </t>
  </si>
  <si>
    <t>#156931495</t>
  </si>
  <si>
    <t>They are looking to replace their current Google Workspace setup, including Gmail, Calendar, Drive, Docs, and Sheets, with an alternative solution.</t>
  </si>
  <si>
    <t>PSE568935</t>
  </si>
  <si>
    <t>no response</t>
  </si>
  <si>
    <t>hr@scholarsfoundation.in</t>
  </si>
  <si>
    <t>#156941249</t>
  </si>
  <si>
    <t>Already an existing user in zoho workplace and she is the one managing the documents part and wanted to know more about WorkDrive. They have been using google drive and looking to know to transfer data.</t>
  </si>
  <si>
    <t>sanjeev.commercial@gmail.com</t>
  </si>
  <si>
    <t>#119912930</t>
  </si>
  <si>
    <t>He is looking for a centralized platform to manage documents for himself and his family (3 users) and currently uses multiple tools like Google Drive, external drives, and local storage, leading to fragmentation. He wants a single platform to store, access, and share files across devices while traveling.</t>
  </si>
  <si>
    <t>&lt; 200 GB</t>
  </si>
  <si>
    <t>PSE568727</t>
  </si>
  <si>
    <t>https://workdrive.zoho.in/file/ov0vya9d50cf061024969a842b660e3283072</t>
  </si>
  <si>
    <t>sunil.dass@sunbridgesolar.in</t>
  </si>
  <si>
    <r>
      <t>#</t>
    </r>
    <r>
      <t>157061307</t>
    </r>
  </si>
  <si>
    <t>Customer already had prior experience with WorkDrive, so skipped product walkthrough.
Discussion was focused primarily on pricing and storage planning.</t>
  </si>
  <si>
    <t>NAS</t>
  </si>
  <si>
    <t>10TB</t>
  </si>
  <si>
    <t>https://workdrive.zoho.in/file/4kakgb3566ed0d8f74282aa64468603f4d438</t>
  </si>
  <si>
    <t xml:space="preserve">Dropped a fup mail </t>
  </si>
  <si>
    <t>mdo@ashishinterbuild.com</t>
  </si>
  <si>
    <r>
      <t>#</t>
    </r>
    <r>
      <t>157097651</t>
    </r>
  </si>
  <si>
    <t>They have been using Google Workspace for more than a decade.
The Entire system is heavily dependent on Google Apps Script.</t>
  </si>
  <si>
    <t>https://workdrive.zoho.in/file/qrqkvacb848e56914427ea2ba86f042e8da14</t>
  </si>
  <si>
    <t>Q &amp; A session</t>
  </si>
  <si>
    <t>PSE568946</t>
  </si>
  <si>
    <t xml:space="preserve">sales meeting </t>
  </si>
  <si>
    <t>julian@prioryestate.com</t>
  </si>
  <si>
    <t xml:space="preserve">Real Estate </t>
  </si>
  <si>
    <t>#157078198</t>
  </si>
  <si>
    <t>The customer is exploring a DMS solution to manage purchase invoices, sales invoices, and VAT-related documents. They are currently using Sage (accounting software), and while integration with Sage is preferred, it is not mandatory. At present, their process is fully paper-based, with manual approvals, coding, and sequential workflows.</t>
  </si>
  <si>
    <t>https://workdrive.zoho.in/file/qrqkv68705f11fdde4f45b57b2b519a08de11</t>
  </si>
  <si>
    <t>no response fromcx</t>
  </si>
  <si>
    <t>antonio.lapa@vedsoft.com.br</t>
  </si>
  <si>
    <t>#156662628</t>
  </si>
  <si>
    <t xml:space="preserve">Details on migration </t>
  </si>
  <si>
    <t>11TB</t>
  </si>
  <si>
    <t>eshvarinfo@gmail.com</t>
  </si>
  <si>
    <t>IT and Related Services</t>
  </si>
  <si>
    <t>#157109179</t>
  </si>
  <si>
    <t>Currently using Google Drive/OneDrive but facing limitations in terms of number of users and storage. Looking for a better alternative to support ~15–20 users with higher storage and need for role-based access (department-wise like accounts, service, manager).</t>
  </si>
  <si>
    <t>Google Drive and One Drive</t>
  </si>
  <si>
    <t>PSE569085</t>
  </si>
  <si>
    <t>https://workdrive.zoho.in/file/jod1zb6e514285a78415ea94d9ab3fc4afa4a</t>
  </si>
  <si>
    <t xml:space="preserve">no answer, follow up email sent </t>
  </si>
  <si>
    <t>it_monitoring.desk@seshaasai.com</t>
  </si>
  <si>
    <t>#157068446</t>
  </si>
  <si>
    <t xml:space="preserve">To explore an alternative to Microsoft Office, with a strong preference for an on-premise/offline solution due to strict data security policies that prohibit storing data on external cloud platforms. </t>
  </si>
  <si>
    <t>MS Office</t>
  </si>
  <si>
    <t>Office Integrator requirements</t>
  </si>
  <si>
    <t>aniket@dgace.in</t>
  </si>
  <si>
    <t>#157101592</t>
  </si>
  <si>
    <t>Google Drive (2TB) user looking to explore Zoho WorkDrive (via Zoho One) for operational challenges such as file misplacement issues (files auto-moving to root), lack of effective support, and difficulty managing critical project data.</t>
  </si>
  <si>
    <t>2 TB</t>
  </si>
  <si>
    <t>PSE569228</t>
  </si>
  <si>
    <t>Px opted for standalone 3 user licenses for Starter of WD yearly</t>
  </si>
  <si>
    <t>https://workdrive.zoho.in/file/qe7xu4e167f66fcbf45bfb91fcd0df7d23a43</t>
  </si>
  <si>
    <t>mohammad@radix.email</t>
  </si>
  <si>
    <t xml:space="preserve">Accounting </t>
  </si>
  <si>
    <t>#155206348</t>
  </si>
  <si>
    <t>They are currently using an on-premise file server to store documents, along with Tally for accounting data storage. They are now looking to move to a cloud-based solution with controlled access for team members.</t>
  </si>
  <si>
    <t>File server</t>
  </si>
  <si>
    <t>PSE569389</t>
  </si>
  <si>
    <t>https://workdrive.zoho.in/file/2n8m93aad294a06b94036b08df6b8481ac448</t>
  </si>
  <si>
    <r>
      <t>nikita.sai@zeta.tech</t>
    </r>
    <r>
      <t xml:space="preserve"> partner +91 7738158586
Partner deal shared quote for 10 users business edition </t>
    </r>
  </si>
  <si>
    <r>
      <t>mas@comp2i.com</t>
    </r>
  </si>
  <si>
    <r>
      <t>#</t>
    </r>
    <r>
      <t>157090207</t>
    </r>
  </si>
  <si>
    <t>Requirement: Cloud storage, file sharing, collaboration, pricing clarity, Client is a construction design firm currently using ShareFile and exploring alternatives like Ignite.</t>
  </si>
  <si>
    <t>https://workdrive.zoho.in/file/2n8m95979036c79d84566bb1278e852deccfe</t>
  </si>
  <si>
    <t xml:space="preserve">2nd FUP mail sent, no response </t>
  </si>
  <si>
    <t>sumathi@dzigns.in</t>
  </si>
  <si>
    <t>#157182035</t>
  </si>
  <si>
    <t>The team primarily works with heavy design files such as 3D drawings and AutoCAD files, and currently manages data across multiple local systems without a centralized storage solution.</t>
  </si>
  <si>
    <t>Local storage</t>
  </si>
  <si>
    <t>https://workdrive.zoho.in/file/2n8m9f046f93fd12d48cb8f343b65c057f238</t>
  </si>
  <si>
    <t>gopinathlg90@gmail.com</t>
  </si>
  <si>
    <t>#156776889</t>
  </si>
  <si>
    <t>Primary concern is around upload and download speeds, which are critical for their day-to-day operations and expects closer to ~200 Mbps, as current speeds impact turnaround time (e.g., ~2 hours for a single file)</t>
  </si>
  <si>
    <t>PSE569648</t>
  </si>
  <si>
    <t>Challenges with upload and download - not yet completed on the full demo</t>
  </si>
  <si>
    <t>support team have been in tocuh with the cx, follow up email sent asking for updates</t>
  </si>
  <si>
    <t>Mining and Metals</t>
  </si>
  <si>
    <t>Follow up QnA session</t>
  </si>
  <si>
    <t>considering Zoho one/ workplace</t>
  </si>
  <si>
    <t>vedanshg@shrimaagroup.in</t>
  </si>
  <si>
    <t xml:space="preserve">Electronics Distribution </t>
  </si>
  <si>
    <t>#157132007</t>
  </si>
  <si>
    <t>The client is currently using Zoho Mail and is looking to migrate their document management from OneDrive to Zoho WorkDrive.</t>
  </si>
  <si>
    <t>PSE569741</t>
  </si>
  <si>
    <t>https://workdrive.zoho.in/file/xkzlt64e5c0752a2842a4979dd0bf399626d9</t>
  </si>
  <si>
    <t>1. Workflow automation. Collecting files in a folder-&gt; 4PHODs create draft files in the folder-&gt; Director approves it.
2. AI based document creation and commenting.
3. Full content search for files including OCR based search.
4. Showcase ULA browser.
5. Zoho Office Suite with PDF editor (Split/merge pdf files).</t>
  </si>
  <si>
    <t>https://workdrive.zoho.in/file/e5w4400c7bb9592bc4e8a8fa4ea5074fc2592</t>
  </si>
  <si>
    <t>syam@ayathana.com</t>
  </si>
  <si>
    <r>
      <t>#</t>
    </r>
    <r>
      <t>157172528</t>
    </r>
  </si>
  <si>
    <t>CEO of two startups, currently on Google Workspace.
~750 GB of data in one company, ~250 GB in the other.</t>
  </si>
  <si>
    <t>250GB</t>
  </si>
  <si>
    <t>https://workdrive.zoho.in/file/e5w4488b6719f0b34440dadd3e23513f0c113</t>
  </si>
  <si>
    <t>vibhuti@vibhutigroup.net</t>
  </si>
  <si>
    <t>#157176847</t>
  </si>
  <si>
    <t>The client is looking for a document upload portal that supports both client-side and internal team uploads. It should be mobile-friendly for easy access and, if possible, integrate with Compute Office</t>
  </si>
  <si>
    <t>explained that there is currently no direct integration with Compute Office. Suggested using the TrueSync folder as an alternative—by saving files to the local sync folder, they will automatically sync with the cloud. The user was comfortable with this approach, as the integration is not a mandatory requirement.</t>
  </si>
  <si>
    <t xml:space="preserve">Tried reaching the px no response sent email </t>
  </si>
  <si>
    <t>carlos@alambrespa.cl</t>
  </si>
  <si>
    <t>#157076555</t>
  </si>
  <si>
    <t>The client is already using Zoho WorkDrive with their clients and is now looking to purchase WorkDrive for their own organization</t>
  </si>
  <si>
    <t>2-3TB</t>
  </si>
  <si>
    <t>https://workdrive.zoho.in/file/hejlffaab81c9f7b84b36bbf75fa79013eff5</t>
  </si>
  <si>
    <t xml:space="preserve">Cx has not responded to my attempts to contact them, so I am marking this lead as lost </t>
  </si>
  <si>
    <t>Query on external sharing and workflows</t>
  </si>
  <si>
    <t>PSE/Concierge 60170</t>
  </si>
  <si>
    <t>neeraj.sharma@choicetechsystems.com</t>
  </si>
  <si>
    <t xml:space="preserve">Information technology </t>
  </si>
  <si>
    <t>#157215056</t>
  </si>
  <si>
    <t>The client is looking for a secure and efficient document management solution to replace OneDrive, with capabilities such as role-based access control (view, download, share permissions), seamless collaboration across teams, Data Loss Prevention (DLP), and detailed activity tracking. Additionally, they require integration with Microsoft Office 365 and are exploring integration with Zoho CRM, while ensuring ease of use for new users and better overall manageability.</t>
  </si>
  <si>
    <t>https://workdrive.zoho.in/file/rsmdyf415ec2ba2d84c7195f967a3b15bf481</t>
  </si>
  <si>
    <t xml:space="preserve">spoke with px he stated that they will not proceed with the purchase </t>
  </si>
  <si>
    <t>roselle@boomtown-productions.com</t>
  </si>
  <si>
    <t>#157180219</t>
  </si>
  <si>
    <t xml:space="preserve">Onboarding session </t>
  </si>
  <si>
    <t>PSE570014</t>
  </si>
  <si>
    <t>https://workdrive.zoho.in/file/rsmdyed236668365d45288d4011c862c7f7c7</t>
  </si>
  <si>
    <t xml:space="preserve">Educational institution </t>
  </si>
  <si>
    <t xml:space="preserve">May 20
Cx is looking for the old proposal, email shared for the same asking for their timeline of the purchase. </t>
  </si>
  <si>
    <r>
      <t>amarsampat@rediffmail.com</t>
    </r>
  </si>
  <si>
    <t>consulting</t>
  </si>
  <si>
    <t>#157214123</t>
  </si>
  <si>
    <t>Customer needs cloud storage for files (Excel, accounts) with team access (~3 users)</t>
  </si>
  <si>
    <t>https://workdrive.zoho.in/file/8ydc6aab6f4bb15a84cb584b1d11aeb18be7e</t>
  </si>
  <si>
    <t xml:space="preserve">Tried reaching the px no response sent email   </t>
  </si>
  <si>
    <t>in qualified state in CRM</t>
  </si>
  <si>
    <t>Cx shared an email for a call tomorrow, asked for their timeslot for day after tomorrow</t>
  </si>
  <si>
    <r>
      <t>vijay.mhamunkar@insecticidesindia.com</t>
    </r>
  </si>
  <si>
    <t>Pest control</t>
  </si>
  <si>
    <r>
      <t>#</t>
    </r>
    <r>
      <t>157273972</t>
    </r>
  </si>
  <si>
    <t>General demo on Zoho WorkDrive to an existing user.</t>
  </si>
  <si>
    <t>https://workdrive.zoho.in/file/1j88o4b603b3d09f646b2be22d2944185f9ad</t>
  </si>
  <si>
    <t>Adani Groups</t>
  </si>
  <si>
    <t>Infrastructure, Energy and logistics</t>
  </si>
  <si>
    <t>#158978615</t>
  </si>
  <si>
    <t>Had a session with Adani Groups leadership team, evaluating Workplace.</t>
  </si>
  <si>
    <t>1. Save files in MS Office Format both online and Offline.
&gt;&gt; For offline opening MS office files and saving them directly in MS Office format is possible. They want the same behavior in online too. @Selva Kumar Chokkalingam
2. Share point migration tool.
&gt;&gt; They are extensive share point users and wanted to migrate share-point data. @Veneth  S @Poovarasan Dhanapal
3. “Anyone on the team” copy-link, restriction.
&gt;&gt; They want to restrict org-level link based sharing.
&gt;&gt; They only want personal sharing internally, where the email addresses need to be entered and shared and not just creating link with “Anyone on the team” settings. @Saravanan  T @Revathi Ramadoss
4. Integration of Gemini AI LLM in WorkDrive and across all Workplace apps.
&gt;&gt; They currently have Gemini Enterprise license and looking to use it as LLM for AI related features in WorkDrive. @Sivaprakasam S
5. They are existing Forcepoint users for DLP. They wanted to integrate WorkDrive with Forcepoint. @Kamatchi Kumaran @Manimaran Thangadurai
Office Suite Related Requirements:
1. They are currently using intune for patch updates for their desktop application.
&gt;&gt; They are looking to get patch updates for installed desktop apps of Zoho via Intune.
&gt;&gt; Including Writer, Sheet, Show, Trident and any other installable app under WorkPlace bundle.
2. They also wanted to know the frequency of Patch.
&gt;&gt; They mentioned MS Office provides patch updates every month, likewise they wanted to know the frequency for Zoho Office Suite. @Shyamala Ramesh @Ganeshprabhu Rajendran
3. They have a proprietary font and wanted them to use it as default across Writer, Sheet and Show.
&gt;&gt; As of now, adding fonts to Writer, Sheet and Show are possible. However, making it default for everyone in the organisation has been requested.
4. They wanted to know how 0 day patch is handled in Office suite desktop apps.
5. Macros and VLOOKUP across spreadsheets support for Zoho Sheet Offline Desktop app. @Tikeshwar Sahu @Kumar Vinay Shree Shiv Shankar Prasad Saw
&gt;&gt; As they are heavy users of Macros and linking multiple sheets offline, this feature is very crucial for them.</t>
  </si>
  <si>
    <t>Initially they were looking for a complete on-prem solution.
However as the servers might add upto 200, a hybrid solution where Adani will have data hosted in their servers, while Zoho IN DC can be used for App server was suggested and they have preferred this approach, as suggested by @Shailesh Kumar Davey and @Jagan Ranganathan during the session.</t>
  </si>
  <si>
    <t>Office Visit</t>
  </si>
  <si>
    <r>
      <t xml:space="preserve">1. Save files in MS Office format via Zoho Editors:
</t>
    </r>
    <r>
      <t>https://sprints.zoho.in/workspace/zdocs#P15/itemdetails/I7466/details</t>
    </r>
    <r>
      <t xml:space="preserve">
2. Sharepoint migration
</t>
    </r>
    <r>
      <t>https://sprints.zoho.in/workspace/zdocs#P15/itemdetails/I7689/description</t>
    </r>
    <r>
      <t xml:space="preserve">
3. Restrict Anyone on the team copy-link
</t>
    </r>
    <r>
      <t>https://sprints.zoho.in/workspace/zdocs#P15/itemdetails/I8062</t>
    </r>
    <r>
      <t xml:space="preserve">
4. Add Gemini AI LLM
</t>
    </r>
    <r>
      <t>https://sprints.zoho.in/workspace/zdocs#P15/itemdetails/I8064</t>
    </r>
    <r>
      <t xml:space="preserve">
5. Forcepoint integration with WorkDrive
</t>
    </r>
    <r>
      <t>https://sprints.zoho.in/workspace/zdocs#P15/itemdetails/I7467/description</t>
    </r>
  </si>
  <si>
    <t>amasud@avanceon.ae</t>
  </si>
  <si>
    <t>Engineering designs</t>
  </si>
  <si>
    <t>#157238382</t>
  </si>
  <si>
    <t>They manage multiple projects at the same time and generate a high volume of engineering documents. Each document goes through submission, customer review/comments, rework, and resubmission. Right now, they’re tracking everything in Excel, which isn’t centralized and becomes hard to manage across 15–20 projects. They’re looking for a better system to handle submissions, returns, revision cycles, and to get clear dashboard visibility across all projects.</t>
  </si>
  <si>
    <t>The customer is looking for a more advanced dashboard with project-wise and overall tracking, including metrics like pending with internal team, pending with client, approved/closed, yet to submit, and overdue counts. We showed the available options within WorkDrive to manage workflows, but they are expecting more advanced dashboard capabilities.
They are already using Zoho Analytics and wanted to explore whether the dashboard can be built there by pushing data from WorkDrive, or if another platform like Zoho Creator would be better suited for building this. ( Reference dashboard image attached )</t>
  </si>
  <si>
    <t>5 to 10 users in Business edition and few client user license</t>
  </si>
  <si>
    <t>Ticket moved to Creator</t>
  </si>
  <si>
    <t>https://workdrive.zoho.in/file/wdkrcc20b8f45006641aa850c802eb11b20dc</t>
  </si>
  <si>
    <r>
      <t xml:space="preserve">Overall workflow dhsaboard
</t>
    </r>
    <r>
      <t>https://sprints.zoho.in/workspace/zdocs#P15/itemdetails/I8296</t>
    </r>
  </si>
  <si>
    <t>shreyas@dpsca.in</t>
  </si>
  <si>
    <t>#157296635</t>
  </si>
  <si>
    <t>They are currently using Zoho Mail, but for document storage they rely on a physical file server. They are now planning to move everything to the cloud and are exploring the Workplace bundle for this transition.</t>
  </si>
  <si>
    <t>4-5TB</t>
  </si>
  <si>
    <t xml:space="preserve"> 40 user licenses (Workplace Professional plan or WorkDrive Team edition)</t>
  </si>
  <si>
    <t xml:space="preserve">May 18
spoke with px he told that he will be proceed with us directly as he is travelling he wil get back next week </t>
  </si>
  <si>
    <t>kr@zigmaads.com</t>
  </si>
  <si>
    <t>#157274114</t>
  </si>
  <si>
    <t>They are currently using Dropbox for document management with around 1.3 TB of data and are looking to move to Zoho for more secure external sharing and file collection workflows.</t>
  </si>
  <si>
    <t>1.3TB</t>
  </si>
  <si>
    <t>PSE570978</t>
  </si>
  <si>
    <t>3 + 1 client user</t>
  </si>
  <si>
    <t>https://workdrive.zoho.in/file/wdkrc9473161ff36644c982fcebeb21e79bc6</t>
  </si>
  <si>
    <t>nithin.heeranandani@vihanthsolutions.com</t>
  </si>
  <si>
    <t>#157319712</t>
  </si>
  <si>
    <t>Customer requirement: Cloud storage &amp; collaboration for distributed team (file sharing, multi-user access similar to OneDrive)</t>
  </si>
  <si>
    <t xml:space="preserve">got confirmation , activated license </t>
  </si>
  <si>
    <t>Connected with the px to resolve access issues and guided them to log in via the super admin account, followed by successful upgrade to Starter plan (4 users). Assisted with TrueSync setup for team access and shared installation resources for both Windows and Mac users. Introduced Team Folders for better collaboration and tracking, replacing link-based sharing; all queries addressed.</t>
  </si>
  <si>
    <t>&lt; 300 GB</t>
  </si>
  <si>
    <t>€ 120</t>
  </si>
  <si>
    <r>
      <t>team@dzigns.in</t>
    </r>
    <r>
      <t xml:space="preserve"> / </t>
    </r>
    <r>
      <t>sumathi@dzigns.in</t>
    </r>
  </si>
  <si>
    <t>Second Follow up session with their core team</t>
  </si>
  <si>
    <t>anoop.kg@muthootcap.com</t>
  </si>
  <si>
    <t xml:space="preserve">Finance </t>
  </si>
  <si>
    <t>#153970357</t>
  </si>
  <si>
    <t>Macro support gap in Zoho Sheet desktop (offline) app — ETA not confirmed yet; this is a critical blocker given MCSL's finance-heavy Excel usage.</t>
  </si>
  <si>
    <t>WorkDrive — Special Requirements:
WorkDrive should support integration with their existing GTB DLP tool.
An alert/notification mechanism is required when a user attempts to share a DLP-classified file — activity logs alone (which capture only successful shares) are insufficient for their compliance posture.
Zoho Office Suite — Special Requirements:
Macro support is mandatory — required in both online and offline (desktop) versions of Zoho Sheet. Current desktop support gap is a concern.
Cross-spreadsheet VLOOKUP / XLOOKUP support needed in the offline desktop version — not just the web version. @Kumar Vinay Shree Shiv Shankar Prasad Saw @Tikeshwar Sahu @Vaseekaran Baskaran @Venkata Subramanian Kandasamy
Full file format compatibility is expected — DOCX, XLSX, and PPTX must open, edit, and save without format or formula loss, both online and desktop app.</t>
  </si>
  <si>
    <t>Zoho Office Suite Desktop apps, WP flexi</t>
  </si>
  <si>
    <t>https://workdrive.zoho.in/file/n7cyy8f4e06799ad9439b89012f11121c2864</t>
  </si>
  <si>
    <t xml:space="preserve">26/05/2026 - Spoke to Anoop, and he wanted to talk to someone from the team for a discussion on the commercials. Mr. Balu is already in touch with the team. </t>
  </si>
  <si>
    <r>
      <t xml:space="preserve">1. DLP integration with GTB </t>
    </r>
    <r>
      <t>https://sprints.zoho.in/workspace/zdocs#P15/itemdetails/I8081</t>
    </r>
    <r>
      <t xml:space="preserve">
2. DLP alerts &amp; notification
</t>
    </r>
    <r>
      <t>https://sprints.zoho.in/workspace/zdocs#P15/itemdetails/I8082</t>
    </r>
  </si>
  <si>
    <t>siddharth.purandare@lendthrivefinance.com</t>
  </si>
  <si>
    <t>#157372427</t>
  </si>
  <si>
    <t>They are looking for an RBI-compliant setup where customer data is stored within India, along with cloud storage hosted in India that includes disaster recovery. Currently using Box (US-hosted), they want a similar setup replicated in India. Their needs include individual storage for each employee, a shared drive for customer data, internal file sharing with access controls, secure external sharing via links, and global access for both India and US teams.</t>
  </si>
  <si>
    <t>PSE571266</t>
  </si>
  <si>
    <t>https://workdrive.zoho.in/file/0zfnhf2d86d6a97ed48f5b22795e7d5a43280</t>
  </si>
  <si>
    <t>May 18
Tried reaching the px no response</t>
  </si>
  <si>
    <t>hegde@ahna.in</t>
  </si>
  <si>
    <r>
      <t>#</t>
    </r>
    <r>
      <t>157427230</t>
    </r>
  </si>
  <si>
    <t>Overview and demo of Zoho WorkDrive including features, UI, and collaboration capabilities.</t>
  </si>
  <si>
    <t>https://workdrive.zoho.in/file/n7cyyacf91869d2a14e298911a4430765405a</t>
  </si>
  <si>
    <t>keyur_g@zohomail.in</t>
  </si>
  <si>
    <t>#157450355</t>
  </si>
  <si>
    <t xml:space="preserve">Looking for a solution to centrally store and manage important documents such as vendor contracts, operational records, and society-related files, with controlled access across committee members. </t>
  </si>
  <si>
    <t>Google Drive Free</t>
  </si>
  <si>
    <t>15 GB</t>
  </si>
  <si>
    <t>PSE571213</t>
  </si>
  <si>
    <t>in prospecting state in CRM</t>
  </si>
  <si>
    <t>https://workdrive.zoho.in/file/n7cyyfa689cf8665e41df9f7142258945bd18</t>
  </si>
  <si>
    <t>Cx dropped mail for recording earlier shared the same - RNR today and dropped fup mail</t>
  </si>
  <si>
    <t>Queries on Workflow</t>
  </si>
  <si>
    <t>swapnil.sonawane@sodelsolutions.com</t>
  </si>
  <si>
    <t>#157442579</t>
  </si>
  <si>
    <t>They are looking for a solution to manage security policies such as password enforcement, antivirus, system hardening, OS updates, firewall control, USB blocking, website restrictions, data upload control, screenshot prevention, and print restrictions.</t>
  </si>
  <si>
    <t xml:space="preserve">Suggesed Endpoint central </t>
  </si>
  <si>
    <t>davestonepa@proton.me</t>
  </si>
  <si>
    <t>Personal user</t>
  </si>
  <si>
    <t>#157475169</t>
  </si>
  <si>
    <t>The user wanted to understand how to use the transcription feature for videos. Explained the functionality and assisted them with the setup and usage.</t>
  </si>
  <si>
    <r>
      <t>dwilson@blossommedca.com</t>
    </r>
  </si>
  <si>
    <r>
      <t>#</t>
    </r>
    <r>
      <t>157363837</t>
    </r>
  </si>
  <si>
    <t>Client has subscribed to Zoho Workplace (Mail + WorkDrive + Office Suite)</t>
  </si>
  <si>
    <r>
      <t>rajbeloved@hotmail.com</t>
    </r>
  </si>
  <si>
    <t xml:space="preserve"> #157476921</t>
  </si>
  <si>
    <r>
      <rPr>
        <sz val="10"/>
        <rFont val="Roboto"/>
      </rPr>
      <t>Storage-focused use case (approx. 10–50 TB)</t>
    </r>
    <r>
      <t xml:space="preserve">
</t>
    </r>
    <r>
      <rPr>
        <sz val="10"/>
        <rFont val="Roboto"/>
      </rPr>
      <t>30 users with collaboration needs</t>
    </r>
    <r>
      <t xml:space="preserve">
</t>
    </r>
    <r>
      <rPr>
        <sz val="10"/>
        <rFont val="Roboto"/>
      </rPr>
      <t>Cost-effective solution vs Microsoft</t>
    </r>
  </si>
  <si>
    <t>Custom Roles and Permissions</t>
  </si>
  <si>
    <t>Follow up done once from presales no follow up from sales end</t>
  </si>
  <si>
    <t>pd@radiantelectric.in</t>
  </si>
  <si>
    <t>Electrical/Electronic Manufacturing</t>
  </si>
  <si>
    <t>#157503294</t>
  </si>
  <si>
    <t xml:space="preserve">To move away from OneDrive due to lack of granular access control, while still retaining an experience similar to the Microsoft ecosystem, especially for Excel-based operations.
 </t>
  </si>
  <si>
    <t>PSE571740</t>
  </si>
  <si>
    <t>https://workdrive.zoho.in/file/rznjh75fa2d711aac4dfc8eaedb0c9dbddbbe</t>
  </si>
  <si>
    <t xml:space="preserve">Spoke with the cx, they wanted to extend the trial , for another 15 day to explore their internal workflow, exrtended the trail and folow up email sent </t>
  </si>
  <si>
    <t>fishermanshub.com@gmail.com</t>
  </si>
  <si>
    <t>E-Commerce</t>
  </si>
  <si>
    <t>#157444475</t>
  </si>
  <si>
    <t xml:space="preserve">For centralized storage with local accessibility, including offline editing and sync across team members. They also require structured folders with permission control. </t>
  </si>
  <si>
    <t>PSE571747</t>
  </si>
  <si>
    <r>
      <t>https://workdrive.zoho.in/file/1etqy9e0d84f5b71f48e49016fb18e990cdd6</t>
    </r>
    <r>
      <t xml:space="preserve"> </t>
    </r>
  </si>
  <si>
    <t xml:space="preserve">Px is migrating data for another software. Dont want to take mail right now. Call back after some days to followup. </t>
  </si>
  <si>
    <t>anushka.pradhan@charismight.com</t>
  </si>
  <si>
    <r>
      <t>#</t>
    </r>
    <r>
      <t>155018697</t>
    </r>
  </si>
  <si>
    <t>. We have already requested for the Charter template document to be shared with us. They wanted to have an NDA before sharing and now that the legal team has processed the mutual NDA with them, I've requested them to share the template charter document without further delay.</t>
  </si>
  <si>
    <t>They have extended the trial for 1 month, so the sales team's follow up will be on June 1st week.</t>
  </si>
  <si>
    <t>wiam.alsharif@growbiom.com</t>
  </si>
  <si>
    <t>Bio-Tech Laboratory</t>
  </si>
  <si>
    <t>#155780277</t>
  </si>
  <si>
    <t>They are looking to replace SharePoint with a simpler and more cost-effective cloud storage solution. Their needs include file sharing within a team of around 10 users, online document editing, support for common file formats like Word and PDF, and basic collaboration with access control.</t>
  </si>
  <si>
    <t>PSE571851</t>
  </si>
  <si>
    <t>https://workdrive.zoho.in/file/bwuch59428171dd5c4cbeaa4da01d91e36b54</t>
  </si>
  <si>
    <t>amanpreet.singh@rdkaushambi.com</t>
  </si>
  <si>
    <t>Data management</t>
  </si>
  <si>
    <t>#157484298</t>
  </si>
  <si>
    <t>They are looking for a cloud-based solution to store SOP documents (mainly PDFs) with strict access control. External clients should have view-only access with no option to download or print, and access must be via login. They also need client-wise data segregation, protection against external circulation, and additional security measures like watermarking and tracking. The solution should also scale to support a large number of external users.</t>
  </si>
  <si>
    <t>3GB</t>
  </si>
  <si>
    <t xml:space="preserve">15 users + 5 client user license </t>
  </si>
  <si>
    <t>https://workdrive.zoho.in/file/bwuch2a04c766652244dc80c483e18a46da3b</t>
  </si>
  <si>
    <t xml:space="preserve">April 28 
No requirements </t>
  </si>
  <si>
    <t>zafar@chemorascientific.com</t>
  </si>
  <si>
    <t>Chemical</t>
  </si>
  <si>
    <t>#157549319</t>
  </si>
  <si>
    <t xml:space="preserve">cloud-based, centralized document system to replace local storage, where they can manage quotations, invoices, contracts, client documents, compliance records, and internal files. </t>
  </si>
  <si>
    <t xml:space="preserve">They will start with the Free plan and evaluate the usage. Based on that, they will consider upgrading to the Team plan. </t>
  </si>
  <si>
    <t>https://workdrive.zoho.in/file/bwuch8d9640657ddd4cedbe0573d6b218a615</t>
  </si>
  <si>
    <t xml:space="preserve">Couldn't reach the cx. Sent a follow up email.   </t>
  </si>
  <si>
    <r>
      <t>sales@piinacle.com.sg</t>
    </r>
  </si>
  <si>
    <t>Oil refinery</t>
  </si>
  <si>
    <r>
      <t>#</t>
    </r>
    <r>
      <t>157551575</t>
    </r>
  </si>
  <si>
    <t>Files currently scattered across local systems (no central control)
Confusion between Zoho Workplace vs standalone WorkDrive setup</t>
  </si>
  <si>
    <t>https://workdrive.zoho.in/file/wue3rc44eb427d6ff4546bf34ac1bc6576090</t>
  </si>
  <si>
    <t>vignesh@elsciondx.com</t>
  </si>
  <si>
    <r>
      <t>#</t>
    </r>
    <r>
      <t>157428147</t>
    </r>
  </si>
  <si>
    <t>Team size of 12; involved in manufacturing diagnostic equipment (blood test lines).
Sales &amp; service operations are handled primarily through partners.</t>
  </si>
  <si>
    <r>
      <t xml:space="preserve">License purcahsed using </t>
    </r>
    <r>
      <t>info@elsciondx.com</t>
    </r>
  </si>
  <si>
    <t>jesse.land@espire.com</t>
  </si>
  <si>
    <t>#157499744</t>
  </si>
  <si>
    <t>They are looking for a secure document management system to handle around 2,000–2,500 sensitive legal documents currently in hard copy, with a preference for India-based data storage</t>
  </si>
  <si>
    <t xml:space="preserve">Physical documents </t>
  </si>
  <si>
    <t>https://workdrive.zoho.in/file/hzqan0cc96c9bc33b4ef8961a6cf7e2085679</t>
  </si>
  <si>
    <t xml:space="preserve">May 26
Dropped fup mail </t>
  </si>
  <si>
    <t>srobel@gmail.com</t>
  </si>
  <si>
    <t>Individual users</t>
  </si>
  <si>
    <t>#157506521</t>
  </si>
  <si>
    <t>https://workdrive.zoho.in/file/at1bvf2b2df7b048344c3b678b722d113a193</t>
  </si>
  <si>
    <t>grayson.waldie@potato.idaho.gov</t>
  </si>
  <si>
    <r>
      <t>#</t>
    </r>
    <r>
      <t>157533253</t>
    </r>
  </si>
  <si>
    <t>Looking for a centralized document platform beyond Microsoft tools (no SharePoint access)</t>
  </si>
  <si>
    <t>Integration with  Zoho Books alone can handle document workflows (pending confirmation)
Feasibility of end-to-end automation (ingest → process → push back to system)</t>
  </si>
  <si>
    <t>Post discussions with other Zoho apps team, kindly loop us in so that we can engage with the discussed details accordingly.</t>
  </si>
  <si>
    <t>https://workdrive.zoho.in/file/xyy4k289e3a8244464660acf0585760f014b5</t>
  </si>
  <si>
    <t xml:space="preserve">Post discussions with other Zoho apps team prospect mentioned he will reach back if needed 
Sent follow up and closing the ticket </t>
  </si>
  <si>
    <t>info@summit-wms.com</t>
  </si>
  <si>
    <t>Dental</t>
  </si>
  <si>
    <r>
      <t>#</t>
    </r>
    <r>
      <t>157537286</t>
    </r>
  </si>
  <si>
    <t>Understand granular access control &amp; storage solution</t>
  </si>
  <si>
    <t>https://workdrive.zoho.in/file/xyy4kb7257bca48f74da08779990cdb8ec77c</t>
  </si>
  <si>
    <t xml:space="preserve">Tried reaching the prospect through phone not able to connect hence sent an email to the prospect.  </t>
  </si>
  <si>
    <r>
      <t xml:space="preserve"> </t>
    </r>
    <r>
      <t>cadevintaunk@zohomail.in</t>
    </r>
  </si>
  <si>
    <r>
      <t>#</t>
    </r>
    <r>
      <t>157551090</t>
    </r>
  </si>
  <si>
    <t>Centralized storage &amp; access control</t>
  </si>
  <si>
    <t>Informed Sales person to have a follow up</t>
  </si>
  <si>
    <t>https://workdrive.zoho.in/file/xyy4k59eccf94891d4c209555355dd5aa6c18</t>
  </si>
  <si>
    <t>info@indiantaxshield.com</t>
  </si>
  <si>
    <t>#157707457</t>
  </si>
  <si>
    <t xml:space="preserve">To enable team members to access and work on data remotely, especially during peak tax seasons, without relying on manual data transfer methods like emails or physical copies. </t>
  </si>
  <si>
    <t>Local Storage</t>
  </si>
  <si>
    <t>&lt; 2 TB</t>
  </si>
  <si>
    <t>PSE572815</t>
  </si>
  <si>
    <t>https://workdrive.zoho.in/file/lyhjv7314d904d0d542d8adc80f2c2bfb4ccb</t>
  </si>
  <si>
    <t xml:space="preserve">Spoke with the cx, requestex to extedent the trial. and gice follow up by next month first week to get the subscription for 3 users licene in workdrive team edition , follow up email sent </t>
  </si>
  <si>
    <t>a.mehio@ame-consultants.com</t>
  </si>
  <si>
    <t>Engineering</t>
  </si>
  <si>
    <t>#157614388</t>
  </si>
  <si>
    <t xml:space="preserve">Currently operating on a local server-based file sharing setup. They are evaluating a shift to a cloud-based system to support remote and hybrid work environments. </t>
  </si>
  <si>
    <t>&lt; 18 TB</t>
  </si>
  <si>
    <t>20-30</t>
  </si>
  <si>
    <t>https://workdrive.zoho.in/file/3057v06e65d5fd65f4604ba5a990644c6bbe9</t>
  </si>
  <si>
    <t>no response from the px</t>
  </si>
  <si>
    <t>service.flo@casflosian.com</t>
  </si>
  <si>
    <t xml:space="preserve"> Industrial automation</t>
  </si>
  <si>
    <t>#157618948</t>
  </si>
  <si>
    <t>Customer wanted to understand how to use WorkDrive as a centralized document management system for their organization, including department-wise access, external sharing, and collaboration.</t>
  </si>
  <si>
    <t>https://workdrive.zoho.in/file/3057v99a0b328a0c14efdb8b76151188f8486</t>
  </si>
  <si>
    <t>Tried reaching the px thrice no response</t>
  </si>
  <si>
    <t>saikumar.anagam1@gmail.com</t>
  </si>
  <si>
    <t>CA consultants</t>
  </si>
  <si>
    <t>#157730294</t>
  </si>
  <si>
    <t>To bring all data into one place so the team can access it anytime from anywhere. They also want visibility into who is working on which file and want to have control over actions like deletion or modifications.</t>
  </si>
  <si>
    <t>PSE572923</t>
  </si>
  <si>
    <t>https://workdrive.zoho.in/file/3057v5c79bd5323324f38bb3e6c0d9bec0f4d</t>
  </si>
  <si>
    <t>opex@pib.ae</t>
  </si>
  <si>
    <t>Insurance Broker</t>
  </si>
  <si>
    <t>#155840079</t>
  </si>
  <si>
    <t>They are existing Zoho CRM users and currently using the Documents section and requirement is to increase storage or upgrade to Zoho WorkDrive</t>
  </si>
  <si>
    <t>30GB</t>
  </si>
  <si>
    <t>PSE573338</t>
  </si>
  <si>
    <t>https://workdrive.zoho.in/file/p2y3je2166383abac41c7a9ded2b5add65044</t>
  </si>
  <si>
    <r>
      <t xml:space="preserve"> </t>
    </r>
    <r>
      <t>rsvenkat2023@gmail.com</t>
    </r>
  </si>
  <si>
    <r>
      <t>#</t>
    </r>
    <r>
      <t>157769415</t>
    </r>
  </si>
  <si>
    <t>Demo and overview of Zoho WorkDrive</t>
  </si>
  <si>
    <t>https://workdrive.zoho.in/file/2lzjf0310970280294c3689fbb64004c79923</t>
  </si>
  <si>
    <r>
      <t xml:space="preserve"> </t>
    </r>
    <r>
      <t>hr@calisofttech.com</t>
    </r>
  </si>
  <si>
    <t>HR</t>
  </si>
  <si>
    <t>#157735181</t>
  </si>
  <si>
    <t>Customer requirement: securely collect candidate documents and enable document signing without email dependency</t>
  </si>
  <si>
    <t>https://workdrive.zoho.in/file/2lzjf8126de13f08441a3a197c1ca365c9733</t>
  </si>
  <si>
    <r>
      <t>jayaprakash.h@spagofoods.com</t>
    </r>
  </si>
  <si>
    <t>Workflow queries and demo</t>
  </si>
  <si>
    <t xml:space="preserve">Cx requested for the trial extension and we have extended it till 16th April </t>
  </si>
  <si>
    <t>fozley.rabbi@musemind.agency</t>
  </si>
  <si>
    <t>Digital marketting</t>
  </si>
  <si>
    <r>
      <t>#</t>
    </r>
    <r>
      <t>157838417</t>
    </r>
  </si>
  <si>
    <t>Files scattered across Google Drive and OneDrive — no folder structure, difficult to locate documents</t>
  </si>
  <si>
    <t>Preview support for figma files. (.fig), so that it is easier to share with their customers and get approval from them via workflow by adding them as approvers at the end of the workflow.</t>
  </si>
  <si>
    <t>Google Workspace and OneDrive</t>
  </si>
  <si>
    <t>PSE573469</t>
  </si>
  <si>
    <t>Business, WP (Professional)</t>
  </si>
  <si>
    <t>https://workdrive.zoho.in/file/u9kbrd1ca75c09d9840f18fe8ccac5e70ae08</t>
  </si>
  <si>
    <t>Still the evaluation is in progress</t>
  </si>
  <si>
    <r>
      <t xml:space="preserve">1. figma file preview support (.fig)
</t>
    </r>
    <r>
      <t>https://sprints.zoho.in/workspace/zdocs#P15/itemdetails/I8083</t>
    </r>
  </si>
  <si>
    <t>info@kelplanet.com</t>
  </si>
  <si>
    <t>#157771409</t>
  </si>
  <si>
    <t>Partner had some queries</t>
  </si>
  <si>
    <t xml:space="preserve">No response from the cx end </t>
  </si>
  <si>
    <t>saeed.dawood@sab-express.com</t>
  </si>
  <si>
    <t>Logistics and Supply Chain</t>
  </si>
  <si>
    <t>#157843287</t>
  </si>
  <si>
    <t>Not a complete demo - Callback on storage requirement</t>
  </si>
  <si>
    <t xml:space="preserve"> Storage quota control at Team Folder Level.</t>
  </si>
  <si>
    <t>PSE574079</t>
  </si>
  <si>
    <t>CB done in Zoho Voice</t>
  </si>
  <si>
    <t xml:space="preserve">Cx said that he is yet to get an update from the management.  </t>
  </si>
  <si>
    <r>
      <t xml:space="preserve">Storage control at team folder level: </t>
    </r>
    <r>
      <t>https://sprints.zoho.in/workspace/zdocs#P15/itemdetails/I7765</t>
    </r>
  </si>
  <si>
    <t>finn.mcguirk@crosscontrol.com</t>
  </si>
  <si>
    <t>Industrial computing for off-highway vehicles and equipment</t>
  </si>
  <si>
    <t>#157813287</t>
  </si>
  <si>
    <t>Hosting software packages, tools, and developer resources for customers</t>
  </si>
  <si>
    <t>meetrps@gmail.com</t>
  </si>
  <si>
    <t>Law Firm</t>
  </si>
  <si>
    <t>#157736333</t>
  </si>
  <si>
    <t>They are looking for a secure space to store client data with controlled access for team members and real-time collaboration.</t>
  </si>
  <si>
    <t>There was an audio issue on the user’s machine, so we connected via call for audio while continuing the screen share on the meeting</t>
  </si>
  <si>
    <t xml:space="preserve">May 18
No response    </t>
  </si>
  <si>
    <t>Railways</t>
  </si>
  <si>
    <t>Showcased a POC on Workflow. Where once a procurement letter comes from ministry, it needs to go to multiple PHODs and after they create a response document for the letter, it needs to go through an approval to their Director.</t>
  </si>
  <si>
    <t>1. While setting up Due date, they want a view where all the files that has passed the due date need to show up along with those who have not performed the transition.
2. They want the higher levels like the director who is a part of the workflow to be notified via email if the pHODs have not performed any action post the overdue date. For instance, if 4 PHODs need to add their inputs to a file “everyone must perform the action” is enabled and next goes to the director for final approval. If anyone is past due date, the file link along with the Pending users need to show up in the email to the director.
&gt;&gt; Possible by adding the email addresses while setting due date.</t>
  </si>
  <si>
    <t>Webex meeting</t>
  </si>
  <si>
    <r>
      <t xml:space="preserve">View all files past due date
</t>
    </r>
    <r>
      <t>https://sprints.zoho.in/workspace/zdocs#P15/itemdetails/I8297</t>
    </r>
  </si>
  <si>
    <t>Birlasoft</t>
  </si>
  <si>
    <t>b0208936@airtelpayments.bank.in</t>
  </si>
  <si>
    <t>banking</t>
  </si>
  <si>
    <t>atul@truthread.com</t>
  </si>
  <si>
    <t xml:space="preserve">Manufacturing </t>
  </si>
  <si>
    <t>#157881808</t>
  </si>
  <si>
    <t>They are looking for a cost-effective alternative to Dropbox with reliable file sync</t>
  </si>
  <si>
    <t>PSE574353</t>
  </si>
  <si>
    <t>https://workdrive.zoho.in/file/bvye66f273bbc0a8644f2b09e15ead9658990</t>
  </si>
  <si>
    <t>srikanth@samgmt.co.in</t>
  </si>
  <si>
    <t>#157293603</t>
  </si>
  <si>
    <t>They are looking to migrate around 700 GB of data from their internal server to the cloud due to reliability issues. Their focus is on secure and easily accessible storage, with a structured setup to manage data for 200+ client companies. They need controlled access with folder-level permissions, the ability for 19 users to work on files like Excel, Word, and PDFs, and secure external sharing via links. They also want a simple desktop-based access experience similar to a file server, along with strong backup and reliability.</t>
  </si>
  <si>
    <t>700GB</t>
  </si>
  <si>
    <t>https://workdrive.zoho.in/file/ydzjae4362b07d24d40cf9423f0f4bc66f0df</t>
  </si>
  <si>
    <t xml:space="preserve">Received cx info as ticket, spoke with cx and shared them the email. Asked cx to share the email of their queries. </t>
  </si>
  <si>
    <t>rushabh@rmra.co.in</t>
  </si>
  <si>
    <t>Chartered Accountants</t>
  </si>
  <si>
    <t>#157943583</t>
  </si>
  <si>
    <t>Their current setup is completely on a local server (D/E drive) which is accessed by multiple systems. The main concern they raised is around data safety and accidental deletion, as they recently faced a case where a client folder got deleted by a fresher and had to spend effort and cost on partial recovery. So their primary requirement is to have a reliable backup/recovery system in place rather than a full shift to cloud.</t>
  </si>
  <si>
    <t>PSE574776</t>
  </si>
  <si>
    <t>Team , WP  (Standard)</t>
  </si>
  <si>
    <t>Existing Workplace cx, considering WD standalone for file archival purpose and not to disrupt the existing Workplace setup</t>
  </si>
  <si>
    <r>
      <t>https://workdrive.zoho.in/file/i9w2z4ea54dcfd2ab41cf9b00b9a2f96acff2</t>
    </r>
    <r>
      <t xml:space="preserve"> </t>
    </r>
  </si>
  <si>
    <t>phil@thepotionscauldron.com</t>
  </si>
  <si>
    <t>Food and Beverages</t>
  </si>
  <si>
    <t>#2456067</t>
  </si>
  <si>
    <t xml:space="preserve"> To move towards a more structured setup where different users have their own logins, with proper access control across folders and files. They are looking for better collaboration, version control, and visibility compared to their current OneDrive setup.</t>
  </si>
  <si>
    <t>Queries on Workflow set up</t>
  </si>
  <si>
    <t>300GB</t>
  </si>
  <si>
    <t>PSE574897</t>
  </si>
  <si>
    <t>https://workdrive.zoho.in/file/2ta2q85df5889997c432891274b010e6c4ff8</t>
  </si>
  <si>
    <t>PSE574900</t>
  </si>
  <si>
    <t>siva14509255@gmail.com</t>
  </si>
  <si>
    <t>#157940658</t>
  </si>
  <si>
    <t>To digitize their processes, reduce manual work, and bring in better control over document access and approvals.</t>
  </si>
  <si>
    <t>Physical Copies</t>
  </si>
  <si>
    <t>PSE575208</t>
  </si>
  <si>
    <t>https://workdrive.zoho.in/file/k3ygk4617205496bc43428cc79a3617970f0d</t>
  </si>
  <si>
    <t xml:space="preserve">poke with the cx, Demo has been completed today, follow up email sent </t>
  </si>
  <si>
    <t xml:space="preserve">Food supply </t>
  </si>
  <si>
    <t>helpdesk@areca.in</t>
  </si>
  <si>
    <t>Embedded</t>
  </si>
  <si>
    <r>
      <t>#</t>
    </r>
    <r>
      <t>158081764</t>
    </r>
  </si>
  <si>
    <t xml:space="preserve">He's looking to back up his 10TB of NAS to Zoho WorkDrive cloud for 3 users. </t>
  </si>
  <si>
    <t xml:space="preserve">He's looking for 10TB for 3 Business licenses. </t>
  </si>
  <si>
    <t>https://workdrive.zoho.in/file/egcqkd693ce69276b4b38ab73e9613c542391</t>
  </si>
  <si>
    <t>Spoke with the cx, follow up email sent</t>
  </si>
  <si>
    <r>
      <t>#</t>
    </r>
    <r>
      <t>159948944</t>
    </r>
  </si>
  <si>
    <t>AEML is looking to replace their existing SAP Content Server with a new DMS platform. Data is currently stored on an on-premise SAP Content Server and accessed via SAP transactions and external system APIs.</t>
  </si>
  <si>
    <t>SAP Integration (critical): WorkDrive needs to be integrated with SAP ECC/ISU so that SAP remains the front-end and WorkDrive serves as the document store. AEML cannot perform the integration themselves — Zoho's implementation team will need to be involved. A separate technical session has been agreed upon. @Zoho Implementations Team</t>
  </si>
  <si>
    <t>suneelk@scaleupcentre.com</t>
  </si>
  <si>
    <t xml:space="preserve">IT solution </t>
  </si>
  <si>
    <t>#158032393</t>
  </si>
  <si>
    <t>They are looking for a cloud storage solution to manage HR documents, with a small team of around 3 to 5 users. Their requirement includes approximately 4–5 TB of storage, along with controlled access so users can upload, manage, and share documents securely. They also need basic collaboration and file sharing capabilities within the team.</t>
  </si>
  <si>
    <t>PSE576063</t>
  </si>
  <si>
    <t>https://workdrive.zoho.in/file/b5ezscdee3d48446847a6990fd2334a585314</t>
  </si>
  <si>
    <t>didrik.etholm@gmail.com</t>
  </si>
  <si>
    <t>#158062577</t>
  </si>
  <si>
    <t>Looking for a solution to manage employee licenses, certifications, and training records with expiry tracking and automated notifications. Also needs onboarding integration where new employees can upload documents, with validation (document type recognition and auto extraction of expiry dates).</t>
  </si>
  <si>
    <t>Expiry tracking + automated alerts + document validation</t>
  </si>
  <si>
    <r>
      <t xml:space="preserve">Expiry tracking + automated alerts 
</t>
    </r>
    <r>
      <t>https://sprints.zoho.in/workspace/zdocs#P15/itemdetails/I7850</t>
    </r>
  </si>
  <si>
    <t>murali.chappidi@gspann.com</t>
  </si>
  <si>
    <t>#158147500</t>
  </si>
  <si>
    <t>Looking for a secure file sharing solution to collaborate with external stakeholders. Currently managing files on local storage without a dedicated tool.</t>
  </si>
  <si>
    <r>
      <t>https://workdrive.zoho.in/file/flcw2073c5284f6d246f19517f761e1125236</t>
    </r>
    <r>
      <t xml:space="preserve"> </t>
    </r>
  </si>
  <si>
    <t xml:space="preserve">Connected to cx said he will get backt to us based on their management update </t>
  </si>
  <si>
    <t>pbevilacqua@crohnsandcolitis.ca</t>
  </si>
  <si>
    <t>#158213113</t>
  </si>
  <si>
    <t xml:space="preserve"> The setup would have a small group of 3–4 editors with full control, while internal staff and external vendors would access files via view/download links. They need around 3 TB of storage to start</t>
  </si>
  <si>
    <t>Dropbox and file server</t>
  </si>
  <si>
    <t>https://workdrive.zoho.in/file/1ladq58320ce4e1dc4762af7b35cb1ca6eff5</t>
  </si>
  <si>
    <t>wl.mfins3@gmail.com</t>
  </si>
  <si>
    <t>#158148360</t>
  </si>
  <si>
    <t xml:space="preserve">A centralized client data repository where they can securely store data of ~1000 clients and manage it efficiently. With access control, where different team members should have different levels of access (view, upload, download, restricted access). </t>
  </si>
  <si>
    <t>Document Reminder</t>
  </si>
  <si>
    <r>
      <t>https://workdrive.zoho.in/file/1ladqfa53382c230c46ccbd568db1cc5dc3fb</t>
    </r>
    <r>
      <t xml:space="preserve"> </t>
    </r>
  </si>
  <si>
    <t>multiple follow ups done, no response from the px - number is switched off</t>
  </si>
  <si>
    <r>
      <t xml:space="preserve">Document Reminder in Workflow: </t>
    </r>
    <r>
      <t>https://sprints.zoho.in/workspace/zdocs#P15/itemdetails/I7858</t>
    </r>
    <r>
      <t xml:space="preserve"> </t>
    </r>
  </si>
  <si>
    <t>info@overseashealthcare.co.in</t>
  </si>
  <si>
    <t>#157888826</t>
  </si>
  <si>
    <t>secure external sharing with restrictions on download, print, and copy, along with approval-based sharing outside the organization. Internally, they need controlled access across departments, role-based permissions with limited deletion rights, and prevention of local storage on employee systems</t>
  </si>
  <si>
    <t>PSE576474</t>
  </si>
  <si>
    <t>20-25</t>
  </si>
  <si>
    <t>https://workdrive.zoho.in/file/1ladq6d33c3aaab6a407088c3cb7906681817</t>
  </si>
  <si>
    <t xml:space="preserve">May 6
No response   </t>
  </si>
  <si>
    <t>yashascp11@gmail.com</t>
  </si>
  <si>
    <t>Transport</t>
  </si>
  <si>
    <t>#109352167</t>
  </si>
  <si>
    <t>To upload and maintain bank statements and bills in one place and allow users to access it internally.</t>
  </si>
  <si>
    <t>Page-level search navigation</t>
  </si>
  <si>
    <t>https://workdrive.zoho.in/file/tomgua32bda5e56a34c1cb1056c59d5056d11</t>
  </si>
  <si>
    <t xml:space="preserve">Spoke with the cx, follow up email sent </t>
  </si>
  <si>
    <r>
      <t xml:space="preserve">page-level search navigation - </t>
    </r>
    <r>
      <t>https://sprints.zoho.in/workspace/zdocs#P15/itemdetails/I7875</t>
    </r>
  </si>
  <si>
    <t>nithin@purplerock.com</t>
  </si>
  <si>
    <t>Partner joined as behalf of their client on setting up a new entity in Saudi and need data storage to be hosted within Saudi Arabia to meet
compliance/regulatory requirements. Currently, they are using Microsoft SharePoint for their Dubai operations, but Saudi will be treated as a separate setup.</t>
  </si>
  <si>
    <t>15-20 GB</t>
  </si>
  <si>
    <t>PSE576862</t>
  </si>
  <si>
    <t>DC migration</t>
  </si>
  <si>
    <t>https://workdrive.zoho.in/file/tomguff57bded2e6c462cb56a9851319d166d</t>
  </si>
  <si>
    <t xml:space="preserve">Query on email notification </t>
  </si>
  <si>
    <t>raja@tamaspro.com</t>
  </si>
  <si>
    <t xml:space="preserve"> Energy and Utilities </t>
  </si>
  <si>
    <t>#158435322</t>
  </si>
  <si>
    <t>Looking for a centralized shared folder solution for multiple companies (3 core companies, expanding to ~34 under a joint venture) where all users can access, edit, and collaborate on files directly without downloading/uploading via links. Strong focus on data security, controlled access, and audit visibility.</t>
  </si>
  <si>
    <t>Local file server</t>
  </si>
  <si>
    <t>600GB</t>
  </si>
  <si>
    <t>PSE577386</t>
  </si>
  <si>
    <t>https://workdrive.zoho.in/file/sr50s4eaaf2027dd84341a533d8b6d216401c</t>
  </si>
  <si>
    <t xml:space="preserve">May 20 
Email sent to the partner </t>
  </si>
  <si>
    <r>
      <t>jmyers@inthedoornow.com</t>
    </r>
  </si>
  <si>
    <r>
      <t>#</t>
    </r>
    <r>
      <t>105546759</t>
    </r>
  </si>
  <si>
    <t xml:space="preserve"> primary requirement of setting up a centralized departmental cloud storage with strict folder-level access control.</t>
  </si>
  <si>
    <t>https://workdrive.zoho.in/file/jro4ue5685e49f04749c4bde100e5a28bada0</t>
  </si>
  <si>
    <t xml:space="preserve">email sent to cx requesting total user count and preferred edition. Trial extended till 8th </t>
  </si>
  <si>
    <r>
      <t>k.mau@reservebank.to</t>
    </r>
  </si>
  <si>
    <t>#158415741</t>
  </si>
  <si>
    <t>requirement for a secure and efficient document management system to handle incoming external documents, centralized storage, document classification, controlled user access, and workflow-based review/approval.</t>
  </si>
  <si>
    <t>https://workdrive.zoho.in/file/jro4u1c4f2de79098418aa5248469e7f84e77</t>
  </si>
  <si>
    <t>Price details shared not response</t>
  </si>
  <si>
    <t>fatimanaz.shaikh@anikaindustries.com</t>
  </si>
  <si>
    <t>Procurement</t>
  </si>
  <si>
    <t>#158466041</t>
  </si>
  <si>
    <t>To bring everything into a single platform where all documents (policies, invoices, claims, endorsements) related to a policy can be stored, accessed easily, and managed in a structured way. They are also looking for controlled access where one admin will have full control and a few users will have limited (read/download) access.</t>
  </si>
  <si>
    <t>Document Reminders</t>
  </si>
  <si>
    <t>PSE577222</t>
  </si>
  <si>
    <t>https://workdrive.zoho.in/file/jro4ub12c149c53ab4cb2a764ba390d1ea853</t>
  </si>
  <si>
    <t>No response. follow up email sent.</t>
  </si>
  <si>
    <r>
      <t xml:space="preserve">Document Reminders: </t>
    </r>
    <r>
      <t>https://sprints.zoho.in/workspace/zdocs#P15/itemdetails/I7885</t>
    </r>
    <r>
      <t xml:space="preserve"> </t>
    </r>
  </si>
  <si>
    <t>sanand7@icloud.com</t>
  </si>
  <si>
    <t>#158407497</t>
  </si>
  <si>
    <t>They deal with large volumes of photos (JPEG + RAW files) from shoots/trips, and each trip generates around ~500 GB of data. They are looking for a reliable place to store and manage these files.</t>
  </si>
  <si>
    <t>Audio challenge - discussed in Zvoice</t>
  </si>
  <si>
    <t xml:space="preserve">spoke with the cx, asked me to call day after tomorrow , follow up email sent </t>
  </si>
  <si>
    <t>siva@athenaglobalsystems.com</t>
  </si>
  <si>
    <t>#158363743</t>
  </si>
  <si>
    <t>Prospective partners looking to know more about Zoho WorkDrive so that can recommend WD to their clients in need of DMS solution</t>
  </si>
  <si>
    <t>vinita.singh@sbimf.com</t>
  </si>
  <si>
    <t>Mutual funds</t>
  </si>
  <si>
    <r>
      <t/>
    </r>
    <r>
      <t>#</t>
    </r>
    <r>
      <t>156552609</t>
    </r>
  </si>
  <si>
    <t>1. They are currently using Workline HRMS and previous they were using Success factor. 
2. They want to download the employee files from Workline and keep them in the cloud.</t>
  </si>
  <si>
    <t>They are looking to integrate WorkDrive to Workline for which I have mentioned that we have API's for it and regarding the nature of the integration, as they had a meeting, they were available only for 30 mins. Have requested for another session regarding the integration.</t>
  </si>
  <si>
    <t>MS Team</t>
  </si>
  <si>
    <t>I am proceeding to close the file as I haven't received any communication from your end.</t>
  </si>
  <si>
    <t>finance@tbicorn.com</t>
  </si>
  <si>
    <t>#158453739</t>
  </si>
  <si>
    <t xml:space="preserve">They are currently using a local PC as a file server over LAN, which lacks proper access control and poses data security risks due to potential system failures and unreliable manual backups. </t>
  </si>
  <si>
    <t>https://workdrive.zoho.in/file/sr50s936bf663676149d48a422559533229d5</t>
  </si>
  <si>
    <t xml:space="preserve">May26
Cx dropped mail 23 May for trial link - support assised </t>
  </si>
  <si>
    <t>Food and Beverage Industry</t>
  </si>
  <si>
    <t>#155995585</t>
  </si>
  <si>
    <t>Workflow setup</t>
  </si>
  <si>
    <t>The user is looking to have workflow activity captured in a table format and automatically embedded within the final approved document</t>
  </si>
  <si>
    <t>tarun.n@pentableu.in</t>
  </si>
  <si>
    <t>Marketting</t>
  </si>
  <si>
    <r>
      <t>#</t>
    </r>
    <r>
      <t>157891018</t>
    </r>
  </si>
  <si>
    <t>Tarun's marketing company (13 users, India + Dubai office) is paying ~₹30K to 40,000/month on Google Workspace with 10–20 TB storage usage, and is looking to cut costs urgently.</t>
  </si>
  <si>
    <t xml:space="preserve">Finds storage add-ons for 20K too pricey. As we are already providing WD storage add-ons at Mail Storage add-on price, it is better to update it in WorkDrive as well as WorkPlace pricing page, to avoid friction among prospects looking at storage add-on pricing.. </t>
  </si>
  <si>
    <t>20TB</t>
  </si>
  <si>
    <t>https://workdrive.zoho.in/file/i40yn8a02693111ea40d4911403e66211fa8e</t>
  </si>
  <si>
    <t xml:space="preserve">Reverted to him with the differences on the monthly and annual billing. He is yet to revert back. </t>
  </si>
  <si>
    <r>
      <t>#</t>
    </r>
    <r>
      <t>156105917</t>
    </r>
  </si>
  <si>
    <t>Discussion on replacing current Microsoft SharePoint / OneDrive setup with Zoho WorkDrive for centralized cloud storage, desktop sync, access control, audit tracking, and workflow management.</t>
  </si>
  <si>
    <t xml:space="preserve">Interoperability with OneDrive and Zoho WorkDrive </t>
  </si>
  <si>
    <t>100GB</t>
  </si>
  <si>
    <t>recording not uploading on wd</t>
  </si>
  <si>
    <t xml:space="preserve">Demo got completed but now they are interested in Zoho One bundle solution they will be evaluating it accordingly </t>
  </si>
  <si>
    <t>swarnalakshmi17@mtabtechnology.com</t>
  </si>
  <si>
    <t>#157570057</t>
  </si>
  <si>
    <t>Queries on CRM integration and migration from Docs to WD</t>
  </si>
  <si>
    <t>info@actsfs.com</t>
  </si>
  <si>
    <t>#158455759</t>
  </si>
  <si>
    <t>Looking for a centralized cloud platform to store, manage, collaborate on, and control documents generated from multiple business applications with structured workflows and permissions.</t>
  </si>
  <si>
    <t>PSE577817</t>
  </si>
  <si>
    <t>https://workdrive.zoho.in/file/ksvuqd56fd198a06b46c299caeb8e0a90ab41</t>
  </si>
  <si>
    <t>info@rehabgroupksa.com</t>
  </si>
  <si>
    <t>Trading</t>
  </si>
  <si>
    <t>#158393646</t>
  </si>
  <si>
    <t>To centralize all branch data into a single cloud platform while ensuring that each branch can only access its own data and not other branches’ files. Head office should have visibility/control over all branches data.</t>
  </si>
  <si>
    <t>1-2 TB</t>
  </si>
  <si>
    <t>https://workdrive.zoho.in/file/ksvuqdfa0accc2bb5445da7f2b871cac0bfa1</t>
  </si>
  <si>
    <t>cx said he is not interested in Zoho workdrive due to the pricing for add on storage space - we have applied 50% discounts for the add on storage space
that is the best we can do.</t>
  </si>
  <si>
    <t>ashish.navre@adani.com</t>
  </si>
  <si>
    <t>https://workdrive.zoho.in/file/kwvxh367fd0c229be4c44970076fbc8211b9f</t>
  </si>
  <si>
    <r>
      <t>joyce.busque@itgroupinc.asia</t>
    </r>
    <r>
      <t xml:space="preserve"> / </t>
    </r>
    <r>
      <t>joseph.zamudio@itgroupinc.asia</t>
    </r>
    <r>
      <t xml:space="preserve"> </t>
    </r>
  </si>
  <si>
    <t>#158231569</t>
  </si>
  <si>
    <t>Documents to be uploaded, accessed by employees with controlled permissions, and managed through structured workflows along with document classification/confidentiality handling.</t>
  </si>
  <si>
    <t>https://workdrive.zoho.in/file/clrmu149b9673c4aa49eda3c5e70e40d4d7c9</t>
  </si>
  <si>
    <t>followed up via email - requested px to advise us about their next steps in this discussions.</t>
  </si>
  <si>
    <t>arnavjain0999@gmail.com</t>
  </si>
  <si>
    <t>Sports</t>
  </si>
  <si>
    <t>#158598600</t>
  </si>
  <si>
    <t xml:space="preserve"> A centralized platform to store and organize documents, collaborate in real-time, and ensure future team members can access/update files easily.</t>
  </si>
  <si>
    <t>&lt; 50 GB</t>
  </si>
  <si>
    <t>https://workdrive.zoho.in/file/gxogn459f02bd61814c4f995c3f4356c0ef74</t>
  </si>
  <si>
    <t>supreetha@citoinfotech.com</t>
  </si>
  <si>
    <t>#158547985</t>
  </si>
  <si>
    <t xml:space="preserve"> looking for an office suite without any dependency on cloud infrastructure, similar to MS Office Standard 2021/2024, for deployment to standard low-profile users.</t>
  </si>
  <si>
    <t>adityagoel0009@gmail.com</t>
  </si>
  <si>
    <r>
      <t>#</t>
    </r>
    <r>
      <t>158542994</t>
    </r>
  </si>
  <si>
    <t>Express Builders is looking to replace their existing on-premise file server with a cloud-based DMS platform. Data is currently stored on a local server inside the office building, accessible only from the office.</t>
  </si>
  <si>
    <t>https://workdrive.zoho.in/file/rht95c2281dcdc15e408e987419bdb3e5cea9</t>
  </si>
  <si>
    <t xml:space="preserve">spoke with px he told that they have purchased the subscription online, requested px to share the email </t>
  </si>
  <si>
    <r>
      <t>#</t>
    </r>
    <r>
      <t>157499744</t>
    </r>
  </si>
  <si>
    <t>1. They had questions on the feature difference between Team and Business.
2. They also wanted to know the difference between Sharepoint and WorkDrive.</t>
  </si>
  <si>
    <t>geetha@success-alchemists.com</t>
  </si>
  <si>
    <t>Professional Training and Coaching</t>
  </si>
  <si>
    <t>#158700263</t>
  </si>
  <si>
    <t>Structured document management platform to centrally manage internal documents and client-related files with proper access controls, collaboration, indexing, searchability, and workflow-based organization.</t>
  </si>
  <si>
    <t xml:space="preserve">June 10
No response from cx yet </t>
  </si>
  <si>
    <t>hr@ayavin.com</t>
  </si>
  <si>
    <t>#158689093</t>
  </si>
  <si>
    <t>Zoho One prospect looking to understand WorkDrive capabilities</t>
  </si>
  <si>
    <t>https://workdrive.zoho.in/file/90c9p59ad817af6534acaabd2a1c8c2fc8864</t>
  </si>
  <si>
    <t>Checked with Anoop he will be following up</t>
  </si>
  <si>
    <r>
      <t>iqbalchanna@chms.co.in</t>
    </r>
  </si>
  <si>
    <r>
      <t>#</t>
    </r>
    <r>
      <t>158776290</t>
    </r>
  </si>
  <si>
    <t>Customer explained their primary requirements as:
Online employee attendance tracking
Work/task assignment and employee work monitoring
Document storage for team usage</t>
  </si>
  <si>
    <t xml:space="preserve">Zoho Projects for task management and Zoho People for Team management attendance tracker </t>
  </si>
  <si>
    <t>https://workdrive.zoho.in/file/ovykk83b6178f225e414a806374b507faf41b</t>
  </si>
  <si>
    <t>contactus@seyontours.com</t>
  </si>
  <si>
    <t xml:space="preserve"> Travel and Tourism </t>
  </si>
  <si>
    <t>#158857040</t>
  </si>
  <si>
    <t xml:space="preserve"> They want a common cloud space where their internal team can collaborate, store files, and work together using documents like Excel, Word, and presentations.</t>
  </si>
  <si>
    <t>https://workdrive.zoho.in/file/a5rv6a4aff25be297420c8684924a6e7f7272</t>
  </si>
  <si>
    <t xml:space="preserve">Received cx info as ticket, no response to the call. welcome email shared to cx. </t>
  </si>
  <si>
    <t>jk@capanion.de</t>
  </si>
  <si>
    <t>#158896091</t>
  </si>
  <si>
    <t>The customer wanted to understand if the Essential (free) WorkDrive plan would be sufficient for their 3-member team. They are also looking to collaborate on folders and documents alongside other Zoho apps like Notebook, Projects, CRM, and Mail.</t>
  </si>
  <si>
    <t>https://workdrive.zoho.in/file/wkjwh611e97d4b6994a6bb5ce1221428e3c16</t>
  </si>
  <si>
    <t>eric@waltztech.com</t>
  </si>
  <si>
    <t>#158582176</t>
  </si>
  <si>
    <t>They want to use WorkDrive as a client portal for tax document collection. Clients should be able to upload documents via a link (no login), revisit the same link to upload again, and trigger email notifications for every upload.</t>
  </si>
  <si>
    <t>- When the same user uploads files again using the same name/email, a new folder gets created instead of using the existing one
- This could lead to duplicate folders, especially since they manage ~2000 clients
- They want uploads to be mapped to the same folder for each client</t>
  </si>
  <si>
    <t>https://workdrive.zoho.in/file/pko4442788b52d0bb45358a217a0725741351</t>
  </si>
  <si>
    <t>connected thru Zvoice and shared screen thru meeting</t>
  </si>
  <si>
    <t>ksp@bimabro.com</t>
  </si>
  <si>
    <t>#158899632</t>
  </si>
  <si>
    <t>Paid Workplace User looking to know how to use WD for their org</t>
  </si>
  <si>
    <t>sunil.nayak@uco.bank.in</t>
  </si>
  <si>
    <t>Bank</t>
  </si>
  <si>
    <t>#159011555</t>
  </si>
  <si>
    <t>Zoho Office suite setup</t>
  </si>
  <si>
    <t>PSE579077</t>
  </si>
  <si>
    <t>No recording - sales meeting</t>
  </si>
  <si>
    <t xml:space="preserve">Spoke to Moni, Sunil has been transferred to a different role/branch and will not be in this engagement anymore. 
They have completed the POC for Workplace part (DLP Overwrite and Multilanguage signature for everyone in the account is alone pending). 
A few aspects in MDM needs to be checked as well. 
As a next step, they will discuss internally and might need a meeting along with thier upper heads. She will discuss and reach out when the right time comes. </t>
  </si>
  <si>
    <t>nandeesh@fintaxadvisors.com</t>
  </si>
  <si>
    <t>#158971486</t>
  </si>
  <si>
    <t>The customer is exploring a cloud-based storage and file management solution for their company. They wanted to understand how Zoho WorkDrive works, including storage options, pricing, collaboration features, access control, and sync capabilities across devices.</t>
  </si>
  <si>
    <t>https://workdrive.zoho.in/file/vvbch08a2bd769d59439485aba928698c7d43</t>
  </si>
  <si>
    <t>saniati.suib@nie.edu.sg</t>
  </si>
  <si>
    <t>#158962339</t>
  </si>
  <si>
    <t>Their current setup is fragmented across multiple platforms like OneDrive, NAS, SharePoint, and other storage locations.</t>
  </si>
  <si>
    <t>OneDrive, NAS, SharePoint,</t>
  </si>
  <si>
    <t>Not confirmed (pilot batch 75 users)</t>
  </si>
  <si>
    <t>mail team in follow up</t>
  </si>
  <si>
    <t>https://workdrive.zoho.in/file/1aqxr57b4dd5b84344157adf8a187040ae38a</t>
  </si>
  <si>
    <t>As of now, they are not ready to proceed with the purchase. Advised customer to reach out again if they require any further clarification or assistance during their evaluation.</t>
  </si>
  <si>
    <t>kishor@diversedomain.in</t>
  </si>
  <si>
    <t>#159025476</t>
  </si>
  <si>
    <t xml:space="preserve">Collecting documents from external users/customers, sharing documents securely outside the organization, and setting up workflow-driven document movement/approvals internally. </t>
  </si>
  <si>
    <t>Zoho Procurement + WD native integration</t>
  </si>
  <si>
    <t xml:space="preserve">No immediate requirement. Cx said he will evaluate for 2 months and purchase the license. </t>
  </si>
  <si>
    <r>
      <t xml:space="preserve"> Zoho Procurement + WD native integration: </t>
    </r>
    <r>
      <t>https://sprints.zoho.in/workspace/zdocs#P15/itemdetails/I7969</t>
    </r>
  </si>
  <si>
    <t>e.dumand@coperbee.fr</t>
  </si>
  <si>
    <t xml:space="preserve">Automobile </t>
  </si>
  <si>
    <t>#2355700</t>
  </si>
  <si>
    <t>The customer has already signed up for Zoho Connect with 770 user licenses recently and is currently evaluating Zoho WorkDrive internally. They had multiple technical and functional clarifications during the session.</t>
  </si>
  <si>
    <t xml:space="preserve">-The user wants to customize workflow email notifications sent when a file is assigned for review or approval. Need to confirm if this can be achieved using a custom function.
-The user is looking for document expiration workflows with reminder alerts, and once the document expires, it should automatically move to an archived folder. Need to check on feasibility.
- While creating a Zoho native file, the system allows the same document name. The “file name already exists” error appears only when the file is renamed later. The user wants this duplicate name warning/error to appear during Zoho native file creation itself. </t>
  </si>
  <si>
    <t>https://workdrive.zoho.in/file/vvbchbed7accfb7e0415681ed713369e90ea5</t>
  </si>
  <si>
    <t>They have put the project on hold for now</t>
  </si>
  <si>
    <t>manoj.joshi@b2r.in</t>
  </si>
  <si>
    <t>#159046391</t>
  </si>
  <si>
    <t>Looking to build a centralized document and contract repository system for contracts, SOWs, legal documents, and customer communications currently spread across emails, Google Drive, and local systems.</t>
  </si>
  <si>
    <t>Google Drive and Local Drive</t>
  </si>
  <si>
    <t>PSE579927</t>
  </si>
  <si>
    <t>https://workdrive.zoho.in/file/5oq1bfeb281007c3948cf952ed561c423747b</t>
  </si>
  <si>
    <t>teamcollectiveoverlap@gmail.com</t>
  </si>
  <si>
    <t>#158710027</t>
  </si>
  <si>
    <t>Looking for a centralized space to organize project files, drawings, walkthrough videos, and related documents instead of storing them across individual systems.</t>
  </si>
  <si>
    <t>https://workdrive.zoho.in/file/5oq1b0446a6f2150e458ab2b130e712b99e8d</t>
  </si>
  <si>
    <t xml:space="preserve">Ju 10
no answer, follow up email sent </t>
  </si>
  <si>
    <t>anitha@supertroninfotech.com</t>
  </si>
  <si>
    <t xml:space="preserve">Partners </t>
  </si>
  <si>
    <t>#159052686</t>
  </si>
  <si>
    <t xml:space="preserve">Walkthrough on ZIa AI features and WD 6.0 features </t>
  </si>
  <si>
    <t xml:space="preserve">Ask over file support for excel documents </t>
  </si>
  <si>
    <t>https://workdrive.zoho.in/file/5oq1ba8d4a2e52b8b477786aa78bc01492440</t>
  </si>
  <si>
    <t>krishnankutty.nair@gammonengineers.com</t>
  </si>
  <si>
    <t xml:space="preserve">Engineering </t>
  </si>
  <si>
    <t>#118091323</t>
  </si>
  <si>
    <t>Customer is looking for a secure cloud-based collaboration and file-sharing solution for internal teams and external stakeholders such as consultants, auditors, advisors, contractors, and clients.</t>
  </si>
  <si>
    <t>PSE580008</t>
  </si>
  <si>
    <t>https://workdrive.zoho.in/file/5oq1bb51e8e9f62bc44da8d46fd051eccb09a</t>
  </si>
  <si>
    <t>No respons from cx</t>
  </si>
  <si>
    <t>techsupport@captaintractors.com</t>
  </si>
  <si>
    <t>#158521937</t>
  </si>
  <si>
    <t>They need controlled file sharing with encryption, access control, audit logs, approval workflows before files are shared externally, activity tracking, OTP-based external access, custom domain support, and storage collaboration for project/client-based folders.</t>
  </si>
  <si>
    <t xml:space="preserve">5 + few client user license </t>
  </si>
  <si>
    <t>https://workdrive.zoho.in/file/4eoj5eda87f3cf28a4629804c7f5529475fc3</t>
  </si>
  <si>
    <t xml:space="preserve">Px done with demo, tried reaching the px no response sent email </t>
  </si>
  <si>
    <t>pradip.paul@maheshwaree.com</t>
  </si>
  <si>
    <t xml:space="preserve">Mining </t>
  </si>
  <si>
    <t>#159093984</t>
  </si>
  <si>
    <t>Replace their current third-party cloud storage provider. They currently have around 2 TB of existing data and are evaluating solutions with up to 5 TB storage capacity, external sharing support, desktop sync, workflow approvals, and centralized activity tracking. Their primary use case includes storing and securely sharing files with clients and vendors.</t>
  </si>
  <si>
    <t>Aconex</t>
  </si>
  <si>
    <t>https://workdrive.zoho.in/file/4eoj50ab79a05941845e9a5e9c2e0c94d7f26</t>
  </si>
  <si>
    <t xml:space="preserve">He said they are going with 3rd party vendor. </t>
  </si>
  <si>
    <t>iam4lorunsho@gmail.com</t>
  </si>
  <si>
    <t>#159091665</t>
  </si>
  <si>
    <t>They want to create vendor/client-specific folders with structured subfolders, share reports and files externally, collect files from vendors through upload links, and manage access permissions at both folder and subfolder levels</t>
  </si>
  <si>
    <t>https://workdrive.zoho.in/file/ou32bb22264fe57864d5691e7ba42347186a7</t>
  </si>
  <si>
    <t>Cx sent an email saying that they would evaluate the software and comeback</t>
  </si>
  <si>
    <r>
      <t>bill@aperiondx.com</t>
    </r>
  </si>
  <si>
    <t>#159128348</t>
  </si>
  <si>
    <t xml:space="preserve">Prospect had signed up for trial and looking to store documents and wanted to share it with internal and external users </t>
  </si>
  <si>
    <t>Did not initiate recording</t>
  </si>
  <si>
    <t xml:space="preserve">Sent a follow-up email to the prospect. </t>
  </si>
  <si>
    <t>it@jupiter-clamps.com</t>
  </si>
  <si>
    <t>Manufacture</t>
  </si>
  <si>
    <t>#159135756</t>
  </si>
  <si>
    <t>Mainly around understanding how WorkDrive can support their current workflow, as they are presently using SharePoint and mostly deal with design-related files.</t>
  </si>
  <si>
    <t>not confirmed</t>
  </si>
  <si>
    <t>No recording - px had challenges with his mic</t>
  </si>
  <si>
    <t>No response from the px - closed lost</t>
  </si>
  <si>
    <t>buiiltarch.ghy@gmail.com</t>
  </si>
  <si>
    <t>#159196953</t>
  </si>
  <si>
    <t>Looking for a centralized cloud storage platform where project/design files can be stored and accessed from anywhere instead of depending only on office network systems. Another major requirement was secure external sharing of files directly from the platform.</t>
  </si>
  <si>
    <t>https://workdrive.zoho.in/file/3z4wjdd042aec0d5540fc8f7a8565e43dbb4e</t>
  </si>
  <si>
    <t>National Research Center Siddha</t>
  </si>
  <si>
    <t>Goverment sector</t>
  </si>
  <si>
    <t>Looking to digitize palm leaf manuscripts.</t>
  </si>
  <si>
    <t>Office visit</t>
  </si>
  <si>
    <t>ankita.ms@yantralive.com</t>
  </si>
  <si>
    <t>Import/Export</t>
  </si>
  <si>
    <r>
      <t>#</t>
    </r>
    <r>
      <t>156480655</t>
    </r>
  </si>
  <si>
    <t>They are looking for a 10 stage workflow with review and approval at each stage</t>
  </si>
  <si>
    <t>https://workdrive.zoho.in/file/9qp6m32a78dc7b1a44089b07c6b290b8f0489</t>
  </si>
  <si>
    <t>CAARINDAM2012@GMAIL.COM</t>
  </si>
  <si>
    <t>#158295017</t>
  </si>
  <si>
    <t>They are looking to move from OneDrive to WorkDrive</t>
  </si>
  <si>
    <t>https://workdrive.zoho.in/file/9qp6mc306562c8a5f45759714938b7eab88f9</t>
  </si>
  <si>
    <t xml:space="preserve">Not interested </t>
  </si>
  <si>
    <r>
      <t>#</t>
    </r>
    <r>
      <t>158598600</t>
    </r>
  </si>
  <si>
    <t>Needed assistance in inviting a member and creating team folders</t>
  </si>
  <si>
    <t>info@itcpllab.com</t>
  </si>
  <si>
    <t>Research</t>
  </si>
  <si>
    <r>
      <t>#</t>
    </r>
    <r>
      <t>159307342</t>
    </r>
  </si>
  <si>
    <t>Testing Laboratory (new implementation — no existing file management tool in use)</t>
  </si>
  <si>
    <t>https://workdrive.zoho.in/file/jya2s97e17a465a164e07930fcd7bfb74ffa0</t>
  </si>
  <si>
    <t>Naren</t>
  </si>
  <si>
    <t>healthtechmasteryacademy@gmail.com</t>
  </si>
  <si>
    <t xml:space="preserve">Education </t>
  </si>
  <si>
    <t>#159327055</t>
  </si>
  <si>
    <t>paid user - query on WorkDrive</t>
  </si>
  <si>
    <t>raj.kumar@sealthedeal.co.in</t>
  </si>
  <si>
    <t>#159364576</t>
  </si>
  <si>
    <t xml:space="preserve">Migration from OneDrive </t>
  </si>
  <si>
    <t>Exisiting user had queries on sync and folder management</t>
  </si>
  <si>
    <t>regupathi.g@jockeyindia.com</t>
  </si>
  <si>
    <t>Retail</t>
  </si>
  <si>
    <t>#159492457</t>
  </si>
  <si>
    <t>Prospect is currently evaluating alternatives to SharePoint and wanted to understand WorkDrive capabilities at a high level before proceeding with trial and detailed evaluation.</t>
  </si>
  <si>
    <t>Microsoft Teams and WD integration</t>
  </si>
  <si>
    <t>No recording (initiated from sales end)</t>
  </si>
  <si>
    <t>nithin.k@adventz.com</t>
  </si>
  <si>
    <t>IT Service</t>
  </si>
  <si>
    <t>#159403120</t>
  </si>
  <si>
    <t>Test migration from OneDrive to WD</t>
  </si>
  <si>
    <t>Approx 20TB</t>
  </si>
  <si>
    <t>j.kuriakose@aximedsupply.com</t>
  </si>
  <si>
    <t>Medical devices</t>
  </si>
  <si>
    <t>#159336999</t>
  </si>
  <si>
    <t>Customer wanted to understand how to use Zoho WorkDrive for team collaboration and shared file management within their organization. They specifically wanted guidance on setting up shared folders, managing access permissions, collaborating on Excel files, and using the desktop sync application similar to OneDrive.</t>
  </si>
  <si>
    <t>https://workdrive.zoho.in/file/h4btre40f04db9acb4fa8b997f3d75f4451b0</t>
  </si>
  <si>
    <t>systems.corp@shalby.in</t>
  </si>
  <si>
    <t xml:space="preserve">Hospitals </t>
  </si>
  <si>
    <t>#159461914</t>
  </si>
  <si>
    <t>They are evaluating Zoho Workplace as a complete replacement for their existing ecosystem, including Office apps, cloud storage, email, collaboration, and intranet-style communication tools. Their primary focus is reducing Microsoft licensing costs while ensuring user comfort, ease of adoption, productivity, and centralized management under a single platform.</t>
  </si>
  <si>
    <t xml:space="preserve">Microsoft </t>
  </si>
  <si>
    <t>PSE581946</t>
  </si>
  <si>
    <t xml:space="preserve">Not confirmed </t>
  </si>
  <si>
    <t>https://workdrive.zoho.in/file/9225p523302144384441f82b544ddad2941d7</t>
  </si>
  <si>
    <t>pankajramol@almamet.com</t>
  </si>
  <si>
    <t xml:space="preserve">Metals &amp; mining </t>
  </si>
  <si>
    <t>#159468845</t>
  </si>
  <si>
    <t>PSE581435</t>
  </si>
  <si>
    <t>https://workdrive.zoho.in/file/h4btrfb52c625adf54ce3877aead5258f49a2</t>
  </si>
  <si>
    <t>omkar.chavan@sapparts.com</t>
  </si>
  <si>
    <t>#159457943</t>
  </si>
  <si>
    <t>Currently using Synology-based storage but facing collaboration limitations when multiple users work on the same files across different branches.</t>
  </si>
  <si>
    <t>Synology</t>
  </si>
  <si>
    <t>PSE581525</t>
  </si>
  <si>
    <t>https://workdrive.zoho.in/file/7l3lx62e03bc6898c470c8cce9a602eaf1730</t>
  </si>
  <si>
    <t xml:space="preserve">JUne 11
Call went unanswered - dropped mail </t>
  </si>
  <si>
    <t>rana.putta@kreoninfra.com</t>
  </si>
  <si>
    <t>#159466276</t>
  </si>
  <si>
    <t xml:space="preserve">A centralized DMS tool to digitize and organize old records, legal documents, correspondence with mining departments, and other paperwork currently maintained as physical hard copies. </t>
  </si>
  <si>
    <t>https://workdrive.zoho.in/file/8zurz8f3937ddb94241e98b97b739d69d7bf4</t>
  </si>
  <si>
    <t xml:space="preserve">Received cx info as ticket, no resposne to the call, email shared to cx. </t>
  </si>
  <si>
    <t>bishow@sherpahospitality.com</t>
  </si>
  <si>
    <t>Hotels</t>
  </si>
  <si>
    <t>#159451771</t>
  </si>
  <si>
    <t>Clarification/QnA session on plans and pricing, Workplace vs Workdrive, user management, storage and licensing.</t>
  </si>
  <si>
    <t>Microsoft File Server</t>
  </si>
  <si>
    <t>https://workdrive.zoho.in/file/8zurzd356bcf3036145b38d28f7ce9c64c29f</t>
  </si>
  <si>
    <t>Gave a POC for 10 stage workflow with review and approval at each stage based on their BRD.</t>
  </si>
  <si>
    <t>https://workdrive.zoho.in/file/8zurz3bed7dfdffa5427986744f64dab4c118</t>
  </si>
  <si>
    <t>hello@gmatos.pt</t>
  </si>
  <si>
    <t>#159515432</t>
  </si>
  <si>
    <t xml:space="preserve">Customer was exploring Zoho WorkDrive as a document management solution to securely store and manage client documents on the cloud. </t>
  </si>
  <si>
    <t>jason_yu@karney.net</t>
  </si>
  <si>
    <r>
      <t>#</t>
    </r>
    <r>
      <t>159470593</t>
    </r>
  </si>
  <si>
    <t>Secure document sharing for investors and board members.</t>
  </si>
  <si>
    <t>https://workdrive.zoho.in/file/l7q148af9a438117e4d61b4ead99837d1e95b</t>
  </si>
  <si>
    <r>
      <t>payments@indoorrestore.com</t>
    </r>
  </si>
  <si>
    <t>property restoration industry</t>
  </si>
  <si>
    <r>
      <t>#</t>
    </r>
    <r>
      <t>159602490</t>
    </r>
  </si>
  <si>
    <t>Discussed the client’s primary requirement regarding restricting sales personnel from editing or overwriting files while allowing upload/download access.</t>
  </si>
  <si>
    <t>lvsakthibala@gmail.com</t>
  </si>
  <si>
    <t>#159560720</t>
  </si>
  <si>
    <t xml:space="preserve">Plans and Pricing discussion </t>
  </si>
  <si>
    <t>1 TB</t>
  </si>
  <si>
    <t>No recording (audio issues - audio through Zvoice and shared screen through meeting)</t>
  </si>
  <si>
    <t>siva.kumar@ku.ac.ae</t>
  </si>
  <si>
    <t>Higher education</t>
  </si>
  <si>
    <t>The customer requires a document management system with standardized naming conventions, controlled deletion rights, automated archival of expired documents, expiry-based reporting, and seamless integration of approved employee documents from Fusion. During migration, they also expect automated archival based on document expiry, reporting of archived documents, and the ability for HR to review archived records.</t>
  </si>
  <si>
    <t>Followed on personal mail box and direct contact from MEA sales team</t>
  </si>
  <si>
    <t>sadiq@mellonsecureremit.com</t>
  </si>
  <si>
    <t xml:space="preserve">Banking service </t>
  </si>
  <si>
    <t>#159606697</t>
  </si>
  <si>
    <t>Issues with users sync in WorkDrive</t>
  </si>
  <si>
    <t>oowoade@accionmfb.com</t>
  </si>
  <si>
    <t xml:space="preserve">Financial solution </t>
  </si>
  <si>
    <t>#159409912</t>
  </si>
  <si>
    <t>Customer wants to evaluate Zoho WorkDrive for organization-wide document storage, desktop sync, collaboration, approval workflows, mobile access, and continuity of data when employees leave the organization.</t>
  </si>
  <si>
    <t>MEA prospect, MEA sales is following with cx</t>
  </si>
  <si>
    <t>https://workdrive.zoho.in/file/6n2nq32686817acdf4b9ab28cd0bf686310f9</t>
  </si>
  <si>
    <t>laddhalic@gmail.com</t>
  </si>
  <si>
    <t>financial advisor</t>
  </si>
  <si>
    <t>#159657831</t>
  </si>
  <si>
    <t>Customer is a financial advisor running an insurance business and is primarily looking for a secure cloud storage and document management solution.</t>
  </si>
  <si>
    <t>PSE582309</t>
  </si>
  <si>
    <t>https://workdrive.zoho.in/file/6n2nqacc4d980f96944868e40f6b3f1fdd199</t>
  </si>
  <si>
    <t xml:space="preserve">RNR - dropped mail - no response </t>
  </si>
  <si>
    <t>Recently upgraded cx wanted a demo to understand WD and about the business feature add-on as they are in Workplace.</t>
  </si>
  <si>
    <t>Just onboarded and looking to clarify the questions</t>
  </si>
  <si>
    <t>ktejwani@jktco.com</t>
  </si>
  <si>
    <t>CA firm</t>
  </si>
  <si>
    <r>
      <t>#</t>
    </r>
    <r>
      <t>118092267</t>
    </r>
  </si>
  <si>
    <t>Existing Workplace User looped by sales to address queries on WD as they were planning to renew</t>
  </si>
  <si>
    <t>aalok.somani@emcure.com</t>
  </si>
  <si>
    <t xml:space="preserve"> Pharma and Life Sciences</t>
  </si>
  <si>
    <t>#157689052</t>
  </si>
  <si>
    <t>Free User looking for a overview on Zoho Office Suite, not looking to upgrade</t>
  </si>
  <si>
    <t>jennifer.ocarroll@bluedropmedical.com</t>
  </si>
  <si>
    <t>#159669423</t>
  </si>
  <si>
    <t xml:space="preserve"> They require department-based storage with controlled access, searchable content, audit visibility, workflow approvals, and Outlook/email integration for document handling. They also wanted clarity on data hosting, backup architecture, compliance, and folder-level permissions.</t>
  </si>
  <si>
    <t xml:space="preserve"> QMS platform for device-development documentation</t>
  </si>
  <si>
    <t>https://workdrive.zoho.in/file/hzp8jea25453a5cad416f83357caa829d4db9</t>
  </si>
  <si>
    <t>susheel.mishra@ymcindia.com</t>
  </si>
  <si>
    <t>#159637840</t>
  </si>
  <si>
    <t>They require a centralized platform to create, manage, review, approve, retain, and destroy documents related to SOPs, investigation reports, CAPA, RCA, inspection reports, and other quality documentation. They are also looking for workflow-driven approvals, controlled document access, auto-numbering for documents, PDF conversion after approval, structured record retention, and end-to-end automation similar to an ERP workflow.</t>
  </si>
  <si>
    <t>Suggested involving Zoho ERP/custom solutions team for detailed requirement gathering and tailored solution design.</t>
  </si>
  <si>
    <t>https://workdrive.zoho.in/file/eh15p45cb9889bb2c43fe8d9d18bcbafc66ff</t>
  </si>
  <si>
    <t>vyomus.in@gmail.com</t>
  </si>
  <si>
    <t>Consultancy and Professional Services</t>
  </si>
  <si>
    <t>#159713114</t>
  </si>
  <si>
    <t xml:space="preserve"> common centralized directory structure with proper user access control and permissions management. They also require periodic cloud backup of the data to another location to ensure redundancy, business continuity, and disaster recovery.</t>
  </si>
  <si>
    <t xml:space="preserve">Local Drive + google </t>
  </si>
  <si>
    <t>anupj@crescatfinserv.com</t>
  </si>
  <si>
    <t>#159664439</t>
  </si>
  <si>
    <t>Looking for centralized document storage and collaboration, OCR/search capability for scanned documents, Secure document collection from clients and the ability to later derive/search insights from uploaded document datasets</t>
  </si>
  <si>
    <t xml:space="preserve">Tried reaching the px no response  </t>
  </si>
  <si>
    <t>wilson@maadtech.ai</t>
  </si>
  <si>
    <t>Consuting</t>
  </si>
  <si>
    <t>#159698126</t>
  </si>
  <si>
    <t>Partner, who was primarily looking to understand the broader Zoho ecosystem, Workplace capabilities, Zia integrations, and reseller/partner opportunities rather than having any specific WorkDrive-related requirements.</t>
  </si>
  <si>
    <t>operations@occusure.co.za</t>
  </si>
  <si>
    <t>Healthcare services</t>
  </si>
  <si>
    <t>#159774007</t>
  </si>
  <si>
    <t>The customer is looking for a complete migration to Zoho, including Zoho Books, shared calendar, inventory management, and a cloud-based WorkDrive setup for their company. They are also looking for guidance on the overall implementation and suitable Zoho products for their business</t>
  </si>
  <si>
    <t>Local data serer</t>
  </si>
  <si>
    <t>Concierge team will followup further</t>
  </si>
  <si>
    <r>
      <t>tal@trpig.co.za</t>
    </r>
  </si>
  <si>
    <t>recruitment</t>
  </si>
  <si>
    <t>#159736550</t>
  </si>
  <si>
    <t>Secure document management system for a large staff team.
Need to upload and organize sensitive documents.</t>
  </si>
  <si>
    <t>Disable search result option with multiple answers Eg: If a file is searched using a specific file name the result has to be only shown in results and not all the documents that has the word within the content</t>
  </si>
  <si>
    <t>https://workdrive.zoho.in/file/6cqxo566ca616e80f40a79a10e74cee7a4b37</t>
  </si>
  <si>
    <t xml:space="preserve">Sent a follow up email. </t>
  </si>
  <si>
    <r>
      <t>bilalnadeem1009@gmail.com</t>
    </r>
  </si>
  <si>
    <t>#159707345</t>
  </si>
  <si>
    <t>Need for a centralized platform to upload and organize client documents.
Separate folders required for different clients/projects.</t>
  </si>
  <si>
    <t>https://workdrive.zoho.in/file/6cqxo1a91b60442d1474d9307d978b1f30fb2</t>
  </si>
  <si>
    <t>magizhnirai.hr@hashira-fintech.com</t>
  </si>
  <si>
    <t>#150724930</t>
  </si>
  <si>
    <t xml:space="preserve">Looking for a centralized cloud storage platform for internal collaboration and document management across multiple team members. </t>
  </si>
  <si>
    <t>PSE583189</t>
  </si>
  <si>
    <t>https://workdrive.zoho.in/file/6cqxo44622471757047e4b7174ac8b5717246</t>
  </si>
  <si>
    <t>info@bhasinmotors.com</t>
  </si>
  <si>
    <t>Automotive</t>
  </si>
  <si>
    <t>#159884723</t>
  </si>
  <si>
    <t xml:space="preserve">Google Workspace user looking for a centralized cloud storage platform to digitize and manage organizational documents internally. </t>
  </si>
  <si>
    <t>PSE583316</t>
  </si>
  <si>
    <t>https://workdrive.zoho.in/file/eh15p1129e6c87f6048e58d4b906018a80d03</t>
  </si>
  <si>
    <t xml:space="preserve">Tried reaching the px no response sent email  </t>
  </si>
  <si>
    <t>quality@siex.sa</t>
  </si>
  <si>
    <t>#159840742</t>
  </si>
  <si>
    <t>replacement for OneDrive across three small group companies. They need department-wise private folders, controlled access, QMS document management, version control, document approval workflows, external sharing controls, desktop sync/backup, and possible integration with Zoho Flow for cross-application automation.</t>
  </si>
  <si>
    <t xml:space="preserve">Expiry date with reminder emails </t>
  </si>
  <si>
    <t>https://workdrive.zoho.in/file/5xofre0cf0e21251c471c8342927a709b3d2b</t>
  </si>
  <si>
    <t xml:space="preserve">spoke with the px he is not interested in product since the feature is not available currently </t>
  </si>
  <si>
    <t>warunrathi@gmail.com</t>
  </si>
  <si>
    <t>manufacturing company</t>
  </si>
  <si>
    <t>#159869660</t>
  </si>
  <si>
    <t>Managing recurring operational and compliance activities through spreadsheets. Due to delays caused by manual follow-ups and lack of automated reminders, they are looking for a solution with task reminders, tracking, and a management dashboard.</t>
  </si>
  <si>
    <t>https://workdrive.zoho.in/file/5xofrff02c0cf498d4ecdbd41abb96e0c16e5</t>
  </si>
  <si>
    <t>it@rsbconsultants.in</t>
  </si>
  <si>
    <t>#159977174</t>
  </si>
  <si>
    <t>The prospect is currently using OneDrive but is facing challenges around file sharing visibility, tracking activities, and receiving alerts. They recently migrated from Outlook to Zoho Mail and are now evaluating Zoho WorkDrive as part of moving further into the Zoho ecosystem.</t>
  </si>
  <si>
    <t xml:space="preserve">JUne 10
No response from cx yet </t>
  </si>
  <si>
    <t xml:space="preserve">Followup session - queries on licensing </t>
  </si>
  <si>
    <t>omkarwalavalkar23@gmail.com</t>
  </si>
  <si>
    <t xml:space="preserve"> Food and Beverages</t>
  </si>
  <si>
    <t>#159895683</t>
  </si>
  <si>
    <t>The customer is looking for Zoho CRM to manage all their client data, which is currently being maintained in Excel</t>
  </si>
  <si>
    <t>hr@sunrisenaturals.in</t>
  </si>
  <si>
    <t>#159180499</t>
  </si>
  <si>
    <t>Currently storing employee records locally and looking for a centralized cloud platform to store and manage employee onboarding documents like Aadhaar cards, PAN cards, educational certificates, experience letters, policies, and related HR documents for ~50+ employees.</t>
  </si>
  <si>
    <t>https://workdrive.zoho.in/file/vsxpw93057179859d4d00972c9eb24e0e0d56</t>
  </si>
  <si>
    <t>saloneevasistha99@gmail.com</t>
  </si>
  <si>
    <t>#160113942</t>
  </si>
  <si>
    <t xml:space="preserve">Looking for a centralized cloud-based document management system to digitize and organize physical billing records, invoices, and operational documents currently maintained manually. </t>
  </si>
  <si>
    <t>https://workdrive.zoho.in/file/5au62336ef644518046c6aafa81b42db54b1a</t>
  </si>
  <si>
    <t xml:space="preserve">Landed in VM no response over mails </t>
  </si>
  <si>
    <t>rohan@tartanhq.com</t>
  </si>
  <si>
    <t>API based software</t>
  </si>
  <si>
    <t>#160122285</t>
  </si>
  <si>
    <t>Customer is looking for a sales enablement and document engagement tracking system where marketing assets can be shared externally with prospects and leads while tracking engagement metrics such as who accessed the document, how many times it was viewed, downloads, sharing activity, and overall usage visibility.</t>
  </si>
  <si>
    <t xml:space="preserve">Google </t>
  </si>
  <si>
    <t>https://workdrive.zoho.in/file/kna4id64d5c1b5c164b03ac1e471e0d3b3b68</t>
  </si>
  <si>
    <t xml:space="preserve">Followup session </t>
  </si>
  <si>
    <t>brendon@3dom.agency</t>
  </si>
  <si>
    <r>
      <t>#</t>
    </r>
    <r>
      <t>160064629</t>
    </r>
  </si>
  <si>
    <t>The UK client is currently on OneDrive but is scaling quickly. Individual sharing is becoming increasingly unmanageable.</t>
  </si>
  <si>
    <t>OneDrive / Sharepoint</t>
  </si>
  <si>
    <t>https://workdrive.zoho.in/file/kna4i136c1f57d442463ea968779164fed329</t>
  </si>
  <si>
    <t>info@speculate.co.ke</t>
  </si>
  <si>
    <t>Software Development</t>
  </si>
  <si>
    <r>
      <t>#</t>
    </r>
    <r>
      <t>154440582</t>
    </r>
  </si>
  <si>
    <t>The customer’s main requirement is to integrate Zoho Office Integrator to enable document editing directly within their application.</t>
  </si>
  <si>
    <t>The customer has an existing ASP.NET-based application named “Audit Trail”.</t>
  </si>
  <si>
    <t>ASP.NET</t>
  </si>
  <si>
    <t>https://workdrive.zoho.in/file/5pgkwaaef02c7adca486fadd5b5521027b553</t>
  </si>
  <si>
    <t xml:space="preserve">called no response - mail sent </t>
  </si>
  <si>
    <t>cs.rvsassociates@gmail.com</t>
  </si>
  <si>
    <t>Individual Consultant</t>
  </si>
  <si>
    <t>#158916548</t>
  </si>
  <si>
    <t>centralized cloud storage platform to access and manage accounting/compliance-related files across multiple systems while travelling or working from client locations.</t>
  </si>
  <si>
    <t>&lt; 100 GB</t>
  </si>
  <si>
    <t>Tried reaching the px no response</t>
  </si>
  <si>
    <t>rajagopalana@csb.bank.in</t>
  </si>
  <si>
    <t>#160129278</t>
  </si>
  <si>
    <t>Customer is currently using Newgen-based document management infrastructure consisting of two solutions a scanning application (OCAN) for document/image scanning and a DMS repository solution.
The system is integrated with around 15–20 internal banking applications through APIs for document upload and retrieval. Their primary requirement is a secure document storage and retrieval system with optimization in operational and storage costs. They are specifically looking for an on-premise deployment model due to banking compliance and infrastructure policies. Current repository size is estimated around 10–12 TB of data.</t>
  </si>
  <si>
    <t xml:space="preserve">On-prem support </t>
  </si>
  <si>
    <t>Newgen</t>
  </si>
  <si>
    <t>10 - 12TB</t>
  </si>
  <si>
    <t>https://workdrive.zoho.in/file/arhmqf2174664f39e4834acbbfa02489ab6b7</t>
  </si>
  <si>
    <t>Coaching</t>
  </si>
  <si>
    <r>
      <t>#</t>
    </r>
    <r>
      <t>158700263</t>
    </r>
  </si>
  <si>
    <t>Existing Google Workspace users. They are looking to migrate to WorkDrive.</t>
  </si>
  <si>
    <t>20 Business 
30 Client licenses</t>
  </si>
  <si>
    <r>
      <t xml:space="preserve"> </t>
    </r>
    <r>
      <t>tyler.vanderwees@birchwood.ca</t>
    </r>
  </si>
  <si>
    <t>Vehicle Services</t>
  </si>
  <si>
    <t>#160169668</t>
  </si>
  <si>
    <t>Key requirements discussed:
Approval workflow for invoices.
Notifications and task assignments for</t>
  </si>
  <si>
    <t>https://workdrive.zoho.in/file/uqmp18a6e0083fb9e4b12b95abd251929cce3</t>
  </si>
  <si>
    <t>reagan.perumal@starhealth.in</t>
  </si>
  <si>
    <t xml:space="preserve">Health insurance </t>
  </si>
  <si>
    <t>#159576670</t>
  </si>
  <si>
    <t>Customer shared consolidated feedback collected from their users during the POC</t>
  </si>
  <si>
    <t xml:space="preserve">MS office platform </t>
  </si>
  <si>
    <t>PSE585344</t>
  </si>
  <si>
    <t>https://workdrive.zoho.in/file/zipcr046bc7f3e6ee4469a810780021348309</t>
  </si>
  <si>
    <t>ashrith.g@sonata-software.com</t>
  </si>
  <si>
    <t>#160154246</t>
  </si>
  <si>
    <t>The customer is evaluating Zoho WorkDrive as a secure cloud-based alternative to their current open-source FTP solution. Their primary requirement is secure file sharing with external clients while maintaining strict access contr</t>
  </si>
  <si>
    <t xml:space="preserve">FTP solution </t>
  </si>
  <si>
    <t>500 - 600GB</t>
  </si>
  <si>
    <t>10-50</t>
  </si>
  <si>
    <t>https://workdrive.zoho.in/file/bnmqhbe9eef87ef164840afcc7006d3debd5f</t>
  </si>
  <si>
    <t>Follow up queries clarification call</t>
  </si>
  <si>
    <t xml:space="preserve">No response from cx yet </t>
  </si>
  <si>
    <t>shrishti@saadaa.in</t>
  </si>
  <si>
    <t>Clothing</t>
  </si>
  <si>
    <t>#160209748</t>
  </si>
  <si>
    <t>Prospect is currently using decentralized Google Drive workflows where employees individually own/manage files.</t>
  </si>
  <si>
    <t>50-75</t>
  </si>
  <si>
    <t>https://workdrive.zoho.in/file/s5oz3ee7b9a6d4c4d47959067d567173967f8</t>
  </si>
  <si>
    <t>fernandes.a.allan@gmail.com</t>
  </si>
  <si>
    <t>#152352276</t>
  </si>
  <si>
    <t>Requirement is primarily storage-focused with API-based access for pushing and pulling customer data, similar to S3 bucket usage, rather than a traditional document collaboration use case.</t>
  </si>
  <si>
    <t>jobs@shieldglobal.in</t>
  </si>
  <si>
    <t>#159903226</t>
  </si>
  <si>
    <t>cloud-based document management solution to store and organize overseas recruitment candidate data, including passports, experience certificates, CVs, and Excel sheets. They need multiple users to access common folders while maintaining controlled access permissions</t>
  </si>
  <si>
    <t>PSE585449</t>
  </si>
  <si>
    <t>https://workdrive.zoho.in/file/61nm10bfa9f4c3fb6402d805f2870d301568c</t>
  </si>
  <si>
    <t xml:space="preserve">Had a follow up session for Document Workflow </t>
  </si>
  <si>
    <t>Document Workflow - Whether workflow initiators can receive email notifications after approvals are completed.</t>
  </si>
  <si>
    <t>contact@skillsourceaustralia.com.au</t>
  </si>
  <si>
    <t>#160443118</t>
  </si>
  <si>
    <t>Existing Workplace User had queries on WD and wanted to explore WD</t>
  </si>
  <si>
    <t>myexpressiveself1@gmail.com</t>
  </si>
  <si>
    <r>
      <t>#</t>
    </r>
    <r>
      <t>160293329</t>
    </r>
  </si>
  <si>
    <t>Discussed the customer’s interest in adopting Zoho One as an all-in-one business management suite.</t>
  </si>
  <si>
    <t>consult@agmassociates.co.in</t>
  </si>
  <si>
    <t>#160446214</t>
  </si>
  <si>
    <t>OneDrive user looking for centralized internal/external document sharing, role-based access, multi-device access, and secure collaboration workflows.</t>
  </si>
  <si>
    <t>https://workdrive.zoho.in/file/lekev9c9db9e4b35d43dca174ee7829263213</t>
  </si>
  <si>
    <t>jakerussell@experins.com</t>
  </si>
  <si>
    <t>Employee Benefits Consulting</t>
  </si>
  <si>
    <r>
      <t>#</t>
    </r>
    <r>
      <t>160466056</t>
    </r>
  </si>
  <si>
    <t>: Storage &amp; functionality with other zoho projects</t>
  </si>
  <si>
    <r>
      <t>jns@computech1.com</t>
    </r>
  </si>
  <si>
    <t>IT Consulting</t>
  </si>
  <si>
    <r>
      <t>#</t>
    </r>
    <r>
      <t>160316589</t>
    </r>
  </si>
  <si>
    <t xml:space="preserve"> We want to share mapped network drive from our server which is listed as M drive. Also, would like to sync the data from Zoho work drive to our M drive on the server.</t>
  </si>
  <si>
    <r>
      <t>#</t>
    </r>
    <r>
      <t>157274114</t>
    </r>
  </si>
  <si>
    <t>Customer to purchase additional client licenses if multiple users require direct member access.</t>
  </si>
  <si>
    <t>ketaki@sunriseengg.co.in</t>
  </si>
  <si>
    <t>#160601990</t>
  </si>
  <si>
    <t>No finalized requirement yet. Organization currently uses Synology NAS and local storage infrastructure and is evaluating whether moving to a cloud-based platform would be beneficial. Discussion was primarily exploratory and information-gathering in nature.</t>
  </si>
  <si>
    <t>Synology NAS</t>
  </si>
  <si>
    <t>10 TB</t>
  </si>
  <si>
    <t>Requirements gathering session - demo to be planned with their management team later</t>
  </si>
  <si>
    <t>https://workdrive.zoho.in/file/y78hu01867b999742413a9f06b02f7bb612e9</t>
  </si>
  <si>
    <t>shashank.sharma@khatabook.com</t>
  </si>
  <si>
    <t>#160431137</t>
  </si>
  <si>
    <t>Currently using Google Drive and evaluating alternatives due to concerns around audit visibility, security, and centralized document management across multiple group entities.</t>
  </si>
  <si>
    <t>https://workdrive.zoho.in/file/9w9q5a4a667f627b144b5ac0d41fe378a1de2</t>
  </si>
  <si>
    <t xml:space="preserve">Spoke with cx and asked them to sign for the trial. </t>
  </si>
  <si>
    <t>apurv6728@gmail.com</t>
  </si>
  <si>
    <t>#160566093</t>
  </si>
  <si>
    <t>Looking for a centralized cloud platform to store project documents, letters, PDFs, and project-related communications for long-term retention and retrieval.</t>
  </si>
  <si>
    <t xml:space="preserve">Save email as .eml file through Gmail Add On directly to Zoho WorkDrive as a PDF </t>
  </si>
  <si>
    <t>PSE586918</t>
  </si>
  <si>
    <r>
      <t xml:space="preserve">Save .eml file as a PDF in WD </t>
    </r>
    <r>
      <t>https://sprints.zoho.in/workspace/zdocs#P15/itemdetails/I8333</t>
    </r>
    <r>
      <t xml:space="preserve"> </t>
    </r>
  </si>
  <si>
    <t>avinash.tiwari@spandanasphoorty.com</t>
  </si>
  <si>
    <r>
      <t>#</t>
    </r>
    <r>
      <t>160666343</t>
    </r>
  </si>
  <si>
    <t xml:space="preserve">Showcased WorkDrive TrueSync and Genie to edit their MS Office files directly. </t>
  </si>
  <si>
    <t>1. They wanted to open MS Office files in Zoho editors without having to convert it to any Zoho format.
&gt;&gt; Showcased them how to open MS Office files via Desktop editor apps, without having to convert the files to Zoho format.
&gt;&gt; They want the same behavior in the online Office editors too. Allowing them directly to open MS Office files from web browser and let them edit without converting to Zoho format would help.
2. They are using lots of Macros in Excel, they wanted the macros to be supported in Offline Desktop apps too. Informed them that Macros are currently yet to be supported in Offline desktop apps. @Kumar Vinay Shree Shiv Shankar Prasad Saw @Tikeshwar Sahu
3. They also wanted to know when the Beta tag of Zoho Sheet will be removed from Zoho Sheet. No other special requirements were mentioned. @Kumar Vinay Shree Shiv Shankar Prasad Saw @Tikeshwar Sahu @Kirubhakaran Mohan</t>
  </si>
  <si>
    <t>jagadeesane@csb.bank.in</t>
  </si>
  <si>
    <r>
      <t>#</t>
    </r>
    <r>
      <t>160638259</t>
    </r>
  </si>
  <si>
    <t xml:space="preserve">They have 45.7 TB of data that needs to be migrated from OneDrive to WorkDrive. </t>
  </si>
  <si>
    <t>45.7TB</t>
  </si>
  <si>
    <t>Zoom Meeting</t>
  </si>
  <si>
    <t>it.pampearlhospital@gmail.com</t>
  </si>
  <si>
    <t>Hospital</t>
  </si>
  <si>
    <r>
      <t>#</t>
    </r>
    <r>
      <t>160332017</t>
    </r>
  </si>
  <si>
    <t>Looking for a cloud platform to store cctv footages.</t>
  </si>
  <si>
    <t>Hard Drive</t>
  </si>
  <si>
    <t>https://workdrive.zoho.in/file/k3vbk4a5d1c9ed4b3471689d24f7bc82d5fdc</t>
  </si>
  <si>
    <r>
      <t>nikhil@anandpara.com</t>
    </r>
  </si>
  <si>
    <t>COnsulting</t>
  </si>
  <si>
    <r>
      <t>#</t>
    </r>
    <r>
      <t>160653570</t>
    </r>
  </si>
  <si>
    <t>Customer enquired whether Zoho CRM can be integrated with Zoho WorkDrive.</t>
  </si>
  <si>
    <t>https://workdrive.zoho.in/file/k3vbk1859e4d3d6334880bf370e1acbdd3ce1</t>
  </si>
  <si>
    <t>ease1@iba.org.in</t>
  </si>
  <si>
    <t>#160640756</t>
  </si>
  <si>
    <t>Currently using SmartSync and evaluating alternatives to organize documents bank-wise with role-based access controls. Also evaluating Zoho Sheet capabilities for collaborative spreadsheet management and reporting.</t>
  </si>
  <si>
    <t>SmartSync</t>
  </si>
  <si>
    <t>sachin.mane1@godrejproperties.com</t>
  </si>
  <si>
    <t>#157512062</t>
  </si>
  <si>
    <t>Looking for a document generation solution that integrates with Salesforce CRM to automatically create customer/project-specific letters using Salesforce data and store the generated documents back into Salesforce. Additionally, evaluating deployment options, including the possibility of hosting the solution within their own infrastructure instead of a standard cloud environment.</t>
  </si>
  <si>
    <t>Office integrator API</t>
  </si>
  <si>
    <t>https://workdrive.zoho.in/file/ci0u6b44999cfbf844e6bbb2639fd7f539913</t>
  </si>
  <si>
    <t>gihan@infoconnect.com.au</t>
  </si>
  <si>
    <t xml:space="preserve">Medical documentation </t>
  </si>
  <si>
    <t>#160627985</t>
  </si>
  <si>
    <t>Companies should be able to access a dedicated portal, use predefined templates/forms to submit medical check requests, and receive completed medical reports.
The medical center wants to automate document routing between company representatives, reception staff, and doctors, while maintaining strict access controls, audit trails, notifications, and data privacy. The solution should also provide flexibility to evolve workflows in the future.</t>
  </si>
  <si>
    <t>PSE587449</t>
  </si>
  <si>
    <t>https://workdrive.zoho.in/file/c6e77859b48881d8340758ad22dc776f66113</t>
  </si>
  <si>
    <r>
      <t xml:space="preserve"> </t>
    </r>
    <r>
      <t>fso@kits.co.ke</t>
    </r>
  </si>
  <si>
    <t>Law firm</t>
  </si>
  <si>
    <r>
      <t>#</t>
    </r>
    <r>
      <t>160735949</t>
    </r>
  </si>
  <si>
    <t>Understand document management requirements for a law firm.
Demonstrate Zoho WorkDrive capabilities.
Discuss Gmail integration and email archiving requirements.
Review pricing and edition options.</t>
  </si>
  <si>
    <t>Save email as .eml file through Gmail Add On directly to Zoho WorkDrive</t>
  </si>
  <si>
    <t>abhishek.30647@lpu.co.in</t>
  </si>
  <si>
    <t>#160786369</t>
  </si>
  <si>
    <t>Recently CRM subscribed user, looking for additional storage and a centralized document repository to manage partnership agreements, collaboration documents, event reports, and supporting documents related to international university collaborations.</t>
  </si>
  <si>
    <t>https://workdrive.zoho.in/file/2sb1i7fcde393bb6e411787a3fd1618dec302</t>
  </si>
  <si>
    <t>senthilkumar.rs@starhealth.in</t>
  </si>
  <si>
    <t>Issues &amp; feedback shared after using the Zoho Sheet desktop app extensively as part of their POC.</t>
  </si>
  <si>
    <t>MS</t>
  </si>
  <si>
    <t>PSE587171</t>
  </si>
  <si>
    <t>https://workdrive.zoho.in/file/mpa0af3f3b61627f241c2a0f6c287bd0c36cf</t>
  </si>
  <si>
    <t>sourabh.s@aquacorp.in</t>
  </si>
  <si>
    <t>Design consultancy firm</t>
  </si>
  <si>
    <t>#160682242</t>
  </si>
  <si>
    <t xml:space="preserve"> They currently store project data across multiple employee systems, leading to fragmented information, lack of project traceability, and difficulties during employee transitions</t>
  </si>
  <si>
    <t>Local machine</t>
  </si>
  <si>
    <t>PSE587415</t>
  </si>
  <si>
    <t>https://workdrive.zoho.in/file/l5qmoadb5c686fdfd424eb1af421f8e5d3226</t>
  </si>
  <si>
    <t>gopukumartydas@gmail.com</t>
  </si>
  <si>
    <t>Architect company</t>
  </si>
  <si>
    <t>#160714505</t>
  </si>
  <si>
    <t>They need a centralized cloud storage and collaboration platform to manage large architectural drawings and project files, access documents while traveling, monitor team activity, track project progress, maintain version history, and collaborate across multiple locations. They are currently dissatisfied with Dropbox and Sync and are evaluating WorkDrive as a replacement</t>
  </si>
  <si>
    <t>PSE587425</t>
  </si>
  <si>
    <t>https://workdrive.zoho.in/file/l5qmo81c34bdd3fce41e2a624a2ffee27db87</t>
  </si>
  <si>
    <t>swati@avyentraconsulting.com</t>
  </si>
  <si>
    <t>Inspec</t>
  </si>
  <si>
    <t>#159637622</t>
  </si>
  <si>
    <t>They need a shared spreadsheet where multiple recruiters can collaboratively update candidate information in real time. They also want a centralized repository to store resumes, search resumes efficiently, control access, and retrieve deleted files when required.</t>
  </si>
  <si>
    <t>PSE587440</t>
  </si>
  <si>
    <t>gmoperations@questxl.co.in</t>
  </si>
  <si>
    <t>Mechanical inspection</t>
  </si>
  <si>
    <r>
      <t>#</t>
    </r>
    <r>
      <t>160788453</t>
    </r>
  </si>
  <si>
    <t xml:space="preserve">Looking for business edition feature add-on for Workplace. Gave a demo on WorkDrive and looped in Sales team to assist further regarding </t>
  </si>
  <si>
    <t>https://workdrive.zoho.in/file/mpa0a4b273d326f9148568e209f457625f6ee</t>
  </si>
  <si>
    <t>naveen.tyagi@shivnadarfoundation.org</t>
  </si>
  <si>
    <r>
      <rPr>
        <sz val="10"/>
        <rFont val="Roboto"/>
      </rPr>
      <t>Document Management System with structured folder hierarchy for multiple departments — Procurement, Finance, Legal, HR, IT, Operations</t>
    </r>
    <r>
      <t xml:space="preserve">
</t>
    </r>
    <r>
      <rPr>
        <sz val="10"/>
        <rFont val="Roboto"/>
      </rPr>
      <t>Multi-level workflow approvals with email notifications and deadline reminders for document approval processes</t>
    </r>
  </si>
  <si>
    <t>1. Workflow trigger on check-out action — when a file is checked out, workflow should auto-initiate; file must be locked for edits until workflow is completed or explicitly cancelled
2. DLP classification based on number of occurrences of sensitive data in a file (e.g., restrict download only if more than N employee records are present) — confirmed this is currently not supported; only presence-based classification is available</t>
  </si>
  <si>
    <t>https://workdrive.zoho.in/file/4zebga2d2e4c253ca4f12b21f573933aea27f</t>
  </si>
  <si>
    <t>researchscientist2@ucms.ac.in</t>
  </si>
  <si>
    <t>#159256774</t>
  </si>
  <si>
    <t xml:space="preserve"> Looking for a centralized platform to store, manage, and supervise project-related data across multiple centers. The team wanted a secure repository where members can access documents based on their roles while enabling centralized oversight and collaboration.</t>
  </si>
  <si>
    <t>No recording - network issues - discussed in Zvoice</t>
  </si>
  <si>
    <t>santosh.mishra@knma.org</t>
  </si>
  <si>
    <t>Museum</t>
  </si>
  <si>
    <r>
      <t>#</t>
    </r>
    <r>
      <t>160826264</t>
    </r>
  </si>
  <si>
    <t>Centralized cloud repository to consolidate data currently spread across Google Workspace, Dropbox, and external hard drives
Secure external file sharing — current HCL network restricts sharing outside the domain, so a separate platform is needed</t>
  </si>
  <si>
    <t>1. Watermarking on sensitive files applied with DLP when opened, so that screenshots and even taking pictures on camera can be restricted.
2. DLP restriction based on number of occurrences of sensitive data in a file (e.g., bulk employee records) — confirmed not currently supported; present policy is presence-based only</t>
  </si>
  <si>
    <t>Prospect is looking for 75 TB of data for 30 users. Less users and more storage. The prospect did not agree with WorkDrive storage add-on cost.</t>
  </si>
  <si>
    <t>https://workdrive.zoho.in/file/4zebg8fbf86ec7cd148b1913efa51ee2f62e6</t>
  </si>
  <si>
    <t>rajeshk.k@indo-mim.com</t>
  </si>
  <si>
    <r>
      <t>#</t>
    </r>
    <r>
      <t>160926353</t>
    </r>
  </si>
  <si>
    <t>Had a session to clarify on Office editor and also to check on the challenges they faced on Office Suite desktop apps.</t>
  </si>
  <si>
    <t xml:space="preserve">1. Using Vlookup in Desktop Zoho Sheet app.
2. Importing .xls file via Zoho Sheet Desktop app.
3. Pivot table was not working. There was not add filed option and they cannot drag and drop the fields names into the filter boxes. </t>
  </si>
  <si>
    <t>https://workdrive.zoho.in/file/tgwh5e8dc74ad087e4d269e6b6878bebbc4a4</t>
  </si>
  <si>
    <r>
      <t xml:space="preserve"> </t>
    </r>
    <r>
      <t>hr@rudraum.com</t>
    </r>
  </si>
  <si>
    <r>
      <t>#</t>
    </r>
    <r>
      <t>160514190</t>
    </r>
  </si>
  <si>
    <t>Centralized cloud-based document repository to move away from local hard drives
Secure file storage with access control across departments — IT, Admin, Accounts, Sales, Support</t>
  </si>
  <si>
    <t>https://workdrive.zoho.in/file/tgwh596d924337f9a41c2a9717caaa6f2ec0f</t>
  </si>
  <si>
    <t>caniralsaboo@srdhariwalco.in</t>
  </si>
  <si>
    <t>Accounting firm</t>
  </si>
  <si>
    <t>#160868583</t>
  </si>
  <si>
    <t xml:space="preserve">They face challenges with remote accessibility as employees can only access files within the office network. Client document sharing is primarily done through email attachments, resulting in duplicate files, lack of version control, and no visibility into how shared documents are being accessed. </t>
  </si>
  <si>
    <t>dy.am@wingsaviation.in</t>
  </si>
  <si>
    <t xml:space="preserve">Aviation </t>
  </si>
  <si>
    <t>#160428054</t>
  </si>
  <si>
    <t>The customer’s primary objective is to implement a comprehensive ERP solution that connects flight operations, maintenance, stores, procurement, accounts, and HR into a single integrated platform.</t>
  </si>
  <si>
    <t xml:space="preserve">Moved to ERP solutions </t>
  </si>
  <si>
    <t>https://workdrive.zoho.in/file/tgwh59a3fb6f4fdd048a0a42e6a312df7ed59</t>
  </si>
  <si>
    <t>ron@pergocentro.com</t>
  </si>
  <si>
    <t>#160979964</t>
  </si>
  <si>
    <t>Customer is consolidating their technology stack into the Zoho ecosystem and wants to replace Google Drive with Zoho WorkDrive. They are also looking to eliminate WeTransfer and use WorkDrive for large file sharing and file collection from external clients</t>
  </si>
  <si>
    <t>https://workdrive.zoho.in/file/tgwh59bd5072b2bfd479ea6a162444b6b0a52</t>
  </si>
  <si>
    <r>
      <t>Karunakar.gubbala@allegiancehiring.com</t>
    </r>
  </si>
  <si>
    <r>
      <t>#</t>
    </r>
    <r>
      <t>161009344</t>
    </r>
  </si>
  <si>
    <t xml:space="preserve"> i have a bigin crm account and how the zoho drive is use ful for my activities .</t>
  </si>
  <si>
    <t>https://workdrive.zoho.in/file/jbeipc8bc4efc5e564146a15dc10e801b28b3</t>
  </si>
  <si>
    <r>
      <t>nibaldor@econobytes.cl</t>
    </r>
  </si>
  <si>
    <t>E commerce</t>
  </si>
  <si>
    <r>
      <t>#</t>
    </r>
    <r>
      <t>161070408</t>
    </r>
  </si>
  <si>
    <t>Migration and onboarding support</t>
  </si>
  <si>
    <r>
      <t>hr.strucrite1@gmail.com</t>
    </r>
  </si>
  <si>
    <r>
      <t>#</t>
    </r>
    <r>
      <t>160892595</t>
    </r>
  </si>
  <si>
    <t xml:space="preserve"> I need to understand features of Zoho workdrive and how its admin console works for folder and documents uploaded by other team members</t>
  </si>
  <si>
    <t>https://workdrive.zoho.in/file/jbeip6c97582f10bb40a896bea82a3b9a81d7</t>
  </si>
  <si>
    <t>itdesk@goldsun.in</t>
  </si>
  <si>
    <r>
      <t>#</t>
    </r>
    <r>
      <t>160853808</t>
    </r>
  </si>
  <si>
    <t>Local Server: Tower Model - Dell PowerEdge T360
1. They have 5TB of data in local server, they want to push the data from local server to WorkDrive cloud. They are not ready to use TrueSync and sync in batches of 400GB to WD cloud. They need a upload kind of tool.
2. Also, using recovery manager plus, it should be possible to upload data from local server to WorkDrive cloud, while we support backup of WD to local server.</t>
  </si>
  <si>
    <t>Local server</t>
  </si>
  <si>
    <t>Showing reluctance to use sync to push data from Local server to WorkDrive cloud as it has to be done batch wise.</t>
  </si>
  <si>
    <t>https://workdrive.zoho.in/file/bm4z5ef94d0abcfbc4ddd83fee8c0dbc4d5bb</t>
  </si>
  <si>
    <t>sharad_kothari@mckinsey.com</t>
  </si>
  <si>
    <t xml:space="preserve">Managing partners </t>
  </si>
  <si>
    <t>#160970226</t>
  </si>
  <si>
    <t>They need to create separate sheets for each external organization, allow external users to enter and update data collaboratively, and consolidate responses from all sheets into a master sheet accessible only to internal users.</t>
  </si>
  <si>
    <t>Possibility of increasing the 25-sheet linking limit</t>
  </si>
  <si>
    <t>PSE588315</t>
  </si>
  <si>
    <t>https://workdrive.zoho.in/file/bm4z5405990a230e44b25a460eff5009f3985</t>
  </si>
  <si>
    <t>sumankumar.jha@meilanparapower.com</t>
  </si>
  <si>
    <t xml:space="preserve">Renewalable energy </t>
  </si>
  <si>
    <t>#161021831</t>
  </si>
  <si>
    <t>The customer needs a secure way to share large files externally because email attachment size limits are restricting their current process. Files are typically under 10 GB, with occasional files of 1–2 GB. They require password-protected sharing, time-based link expiration, and secure access for recipients outside their organization.</t>
  </si>
  <si>
    <t xml:space="preserve">FTP </t>
  </si>
  <si>
    <t>PSE588363</t>
  </si>
  <si>
    <t>https://workdrive.zoho.in/file/bm4z59975c87d8acc477cb96616ec5136ca84</t>
  </si>
  <si>
    <t>itsupport@rockwell.co.in</t>
  </si>
  <si>
    <t>#161182831</t>
  </si>
  <si>
    <t>To understand WorkDrive's storage model, pricing structure, user licensing, migration options, access controls, and overall suitability as a replacement for their existing file storage platform.</t>
  </si>
  <si>
    <t>7.5 TB</t>
  </si>
  <si>
    <t>https://workdrive.zoho.in/file/tv3cgc32ff28b6be94d1a83aca5654aa54429</t>
  </si>
  <si>
    <t>riyaz@aglaccounts.ae</t>
  </si>
  <si>
    <t xml:space="preserve">Financial accounting </t>
  </si>
  <si>
    <t>#160894683</t>
  </si>
  <si>
    <t>Key requirements include shared access, real-time collaboration, role-based permissions, version tracking, mobile/desktop accessibility, and sufficient storage for client-related supporting documents.</t>
  </si>
  <si>
    <t>mansi.panchal@avsavla.com</t>
  </si>
  <si>
    <t>#159012156</t>
  </si>
  <si>
    <t>Connected via voice call and remote session</t>
  </si>
  <si>
    <t>deepika@srishigroup.com</t>
  </si>
  <si>
    <t>Business Management</t>
  </si>
  <si>
    <t>#161173405</t>
  </si>
  <si>
    <t xml:space="preserve">Currently storing documents on a local server and facing challenges in providing access to team members working across multiple locations. </t>
  </si>
  <si>
    <t>PSE589021</t>
  </si>
  <si>
    <t>https://workdrive.zoho.in/file/jw0cw7cd6d9c5968c4e1a870bc5357b55113a</t>
  </si>
  <si>
    <t>sales@fashion-identity.com</t>
  </si>
  <si>
    <t>#161172024</t>
  </si>
  <si>
    <t xml:space="preserve"> Currently using Google Workspace where their existing storage is nearing capacity, and they are evaluating WorkDrive as an alternative platform to store and manage files, primarily for the finance and marketing teams. </t>
  </si>
  <si>
    <t>https://workdrive.zoho.in/file/9vjst68383e9fae7b46e884fae6269d77be92</t>
  </si>
  <si>
    <t>visal.kron@luxelitegroup.com</t>
  </si>
  <si>
    <t>Hospitality</t>
  </si>
  <si>
    <t>#161099300</t>
  </si>
  <si>
    <t xml:space="preserve">Looking for a centralized document repository to store and manage company-wide documents such as policies, SOPs, memos, and departmental files. Currently, documents are maintained separately by individual departments, making retrieval and centralized access difficult. </t>
  </si>
  <si>
    <t>No confirmed</t>
  </si>
  <si>
    <t>shankar@cnt.co.in</t>
  </si>
  <si>
    <t>#161138483</t>
  </si>
  <si>
    <t>fasalukncs@gmail.com</t>
  </si>
  <si>
    <r>
      <t>baldaniyanitesh2003@gmail.com</t>
    </r>
  </si>
  <si>
    <r>
      <t>#</t>
    </r>
    <r>
      <t>160783655</t>
    </r>
  </si>
  <si>
    <t>To Manage Documents</t>
  </si>
  <si>
    <r>
      <t xml:space="preserve"> </t>
    </r>
    <r>
      <t>acc.hbhc@gmail.com</t>
    </r>
  </si>
  <si>
    <t xml:space="preserve"> Energy and Utilities</t>
  </si>
  <si>
    <t>#161271119</t>
  </si>
  <si>
    <t>Our company has approximately 10–15 users, and the primary requirement is centralized document storage, file sharing, and access management for company records and official documents.</t>
  </si>
  <si>
    <t>Local servers</t>
  </si>
  <si>
    <t xml:space="preserve">No Recording had session in Zoho Voice </t>
  </si>
  <si>
    <r>
      <t xml:space="preserve"> </t>
    </r>
    <r>
      <t>dev@jivamed.co.uk</t>
    </r>
  </si>
  <si>
    <t>Pharma and Life Sciences</t>
  </si>
  <si>
    <r>
      <t>#</t>
    </r>
    <r>
      <t>161370798</t>
    </r>
  </si>
  <si>
    <t xml:space="preserve"> MHRA Compliance document storage, GDPR compliance, document approval, Sharing and working on documents outside zoho email network</t>
  </si>
  <si>
    <t>https://workdrive.zoho.in/file/jbeipabd06c54f74a49f0ae755c8ffecabe60</t>
  </si>
  <si>
    <t>reggie.musonza@gmail.com</t>
  </si>
  <si>
    <t>#160603542</t>
  </si>
  <si>
    <t xml:space="preserve">Evaluating Zoho WorkDrive as part of a broader document management solution offering for their SME clients. </t>
  </si>
  <si>
    <t>it.support3@plasmagen.in</t>
  </si>
  <si>
    <t>#161173934</t>
  </si>
  <si>
    <t>Looking for a centralized platform where users can access files from anywhere, collaborate on documents, apply different access levels, and track user activities. They also wanted to eliminate dependency on VPN-based access and reduce costs associated with their current solutions.</t>
  </si>
  <si>
    <t>on-premise file servers, OneDrive, and ShareFile</t>
  </si>
  <si>
    <t>https://workdrive.zoho.in/file/jbeip48a224afb4df40389ed65a5f9022fabd</t>
  </si>
  <si>
    <t>nishita.jain@basil.health</t>
  </si>
  <si>
    <t>#161264487</t>
  </si>
  <si>
    <t>Currently using Google Drive the primary requirement was to migrate their existing Google Drive data to Zoho WorkDrive and eventually consolidate users onto a single platform to avoid managing multiple accounts and systems.</t>
  </si>
  <si>
    <t>https://workdrive.zoho.in/file/fafjf1e2ae315f4dd47cc9cb585bb5cdfebda</t>
  </si>
  <si>
    <t>hr@zennerservices.com</t>
  </si>
  <si>
    <t>Information tech</t>
  </si>
  <si>
    <t>#160792976</t>
  </si>
  <si>
    <t>They need department-based access control, secure document sharing, audit trails, file recovery, business continuity, and sufficient shared storage for 12–15 employees.</t>
  </si>
  <si>
    <t>3-5TB</t>
  </si>
  <si>
    <t>PSE589701</t>
  </si>
  <si>
    <t>12-15</t>
  </si>
  <si>
    <t>https://workdrive.zoho.in/file/b3lp43d0b5b78b4694d52a37f83ffc5778483</t>
  </si>
  <si>
    <t>shopersupport4@jockeyindia.com</t>
  </si>
  <si>
    <t>They are looking to open and edit large sized Illustrator file linked with Photoshop via Genie. We are planning to test it and come up with further feedback from our end.</t>
  </si>
  <si>
    <t>MS Team.</t>
  </si>
  <si>
    <t>venkateshwaran.rajendran@appasamy.com</t>
  </si>
  <si>
    <t>#161256815</t>
  </si>
  <si>
    <t>Gave a complete demo on WD to appaswamy.
Document Approval Workflow for SOPs and Service Manuals</t>
  </si>
  <si>
    <r>
      <t>susanngozi@yahoo.com</t>
    </r>
  </si>
  <si>
    <t>Energy and Utilities</t>
  </si>
  <si>
    <r>
      <t>#</t>
    </r>
    <r>
      <t>161137066</t>
    </r>
  </si>
  <si>
    <t>To collaborate with construction and design team members, both onsite and offsite staff.</t>
  </si>
  <si>
    <t>https://workdrive.zoho.in/file/2x1pod624f0f91dac44328a528478fe4856b0</t>
  </si>
  <si>
    <t>saurabh@rsgca.com</t>
  </si>
  <si>
    <t>Chartered Accountant</t>
  </si>
  <si>
    <t>#161253562</t>
  </si>
  <si>
    <t xml:space="preserve">Currently using OneDrive and looking for a centralized cloud platform where team members can work directly on files stored in the cloud instead of saving files locally and uploading them later. </t>
  </si>
  <si>
    <t xml:space="preserve"> 1 TB</t>
  </si>
  <si>
    <t>PSE589909</t>
  </si>
  <si>
    <t>https://workdrive.zoho.in/file/gap9s4da3439c99b94045a194d736f8a0e13c</t>
  </si>
  <si>
    <t>rabia@raahconsultants.com</t>
  </si>
  <si>
    <t>#161447739</t>
  </si>
  <si>
    <t>Their client is evaluating Zoho Projects for managing engineering and construction projects. They require a robust document management and approval system for engineering drawings, PDFs, AutoCAD files, and project documentation. They are currently using SharePoint and Foxit PDF Editor and want to understand how Zoho Projects and WorkDrive can support document collaboration, review cycles, approvals, permissions, and engineering document workflows.</t>
  </si>
  <si>
    <t xml:space="preserve">AutoCAD preview </t>
  </si>
  <si>
    <t>https://workdrive.zoho.in/file/bjt7eb3299a7e9b2e446c9c8f1661e11a3713</t>
  </si>
  <si>
    <t>suresh.murugesan@logix.in</t>
  </si>
  <si>
    <t>#161405639</t>
  </si>
  <si>
    <t xml:space="preserve">Gave a complete demo on WorkDrive Business features..Looking to get 250 WorkDrive Business feature add-on. </t>
  </si>
  <si>
    <t>Workplace</t>
  </si>
  <si>
    <t>WP feature add-on</t>
  </si>
  <si>
    <t>itsupport@bagrrys.com</t>
  </si>
  <si>
    <t>#161412233</t>
  </si>
  <si>
    <t>Cloud backup for on-premise Windows Server 2022 (FTP/SFTP). We have suggested TrueSync to move contents from Server to WorkDrive cloud.</t>
  </si>
  <si>
    <t>Windows server 2022</t>
  </si>
  <si>
    <t>4TB</t>
  </si>
  <si>
    <t>https://workdrive.zoho.in/file/bjt7e81bc0b0396404c788b149e63508b9ea2</t>
  </si>
  <si>
    <t>itcorchestly@zohomail.in</t>
  </si>
  <si>
    <t>#161543977</t>
  </si>
  <si>
    <t>Discussed on applying external share restrictions at the org level and allowing exceptions only to a particular external domain or email address.</t>
  </si>
  <si>
    <t>1. WorkDrive Truesync in their devices need to be logged in only with their corp account and not via their personal account to avoid data leakages.
&gt;&gt; Can this be addressed by using ME MDM, where TrueSync should be logged in only by Corp users and not other email addresses. @Rajasekaran Gopalan
2. In OneDrive, using Defender the scan happens for every file before uploading or syncing files to OneDrive. The prospect expects the same kind of behaviour in WorkDrive too.
&gt;&gt; Whereas in WorkDrive, Malware and virus files affected detected and cannot be downloaded. They want Defender kind of behaviour in WorkDrive as well, where files need to be scanned while uploading. @Saravanapandi.s @Selva Kumar Chokkalingam @Aravindhan N</t>
  </si>
  <si>
    <t>Finance app</t>
  </si>
  <si>
    <t>The user had several questions about WorkDrive before making an upgrade decision, and all queries were addressed during the session.</t>
  </si>
  <si>
    <t>Custom roles &amp; permission ( Editor with no download option)</t>
  </si>
  <si>
    <r>
      <t>ppule788@gmail.com</t>
    </r>
  </si>
  <si>
    <t xml:space="preserve"> IT and Related Services</t>
  </si>
  <si>
    <r>
      <t>#</t>
    </r>
    <r>
      <t>161464317</t>
    </r>
  </si>
  <si>
    <t xml:space="preserve"> Ask about Audit Trail * Granting Access to external Users (Service Providers) * Integrating WorkDrive with Zoho Sign (for Document Approvals) Zoho Sign * Can we have external users to sign our docs * Do we have workflow, to track all signatories</t>
  </si>
  <si>
    <t>20+</t>
  </si>
  <si>
    <t>https://workdrive.zoho.in/file/2x1po7f4c48cba95b42a0bdc4dfa31bb284bc</t>
  </si>
  <si>
    <t>servicehod@eecindia.com</t>
  </si>
  <si>
    <t>Electronics device manufacturing</t>
  </si>
  <si>
    <t>#161514376</t>
  </si>
  <si>
    <t>Prospect wants to move away from personal/shared Google Workspace ID to a dedicated WorkDrive organisation Currently on a single-user backend-enabled Starter license; needs to add 3 more users</t>
  </si>
  <si>
    <t>https://workdrive.zoho.in/file/2un6o79030e617ba74499a550891e9c1d8d34</t>
  </si>
  <si>
    <t>Concurrent file editing conflict management (CAD files via TrueSync)Two users can simultaneously open and save the same CAD file; prospect expects a read-only/alert for the second user — not currently supported for non-MS Office files Feature request raised; SE to escalate to dev team for roadmap consideration Interim workaround: org-level version limits + revert to prior version</t>
  </si>
  <si>
    <t>TrueSync concurrent-open alert for non-MS Office file types (CAD/DWG). Prospect wants CAD users to be notified when the files are being opened by two or more people simultaneously Prospect is a 50-user architecture firm — valid use case for roadmap</t>
  </si>
  <si>
    <t>https://workdrive.zoho.in/file/16tpref9038fa4c8a4e69b106b7ddea3c186a</t>
  </si>
  <si>
    <t>jeeva@pragansys.com</t>
  </si>
  <si>
    <r>
      <t>#</t>
    </r>
    <r>
      <t>161316506</t>
    </r>
  </si>
  <si>
    <t>Evaluate Zoho WorkDrive as a potential replacement for the internally developed document hosting and sharing platform (JetDocs), focusing on secure document management, permission-based access, and external sharing capabilities.</t>
  </si>
  <si>
    <t>shaniahwanjiku9@gmail.com</t>
  </si>
  <si>
    <t>Engineering Consultancy</t>
  </si>
  <si>
    <t>#161754376</t>
  </si>
  <si>
    <t>Centralised file repository with role-based access control
Duplicate file prevention
Sub-folder access restriction</t>
  </si>
  <si>
    <t>https://workdrive.zoho.in/file/8sxm6461da8abbe274373bb924ab97d4b8589</t>
  </si>
  <si>
    <t>Partner had some follow up queries</t>
  </si>
  <si>
    <t>ease2@iba.org.in</t>
  </si>
  <si>
    <t>Indian Banks' Association</t>
  </si>
  <si>
    <t>#160489210</t>
  </si>
  <si>
    <t>The customer wants Zoho WorkDrive and Zoho Sheet to manage data collection from 28 partner banks, with separate private folders for each bank and controlled access for bank users and central team members</t>
  </si>
  <si>
    <t>Increase data linkage limit in zoho sheet</t>
  </si>
  <si>
    <t>Smartsheet</t>
  </si>
  <si>
    <t>280GB</t>
  </si>
  <si>
    <t>PSE591202</t>
  </si>
  <si>
    <t>https://workdrive.zoho.in/file/w3lhr0137dd0e3c9d4d87a4172e410d2249b1</t>
  </si>
  <si>
    <t>Tags</t>
  </si>
  <si>
    <t>Request Id</t>
  </si>
  <si>
    <t>Email (Request)</t>
  </si>
  <si>
    <t>Followup</t>
  </si>
  <si>
    <t>Re-engaged</t>
  </si>
  <si>
    <t>No Show</t>
  </si>
  <si>
    <t>1 - 50</t>
  </si>
  <si>
    <t>#153214664</t>
  </si>
  <si>
    <t>vinita.rajpal@castlewise.in</t>
  </si>
  <si>
    <t>No Show, Wrong Timezone</t>
  </si>
  <si>
    <t>#153298127</t>
  </si>
  <si>
    <t>ibnetworkbrjn@gmail.com</t>
  </si>
  <si>
    <t>#153272653</t>
  </si>
  <si>
    <t>akshay.dixit@sportzinteractive.net</t>
  </si>
  <si>
    <t>#153297693</t>
  </si>
  <si>
    <t>tushar.takawale@gmail.com</t>
  </si>
  <si>
    <t>#153358690</t>
  </si>
  <si>
    <t>ashishjain@pksurfacesystems.com</t>
  </si>
  <si>
    <t>Rebooked</t>
  </si>
  <si>
    <t>Booked immediately post follow up mail</t>
  </si>
  <si>
    <t>#153433598</t>
  </si>
  <si>
    <t>d.viradiya@hotmail.com</t>
  </si>
  <si>
    <t>No show</t>
  </si>
  <si>
    <t>#153075425</t>
  </si>
  <si>
    <t>myoonees@gmail.com</t>
  </si>
  <si>
    <t>#153708919</t>
  </si>
  <si>
    <t>ankitjain.rma@gmail.com</t>
  </si>
  <si>
    <t>#153800705</t>
  </si>
  <si>
    <t>amittatrey@sysfuturetech.com</t>
  </si>
  <si>
    <t>#153824549</t>
  </si>
  <si>
    <t>mumerijazdx136@gmail.com</t>
  </si>
  <si>
    <t>rohi</t>
  </si>
  <si>
    <t>#153707203</t>
  </si>
  <si>
    <t>mbourrieau@dartess.fr</t>
  </si>
  <si>
    <t>#153860656</t>
  </si>
  <si>
    <t>aab.1958@live.com</t>
  </si>
  <si>
    <t>#153077873</t>
  </si>
  <si>
    <t>digitalmarketer9838@gmail.com</t>
  </si>
  <si>
    <t>User rescheduled the session three times but did not join. A final follow-up was sent, and ticket has been closed.</t>
  </si>
  <si>
    <t>#154106927</t>
  </si>
  <si>
    <t>#154097000</t>
  </si>
  <si>
    <t>shanku1973@gmail.com</t>
  </si>
  <si>
    <t>#154106956</t>
  </si>
  <si>
    <t>wonderteam9@gmail.com</t>
  </si>
  <si>
    <t>#154209745</t>
  </si>
  <si>
    <t>randhir@mpveneers.com</t>
  </si>
  <si>
    <t>#154190313</t>
  </si>
  <si>
    <t>mailgaukalyan@gmail.com</t>
  </si>
  <si>
    <t>#153954655</t>
  </si>
  <si>
    <t>vinayy3198@gmail.com</t>
  </si>
  <si>
    <t>#154365432</t>
  </si>
  <si>
    <t>contact@ppcroy.com</t>
  </si>
  <si>
    <t>#154381563</t>
  </si>
  <si>
    <t>bijud7474@gmail.com</t>
  </si>
  <si>
    <t>#154472457</t>
  </si>
  <si>
    <t>jayakrishnamakani@gmail.com</t>
  </si>
  <si>
    <t>#154465516</t>
  </si>
  <si>
    <t>admin@vmtlegal.com</t>
  </si>
  <si>
    <t>#154470648</t>
  </si>
  <si>
    <t>vikasg@promisohealth.com</t>
  </si>
  <si>
    <t>#154555027</t>
  </si>
  <si>
    <t>ankit@quixoticvacations.com</t>
  </si>
  <si>
    <r>
      <t>#</t>
    </r>
    <r>
      <t>154528541</t>
    </r>
  </si>
  <si>
    <r>
      <t>info.webavinash@gmail.com</t>
    </r>
  </si>
  <si>
    <t>#153857736</t>
  </si>
  <si>
    <r>
      <t>development@veepeeonline.com</t>
    </r>
  </si>
  <si>
    <t>1-50</t>
  </si>
  <si>
    <r>
      <t>#</t>
    </r>
    <r>
      <t>154626986</t>
    </r>
  </si>
  <si>
    <t>ashagummadi@asarapt.com</t>
  </si>
  <si>
    <t>AU</t>
  </si>
  <si>
    <t>Booked another session post follow up mail</t>
  </si>
  <si>
    <r>
      <t>#</t>
    </r>
    <r>
      <t>154710095</t>
    </r>
  </si>
  <si>
    <r>
      <t>ys59157@gmail.com</t>
    </r>
  </si>
  <si>
    <r>
      <t>#</t>
    </r>
    <r>
      <t>153909151</t>
    </r>
  </si>
  <si>
    <r>
      <t>csgsbhat@gmail.com</t>
    </r>
  </si>
  <si>
    <t>#154663801</t>
  </si>
  <si>
    <t>nazmul@esteaesthetichospital.com</t>
  </si>
  <si>
    <r>
      <t>#</t>
    </r>
    <r>
      <t>154663801</t>
    </r>
  </si>
  <si>
    <r>
      <t>nazmul@esteaesthetichospital.com</t>
    </r>
  </si>
  <si>
    <r>
      <t>#</t>
    </r>
    <r>
      <t>154663801</t>
    </r>
  </si>
  <si>
    <t>#155171208</t>
  </si>
  <si>
    <t>designathover@gmail.com</t>
  </si>
  <si>
    <t>#155198296</t>
  </si>
  <si>
    <t>info@labkarts.com</t>
  </si>
  <si>
    <r>
      <t>#</t>
    </r>
    <r>
      <t>154886657</t>
    </r>
  </si>
  <si>
    <r>
      <t>rams@ramcoca.in</t>
    </r>
  </si>
  <si>
    <t>#155249973</t>
  </si>
  <si>
    <t>networkadmin@treebo.in</t>
  </si>
  <si>
    <t>Paid users</t>
  </si>
  <si>
    <t>#155234102</t>
  </si>
  <si>
    <t>sj@jainmail.in</t>
  </si>
  <si>
    <t>#155249896</t>
  </si>
  <si>
    <r>
      <t>thoratshivraj@gmail.com</t>
    </r>
  </si>
  <si>
    <r>
      <t>#</t>
    </r>
    <r>
      <t>155221673</t>
    </r>
  </si>
  <si>
    <r>
      <t>ajaymsh1990@gmail.com</t>
    </r>
  </si>
  <si>
    <t>#155367277</t>
  </si>
  <si>
    <t>gyan.prakash@trehaniris.com</t>
  </si>
  <si>
    <t>#155345741</t>
  </si>
  <si>
    <t>support@whiteapple.co.in</t>
  </si>
  <si>
    <t>#155373434</t>
  </si>
  <si>
    <t>premchandu.koribilli@klickdigitals.com</t>
  </si>
  <si>
    <t>#155447514</t>
  </si>
  <si>
    <t>info@a1globaltraders.com</t>
  </si>
  <si>
    <t>#155388974</t>
  </si>
  <si>
    <t>#155375180</t>
  </si>
  <si>
    <t>avadhoot.more1@gmail.com</t>
  </si>
  <si>
    <t>#155316177</t>
  </si>
  <si>
    <t>cwulf@cso.com</t>
  </si>
  <si>
    <r>
      <t>#</t>
    </r>
    <r>
      <t>155447702</t>
    </r>
  </si>
  <si>
    <t>info.katamarifilms@gmail.com</t>
  </si>
  <si>
    <t>#155483924</t>
  </si>
  <si>
    <t>camohammedyahiya@gmail.com</t>
  </si>
  <si>
    <t>#155448939</t>
  </si>
  <si>
    <t>sahil.parikh@ralsonics.com</t>
  </si>
  <si>
    <t xml:space="preserve">Px mentioned he wants to reschedule </t>
  </si>
  <si>
    <t>#96604393</t>
  </si>
  <si>
    <t>advabhishekbhagat@gmail.com</t>
  </si>
  <si>
    <t>Busy, to reschedule</t>
  </si>
  <si>
    <t>#155490944</t>
  </si>
  <si>
    <t>accountbrd1@croplifescience.com</t>
  </si>
  <si>
    <t>#155428870</t>
  </si>
  <si>
    <t>adm@openconstrutora.com.br</t>
  </si>
  <si>
    <t>#155140487</t>
  </si>
  <si>
    <t>caamritdeorah@gmail.com</t>
  </si>
  <si>
    <t>#154006167</t>
  </si>
  <si>
    <t>m.j.prasadnani@gmail.com</t>
  </si>
  <si>
    <t>#155621763</t>
  </si>
  <si>
    <t>ca.manthan@manthangandhi.com</t>
  </si>
  <si>
    <t>#155667397</t>
  </si>
  <si>
    <t>ssbglobal03@gmail.com</t>
  </si>
  <si>
    <t>abbabu@lorveninsurance.com</t>
  </si>
  <si>
    <t>#155441719</t>
  </si>
  <si>
    <t>yahiya@wisdomind.in</t>
  </si>
  <si>
    <r>
      <t>#</t>
    </r>
    <r>
      <t>155768792</t>
    </r>
  </si>
  <si>
    <r>
      <t>darshana@vogelkopdesigns.com</t>
    </r>
  </si>
  <si>
    <t>Spoke to the px. She wanted it rescheduled for tomorrow.</t>
  </si>
  <si>
    <t>#155731035</t>
  </si>
  <si>
    <t>tosin@flexsystemsltd.com</t>
  </si>
  <si>
    <t>#155893105</t>
  </si>
  <si>
    <t>indbolt@gmail.com</t>
  </si>
  <si>
    <t>Booked again</t>
  </si>
  <si>
    <t>#155994415</t>
  </si>
  <si>
    <t>moneshdembla@zohomail.in</t>
  </si>
  <si>
    <t>#156170872</t>
  </si>
  <si>
    <t>rushit@superplast.in</t>
  </si>
  <si>
    <t>Wrong time</t>
  </si>
  <si>
    <t>#156142332</t>
  </si>
  <si>
    <t>jaks@fromcharlotte.com</t>
  </si>
  <si>
    <t>#156055347</t>
  </si>
  <si>
    <t>udaykanadia@gmail.com</t>
  </si>
  <si>
    <t>#156430803</t>
  </si>
  <si>
    <t>prashant.mishra5649@gmail.com</t>
  </si>
  <si>
    <t>#156450509</t>
  </si>
  <si>
    <t>amoshputhiyattil@icloud.com</t>
  </si>
  <si>
    <t>#156531728</t>
  </si>
  <si>
    <t>sagar.rai@sardindia.org</t>
  </si>
  <si>
    <t>#156456698</t>
  </si>
  <si>
    <t>accountsho1@drpl.in</t>
  </si>
  <si>
    <t>#155302796</t>
  </si>
  <si>
    <t>abhishek@bhagatassociates.in</t>
  </si>
  <si>
    <t xml:space="preserve">Concerning second follow up session </t>
  </si>
  <si>
    <t>#156539287</t>
  </si>
  <si>
    <t>snehal.chapalgaonkar.2025@gmail.com</t>
  </si>
  <si>
    <t>#156584440</t>
  </si>
  <si>
    <t>d.rudradevpatra@gmail.com</t>
  </si>
  <si>
    <t>#156420065</t>
  </si>
  <si>
    <t>niranjan@nexonweb.com</t>
  </si>
  <si>
    <t>#156649600</t>
  </si>
  <si>
    <t>princemittal2302@gmail.com</t>
  </si>
  <si>
    <t>#156684990</t>
  </si>
  <si>
    <t>xlntprinthyd@gmail.com</t>
  </si>
  <si>
    <t>#156810040</t>
  </si>
  <si>
    <t>#156839730</t>
  </si>
  <si>
    <t>Paid users - Onboarding cx</t>
  </si>
  <si>
    <t>#156977242</t>
  </si>
  <si>
    <t>nhoudali@inovadex.com</t>
  </si>
  <si>
    <t>#157070953</t>
  </si>
  <si>
    <t>#157112639</t>
  </si>
  <si>
    <t>reachkarthikbijjam@gmail.com</t>
  </si>
  <si>
    <t>#157173637</t>
  </si>
  <si>
    <t>srinivas@sanovipharmaceuticals.com</t>
  </si>
  <si>
    <t>#157372768</t>
  </si>
  <si>
    <t>ashpuri07@gmail.com</t>
  </si>
  <si>
    <t>#157421300</t>
  </si>
  <si>
    <t>sgarg@uorconsultants.com</t>
  </si>
  <si>
    <t>#2418890</t>
  </si>
  <si>
    <t>jean.hivert@szipm.com</t>
  </si>
  <si>
    <t>#157525710</t>
  </si>
  <si>
    <t>nooralkaabi@fujairah.ae</t>
  </si>
  <si>
    <t>#157633792</t>
  </si>
  <si>
    <t>devaamindustries@gmail.com</t>
  </si>
  <si>
    <t>#157707168</t>
  </si>
  <si>
    <t>it@hydrisegroup.in</t>
  </si>
  <si>
    <t>#150950015</t>
  </si>
  <si>
    <t>jerry@easypayrolluk.co.uk</t>
  </si>
  <si>
    <t>#158213011</t>
  </si>
  <si>
    <t>innovativesurgicalarts.kay@gmail.com</t>
  </si>
  <si>
    <t>#155346529</t>
  </si>
  <si>
    <t>#158263965</t>
  </si>
  <si>
    <t>gkjs108@gmail.com</t>
  </si>
  <si>
    <t>#158394881</t>
  </si>
  <si>
    <t>priya140619@gmail.com</t>
  </si>
  <si>
    <t>#158555356</t>
  </si>
  <si>
    <t>clakhaniandco@gmail.com</t>
  </si>
  <si>
    <t>#158702533</t>
  </si>
  <si>
    <t>info@pitomehcs.com</t>
  </si>
  <si>
    <t>wrong email address response</t>
  </si>
  <si>
    <t>#158851862</t>
  </si>
  <si>
    <t>it@avocado-catering.com</t>
  </si>
  <si>
    <t>#158921731</t>
  </si>
  <si>
    <t>nandeesh@fintaxadvsiors.com</t>
  </si>
  <si>
    <t>#158165162</t>
  </si>
  <si>
    <t>slncharitabletrust2024@gmail.com</t>
  </si>
  <si>
    <t>#158915809</t>
  </si>
  <si>
    <t>dhaval@shreeswaminarayantourism.com</t>
  </si>
  <si>
    <t>caarindam2012@gmail.com</t>
  </si>
  <si>
    <t>#159226981</t>
  </si>
  <si>
    <t>sathiesh.contentpro@gmail.com</t>
  </si>
  <si>
    <t>#159243128</t>
  </si>
  <si>
    <t>jatingupta98147@gmail.com</t>
  </si>
  <si>
    <t>#159499931</t>
  </si>
  <si>
    <t>vinaynlbhat@gmail.com</t>
  </si>
  <si>
    <t>sureshlongani2911@gmail.com</t>
  </si>
  <si>
    <t>#159368735</t>
  </si>
  <si>
    <t>ravi.prakash@cieltextile.com</t>
  </si>
  <si>
    <t>#159590983</t>
  </si>
  <si>
    <t>fcadanish@gmail.com</t>
  </si>
  <si>
    <t>#159597206</t>
  </si>
  <si>
    <r>
      <t>vmish7656@proton.me</t>
    </r>
  </si>
  <si>
    <t>#159763016</t>
  </si>
  <si>
    <t>afreen@almahadubai.com</t>
  </si>
  <si>
    <t>#159728050</t>
  </si>
  <si>
    <t>tarun@neuailes.io</t>
  </si>
  <si>
    <t>#159227392</t>
  </si>
  <si>
    <t>ansari.aiims@gmail.com</t>
  </si>
  <si>
    <t>#160089465</t>
  </si>
  <si>
    <t>jrivera@dynamicfac.com</t>
  </si>
  <si>
    <t>#160274178</t>
  </si>
  <si>
    <t>shademarjorh@gmail.com</t>
  </si>
  <si>
    <t>#160146353</t>
  </si>
  <si>
    <t>cfo@tilgroup.co.in</t>
  </si>
  <si>
    <t>#160306475</t>
  </si>
  <si>
    <t>sktasoft@gmail.com</t>
  </si>
  <si>
    <t>#160339117</t>
  </si>
  <si>
    <t>himanshu@riverstoneevents.in</t>
  </si>
  <si>
    <t>#156574337</t>
  </si>
  <si>
    <t>navjot2121@gmail.com</t>
  </si>
  <si>
    <t>#160285138</t>
  </si>
  <si>
    <t>rmeher07@gmail.com</t>
  </si>
  <si>
    <t>#160356862</t>
  </si>
  <si>
    <t>admin@snomindia.in</t>
  </si>
  <si>
    <t>51- 100</t>
  </si>
  <si>
    <r>
      <t>#</t>
    </r>
    <r>
      <t>160603542</t>
    </r>
  </si>
  <si>
    <r>
      <t xml:space="preserve"> </t>
    </r>
    <r>
      <t>reggie@fileflow.co.za</t>
    </r>
  </si>
  <si>
    <t>MEA</t>
  </si>
  <si>
    <r>
      <t>#</t>
    </r>
    <r>
      <t>160551233</t>
    </r>
  </si>
  <si>
    <r>
      <t>jason.mate@bwjonesgrp.com</t>
    </r>
  </si>
  <si>
    <r>
      <t>#</t>
    </r>
    <r>
      <t>160524029</t>
    </r>
  </si>
  <si>
    <t>neelu@trufrost.com</t>
  </si>
  <si>
    <t xml:space="preserve"> 51- 100</t>
  </si>
  <si>
    <r>
      <t>#</t>
    </r>
    <r>
      <t>160514190</t>
    </r>
  </si>
  <si>
    <r>
      <t>hr@rudraum.com</t>
    </r>
  </si>
  <si>
    <r>
      <t>#</t>
    </r>
    <r>
      <t>160499687</t>
    </r>
  </si>
  <si>
    <r>
      <t>ease1@iba.org.in</t>
    </r>
  </si>
  <si>
    <t>11 - 50</t>
  </si>
  <si>
    <t>#160717373</t>
  </si>
  <si>
    <t>capareek194@gmail.com</t>
  </si>
  <si>
    <t>#160783655</t>
  </si>
  <si>
    <t>baldaniyanitesh2003@gmail.com</t>
  </si>
  <si>
    <t>#158922765</t>
  </si>
  <si>
    <t>niralsd@gmail.com</t>
  </si>
  <si>
    <t>#160810018</t>
  </si>
  <si>
    <t>office@blusolutions.co.za</t>
  </si>
  <si>
    <t>#160907962</t>
  </si>
  <si>
    <t>whabovick@insightsurveys.com</t>
  </si>
  <si>
    <t>#160942169</t>
  </si>
  <si>
    <t>sowmya@beyondappliances.in</t>
  </si>
  <si>
    <t>#160975764</t>
  </si>
  <si>
    <t>v.moudgil@sjvn.nic.in</t>
  </si>
  <si>
    <t>#160067931</t>
  </si>
  <si>
    <t>kumararyan020@gmail.com</t>
  </si>
  <si>
    <t>#161027292</t>
  </si>
  <si>
    <t>ambicatours@gmail.com</t>
  </si>
  <si>
    <t>#161135799</t>
  </si>
  <si>
    <t>ennyola08@gmail.com</t>
  </si>
  <si>
    <t>#161267196</t>
  </si>
  <si>
    <t>#161415657</t>
  </si>
  <si>
    <t>amadhogarhia@gmail.com</t>
  </si>
  <si>
    <t>#161432517</t>
  </si>
  <si>
    <t>info@mabani-aljazera.com</t>
  </si>
  <si>
    <t>#161481128</t>
  </si>
  <si>
    <t>sk986059017@gmail.com</t>
  </si>
  <si>
    <t>#161543515</t>
  </si>
  <si>
    <t>osama@hbcsuae.com</t>
  </si>
  <si>
    <t>#161645020</t>
  </si>
  <si>
    <t>bathri@aayudham.in</t>
  </si>
  <si>
    <t>#161713612</t>
  </si>
  <si>
    <t>keeralegalservices@gmail.com</t>
  </si>
  <si>
    <t>#161772812</t>
  </si>
  <si>
    <t>tiwari1989vinod@gmail.com</t>
  </si>
  <si>
    <t>#160381967</t>
  </si>
  <si>
    <t>Demo Stats with Conversion %</t>
  </si>
  <si>
    <t>Total Demo</t>
  </si>
  <si>
    <t>Prospect Count</t>
  </si>
  <si>
    <t>In-Progress</t>
  </si>
  <si>
    <t xml:space="preserve">Conversion % </t>
  </si>
  <si>
    <t>Deal Lost %</t>
  </si>
  <si>
    <t>Deal Won, Lost and In progress only contains the new prospect's data</t>
  </si>
  <si>
    <t>35.44%</t>
  </si>
  <si>
    <t>64.56%</t>
  </si>
  <si>
    <t>29.58%</t>
  </si>
  <si>
    <t>67.61%</t>
  </si>
  <si>
    <t>33.78%</t>
  </si>
  <si>
    <t>58.11%</t>
  </si>
  <si>
    <t>34.43%</t>
  </si>
  <si>
    <t>52.46%</t>
  </si>
  <si>
    <t>16.13%</t>
  </si>
  <si>
    <t>58.06%</t>
  </si>
  <si>
    <t>0%</t>
  </si>
  <si>
    <t>Total</t>
  </si>
  <si>
    <t>Number of demos - Deal Wise</t>
  </si>
  <si>
    <t>51-100</t>
  </si>
  <si>
    <t>101-500</t>
  </si>
  <si>
    <t>501-1000</t>
  </si>
  <si>
    <t>Not Confirmed</t>
  </si>
  <si>
    <t>Major Deal Won Cases for deal size above 20 licenses</t>
  </si>
  <si>
    <t>Org</t>
  </si>
  <si>
    <t>WD Plan</t>
  </si>
  <si>
    <t>Deal Value</t>
  </si>
  <si>
    <t>#154030990</t>
  </si>
  <si>
    <t>Workplace
Mail Flexible Plan-Yearly
684 Standard User, 900 Professional User</t>
  </si>
  <si>
    <t>#154023993</t>
  </si>
  <si>
    <t>WorkDrive Business (standalone)</t>
  </si>
  <si>
    <t># 152989037</t>
  </si>
  <si>
    <t>Mail Flexible Plan - 7000 Flexi - Workplace Standard 10gb, 1000 Flexi - Workplace Professional 10gb</t>
  </si>
  <si>
    <t>Workplace Standard</t>
  </si>
  <si>
    <t>WorkDrive Starter (standalone)</t>
  </si>
  <si>
    <t>#148152614</t>
  </si>
  <si>
    <t>Workplace Professional</t>
  </si>
  <si>
    <t>Other Cases</t>
  </si>
  <si>
    <t>New Prospects</t>
  </si>
  <si>
    <t>Repeat Engagements</t>
  </si>
  <si>
    <t>Free Org</t>
  </si>
  <si>
    <t xml:space="preserve">Existing Org </t>
  </si>
  <si>
    <t>No Scope</t>
  </si>
  <si>
    <t>Region Wise Deal Won/Lost count based on New Prospects</t>
  </si>
  <si>
    <t>Total Deals</t>
  </si>
  <si>
    <t>Deal Source</t>
  </si>
  <si>
    <t>WD support - chat/call/email</t>
  </si>
  <si>
    <t>Direct mail to presales</t>
  </si>
  <si>
    <t>Requests Handled</t>
  </si>
  <si>
    <t>Calls</t>
  </si>
  <si>
    <t>Emails</t>
  </si>
  <si>
    <t>Demos</t>
  </si>
  <si>
    <t>Repeat Engagement Performance</t>
  </si>
  <si>
    <t>Previously Engaged Prospects</t>
  </si>
  <si>
    <t>46.00%</t>
  </si>
  <si>
    <t>Feature name</t>
  </si>
  <si>
    <t>Description</t>
  </si>
  <si>
    <t>Ticket Ref</t>
  </si>
  <si>
    <t>Deal size</t>
  </si>
  <si>
    <t>Feature Owner</t>
  </si>
  <si>
    <t>ETA</t>
  </si>
  <si>
    <t>status</t>
  </si>
  <si>
    <t>Sprintz link</t>
  </si>
  <si>
    <t>Workflow Enhancements</t>
  </si>
  <si>
    <t>Document Reminder -  Enable automated reminder notifications for pending workflow actions to ensure timely approvals and task completion.</t>
  </si>
  <si>
    <t>Pradeepkumar</t>
  </si>
  <si>
    <t>Roles &amp; Permissions</t>
  </si>
  <si>
    <t>Custom roles &amp; permission - Provide the ability to define roles with configurable access controls across modules.</t>
  </si>
  <si>
    <t>Versions</t>
  </si>
  <si>
    <t>Support structured major and minor version numbering (e.g., 1.0, 1.1, 2.0) with the ability to manually create minor versions during check-in.</t>
  </si>
  <si>
    <t>Aravindhan</t>
  </si>
  <si>
    <t>Activity Report</t>
  </si>
  <si>
    <t>Print Action Tracking - Enhance activity logs to track and filter document print actions, including preview-based print activities.</t>
  </si>
  <si>
    <t>Vignesh Benn</t>
  </si>
  <si>
    <t>Plans &amp; Pricing - features</t>
  </si>
  <si>
    <t>Standalone DLP Availability - Enable DLP (Data Loss Prevention) as a standalone add-on offering across plans.</t>
  </si>
  <si>
    <t>Comment</t>
  </si>
  <si>
    <t>Comment Export - Provide the ability to export document comments for reporting or audit purposes.</t>
  </si>
  <si>
    <t>Workflow Status Export &amp; Stage Tracking - Allow export of workflow status reports and provide visibility into each completed review and approval stage.</t>
  </si>
  <si>
    <t>Zoho Sheet</t>
  </si>
  <si>
    <t>Copy Action Restriction - Introduce controls to restrict copy actions at the cell level within spreadsheets.</t>
  </si>
  <si>
    <t>E-Sign Integration - Integrate e-signature capabilities directly within workflow stages for seamless approval processing.</t>
  </si>
  <si>
    <t>Data Template Availability Across Plans - Enable data template functionality across all subscription tiers.</t>
  </si>
  <si>
    <t>Zoho Sheet – Offline Desktop Application - for early access</t>
  </si>
  <si>
    <t>TrueSync - Local folder sync</t>
  </si>
  <si>
    <t>Expanded Desktop Folder Sync - Increase the limit for local folder synchronization via TrueSync across multiple drives.</t>
  </si>
  <si>
    <t>CAD add-on</t>
  </si>
  <si>
    <t>WorkDrive Add-on for CAD</t>
  </si>
  <si>
    <t>Search</t>
  </si>
  <si>
    <t>Advanced Video Search Capabilities - Support search by video chapter name, timestamp-based comments, and in-video content indexing.</t>
  </si>
  <si>
    <t>Video Transcription</t>
  </si>
  <si>
    <t>Multilingual Transcription - Enable automatic multilingual transcription generation for video content.</t>
  </si>
  <si>
    <t>Document Expiry Management - Allow configuration of document expiry dates with automated lifecycle control.</t>
  </si>
  <si>
    <t>Pefined UAE Sensitive information types</t>
  </si>
  <si>
    <t>They have requested for UAE sensitive information types like Emirates passport, Emirates ID.</t>
  </si>
  <si>
    <t>Rishi</t>
  </si>
  <si>
    <t>March End</t>
  </si>
  <si>
    <t>In Development</t>
  </si>
  <si>
    <t>1. UAE Sensitive information type:https://sprints.zoho.in/workspace/zdocs#P15/itemdetails/I7229</t>
  </si>
  <si>
    <t>Time based exemption for DLP</t>
  </si>
  <si>
    <t>They want exemptions for files applied with DLP. Like a time based exemption - As of now, marking “Remove classification label”, once marked it is not time based exemptions - Once the time is set up they want the removed classification label to be reapplied with the classification label.</t>
  </si>
  <si>
    <t>NO ETA</t>
  </si>
  <si>
    <t>Open</t>
  </si>
  <si>
    <r>
      <t xml:space="preserve">2. Time based DLP exemption:
</t>
    </r>
    <r>
      <t>https://sprints.zoho.in/workspace/zdocs#P15/itemdetails/I7460</t>
    </r>
  </si>
  <si>
    <t>MS Teams Add-on</t>
  </si>
  <si>
    <t xml:space="preserve">They have requested for integration with Teams, like an Add-ons for MS Teams. </t>
  </si>
  <si>
    <t>Kamatchi</t>
  </si>
  <si>
    <r>
      <t xml:space="preserve">3. MS Teams addon: </t>
    </r>
    <r>
      <t>https://sprints.zoho.in/workspace/zdocs#P15/itemdetails/I7269</t>
    </r>
  </si>
  <si>
    <t>Zscaler DLP integration</t>
  </si>
  <si>
    <t xml:space="preserve">They want to integrate WD with Zscaler DLP. </t>
  </si>
  <si>
    <t>Rajasekaran</t>
  </si>
  <si>
    <r>
      <t xml:space="preserve">4.  ZScalar integration: </t>
    </r>
    <r>
      <t>https://sprints.zoho.in/workspace/zdocs#P15/itemdetails/I7231</t>
    </r>
  </si>
  <si>
    <t>Anamoly and Threat detection</t>
  </si>
  <si>
    <t xml:space="preserve">They also asked for threat and anomaly detections like bulk download notifications, Bulk version deletion notification, bulk deletion notification and DLP download attempts, Malware detections and alerts. </t>
  </si>
  <si>
    <r>
      <t xml:space="preserve">5.Anomaly and threat detection
 </t>
    </r>
    <r>
      <t>https://sprints.zoho.in/workspace/zdocs#P15/itemdetails/I7463</t>
    </r>
  </si>
  <si>
    <t>Data Retention</t>
  </si>
  <si>
    <t>RajeshKumar</t>
  </si>
  <si>
    <t>Saravanan T</t>
  </si>
  <si>
    <t>Watermark</t>
  </si>
  <si>
    <t>Watermarks for all documents</t>
  </si>
  <si>
    <t>Anbarasan</t>
  </si>
  <si>
    <t>Upon overdue of the approval during a workflow, actions like auto-approved or auto-reject has to be done.</t>
  </si>
  <si>
    <t xml:space="preserve">Plans &amp; Pricing </t>
  </si>
  <si>
    <t>Slab based pricing</t>
  </si>
  <si>
    <t>Preview</t>
  </si>
  <si>
    <t>Preview support for DWG files</t>
  </si>
  <si>
    <t>E-sign integration with custom functions</t>
  </si>
  <si>
    <t>5- year retention Period</t>
  </si>
  <si>
    <t>Migration</t>
  </si>
  <si>
    <t>Migration tool support for SharePoint.</t>
  </si>
  <si>
    <t>Veneth</t>
  </si>
  <si>
    <t>https://sprints.zoho.in/workspace/zdocs#P15/itemdetails/I7454</t>
  </si>
  <si>
    <t>External Integration</t>
  </si>
  <si>
    <t>Mail has integrated with ForcePoint for DLP but WorkDrive is yet to integrate with Forcepoint.</t>
  </si>
  <si>
    <t>In Roadmap</t>
  </si>
  <si>
    <t>https://sprints.zoho.in/workspace/zdocs#P15/itemdetails/I7467</t>
  </si>
  <si>
    <t>Using Intune they can save email attachments directly to OneDrive for their entire org. They are looking for this MDM based settings or product level settings, where they can let the Email attachments save to WorkDrive for their entire org, instead of creating the filter manually at the user-level.</t>
  </si>
  <si>
    <t>ZIA</t>
  </si>
  <si>
    <t xml:space="preserve">PX is looking to generate some outreach program document and client agreement document. As of now, the generated content cannot be directly saved to Zia hub, it can only be saved within My folder or Team folder. </t>
  </si>
  <si>
    <t>The user is looking for a replacement of Chat GPT, within WorkDrive. So, if the user uploads a “Client agreement” template along with user details and expiry, and asks AI to generate a document tailored to this user and save it in Zia Hubs directly. This will be very helpful to ask questions later in Hub.</t>
  </si>
  <si>
    <t>the user is looking the kinds of questions that can be used for Zia hubs. If there is a list of questions or best practices for Zia hubs, it would be nice.</t>
  </si>
  <si>
    <t>VLOOKUP - In Online and Offline we have a limitation with VLOOKUP, where pulling data from different spreadsheets is not yet supported. In the offline Sheet app, do we have it in the roadmap to support VLOOKUP across different workbooks, as in Excel?</t>
  </si>
  <si>
    <t>Plans and Pricing - features</t>
  </si>
  <si>
    <t xml:space="preserve">The user wants to reassign email address in the middle of the manual workflow, to some other external user. If a person does not approve the file, the initiator needs to assign to a different external user. </t>
  </si>
  <si>
    <t>https://sprints.zoho.in/workspace/zdocs#P15/itemdetails/I7674</t>
  </si>
  <si>
    <t>Zoho Writer</t>
  </si>
  <si>
    <t>The charter documents are usually 200 to 250 pages. They want to have charter templates created and documents created using templates. He will be saving charter template documents as org templates.
&gt;&gt; The charter document will have lots of check lists, based on the check-lists filled, a score will be auto-calculated in the document, which will be in a table within the document.
&gt;&gt; Based on the score generated in the document, a dashboard showcasing the analytics like the histograms will be created separately. For this dashboard, they are using an in-house application created using PHP. The painpoint is the complexity involved in quick updation of the parameters of the document checklists.
&gt;&gt; He wants a solution that caters to this particular requirement, for which creator can also be suggested if Writer provides such data to create dashboards based on the parameters and scores generated in the document.</t>
  </si>
  <si>
    <t># 155674385</t>
  </si>
  <si>
    <t>https://sprints.zoho.in/workspace/zdocs#P15/itemdetails/I7689</t>
  </si>
  <si>
    <t>They want interoperability with OneDrive and Google Workspace.
&gt;&gt; As of now, interoperability with OneDrive is possible, however adding all MS O365 user as unlicensed users in Google Workspace is not supported.
2. They want files created in OneDrive or Google Drive to be saved in WorkDrive too.
&gt;&gt; Have mentioned that have files created in one cloud platform and saving the same file in WorkDrive will only create copies and would not be the right approach.
&gt;&gt; We have mentioned that we only support migration tool and not cross platform syncing kind of solution.</t>
  </si>
  <si>
    <t>100 +</t>
  </si>
  <si>
    <t>They have requested for “Save to WorkDrive” MS Office add-on for Google editors too. They want files created using Google Docs, Sheet and Slides to be saved to WorkDrive, like it is available for MS Office.
&gt;&gt; Informed them that WorkDrive add-on is only available for MS Office desktop app and not online. As Google editors are online editors, we do not support extensions to “save to WorkDrive”.</t>
  </si>
  <si>
    <t>Document Expiry</t>
  </si>
  <si>
    <t>https://sprints.zoho.in/workspace/zdocs#P15/itemdetails/I7456/details</t>
  </si>
  <si>
    <t>Editors</t>
  </si>
  <si>
    <t>They are looking for Zoho Sheet and Zoho Show for Linux (SUSE) as .RMP.
&gt;&gt; They wanted to be notified once beta for Linux SUSE for Sheet and Show is available.
&gt;&gt; As 3700 users are using Linux machines and the number is going to grow in the future as they want to curb Windows machine and increase Linux machines in their organisation.</t>
  </si>
  <si>
    <t>Tikeshwar Sahu</t>
  </si>
  <si>
    <t xml:space="preserve">Currently Writer for Linux is available as .DEB, but they are looking to have as .RMP format installer file. </t>
  </si>
  <si>
    <t>Ganeshprabhu Rajendran</t>
  </si>
  <si>
    <t>Macros support for Zoho Sheet Offline desktop app.</t>
  </si>
  <si>
    <t>Ganesh Ramsakthi Mohan</t>
  </si>
  <si>
    <t>They want to push the installation of Office Suite and app updates through ME Endpoint Central. They are currently using Endpoint Central to install other applications and they want native Zoho application to be the same way.</t>
  </si>
  <si>
    <t>We need to provide preview support for CAD files in WorkDrive</t>
  </si>
  <si>
    <t>https://sprints.zoho.in/workspace/zdocs#P15/itemdetails/I7462/details</t>
  </si>
  <si>
    <t>AI</t>
  </si>
  <si>
    <t>Internal Integration</t>
  </si>
  <si>
    <t>Zoho Books and WorkDrive integration</t>
  </si>
  <si>
    <t>https://sprints.zoho.in/workspace/zdocs#P15/itemdetails/I7563</t>
  </si>
  <si>
    <t>Watermark for all file types</t>
  </si>
  <si>
    <t>https://sprints.zoho.in/workspace/zdocs#P15/itemdetails/I7527</t>
  </si>
  <si>
    <t>Online MS Office Native Save Support</t>
  </si>
  <si>
    <t>Ability to open, edit, and save MS Office files directly in native MS Office formats within the online/browser environment, similar to offline desktop behavior.</t>
  </si>
  <si>
    <t>https://sprints.zoho.in/workspace/zdocs#P15/itemdetails/I7466/details</t>
  </si>
  <si>
    <t>Native migration support for transferring SharePoint data, structure, and permissions into Zoho WorkDrive for enterprise migration use cases.</t>
  </si>
  <si>
    <t>https://sprints.zoho.in/workspace/zdocs#P15/itemdetails/I7689/description</t>
  </si>
  <si>
    <t>Sharing</t>
  </si>
  <si>
    <t>Ability to disable org-wide link-based internal sharing (“Anyone on the team”) and enforce email-based internal sharing only.</t>
  </si>
  <si>
    <t>https://sprints.zoho.in/workspace/zdocs#P15/itemdetails/I8062</t>
  </si>
  <si>
    <t>Integration support for Google Gemini Enterprise as the LLM provider for AI-powered capabilities across WorkDrive and Workplace applications.</t>
  </si>
  <si>
    <t>https://sprints.zoho.in/workspace/zdocs#P15/itemdetails/I8064</t>
  </si>
  <si>
    <t>Integration capability between Zoho WorkDrive and Forcepoint DLP for enterprise-grade data loss prevention and compliance monitoring.</t>
  </si>
  <si>
    <t>https://sprints.zoho.in/workspace/zdocs#P15/itemdetails/I7467/description</t>
  </si>
  <si>
    <t>Advanced Workflow Analytics Dashboard</t>
  </si>
  <si>
    <t>Need a centralized project-wise and overall workflow dashboard with metrics like pending with internal team/client, approved, overdue, and pending submissions, along with integration support for Zoho Analytics or Zoho Creator for advanced reporting.</t>
  </si>
  <si>
    <t>Need integration support with GTB DLP for enterprise compliance workflows. Require alerts/notifications when users attempt to share DLP-classified files, including failed share attempts.</t>
  </si>
  <si>
    <r>
      <t>https://sprints.zoho.in/workspace/zdocs#P15/itemdetails/I8081</t>
    </r>
    <r>
      <t xml:space="preserve"> </t>
    </r>
    <r>
      <t>https://sprints.zoho.in/workspace/zdocs#P15/itemdetails/I8082</t>
    </r>
  </si>
  <si>
    <t>https://sprints.zoho.in/workspace/zdocs#P15/itemdetails/I8083</t>
  </si>
  <si>
    <t>Storage</t>
  </si>
  <si>
    <t>https://sprints.zoho.in/workspace/zdocs#P15/itemdetails/I7765</t>
  </si>
  <si>
    <t>Need a centralized view to track files that have crossed due dates along with pending workflow participants.</t>
  </si>
  <si>
    <t>Send escalation emails to higher-level approvers when workflow participants miss due dates, including pending user details and file links.</t>
  </si>
  <si>
    <t>Expiry tracking + automated alerts  - to support expiry tracking, automated notifications, or document validation</t>
  </si>
  <si>
    <t>https://sprints.zoho.in/workspace/zdocs#P15/itemdetails/I7850</t>
  </si>
  <si>
    <t>Document Reminder - specifically the need for long-term reminders (months/years) tied to document workflows (e.g., approvals, follow-ups on client documents).</t>
  </si>
  <si>
    <t>https://sprints.zoho.in/workspace/zdocs#P15/itemdetails/I7858</t>
  </si>
  <si>
    <t>Enable search to directly navigate to the exact page, section, or transaction within large documents based on keywords such as vendor names or transaction details.</t>
  </si>
  <si>
    <t>https://sprints.zoho.in/workspace/zdocs#P15/itemdetails/I7875</t>
  </si>
  <si>
    <t>Document Reminder - Prospect is dealing with policy endorsements on a regular basis where they would like to remind documents that it alert for policy renewals so that their team members can update the version</t>
  </si>
  <si>
    <t>https://sprints.zoho.in/workspace/zdocs#P15/itemdetails/I7885</t>
  </si>
  <si>
    <t>Workflow Audit Trail Embedding - Automatically capture workflow activity logs in a structured table format and embed them within the final approved document.</t>
  </si>
  <si>
    <t># 156105917</t>
  </si>
  <si>
    <t>S.no</t>
  </si>
  <si>
    <t>Org Name/Email ID</t>
  </si>
  <si>
    <t>Discussion Cliq Channel</t>
  </si>
  <si>
    <t xml:space="preserve">Feature </t>
  </si>
  <si>
    <t>Feature Description</t>
  </si>
  <si>
    <t>Feature owner</t>
  </si>
  <si>
    <t>Severity</t>
  </si>
  <si>
    <r>
      <rPr>
        <b/>
        <sz val="10"/>
        <rFont val="Roboto"/>
      </rPr>
      <t>Comments</t>
    </r>
  </si>
  <si>
    <r>
      <rPr>
        <b/>
        <sz val="10"/>
        <rFont val="Roboto"/>
      </rPr>
      <t>Sprintz link</t>
    </r>
  </si>
  <si>
    <t>https://cliq.zoho.in/chats/1207130270657171734</t>
  </si>
  <si>
    <t>Major Minor Versioning</t>
  </si>
  <si>
    <t>Critical</t>
  </si>
  <si>
    <t>https://sprints.zoho.in/workspace/zdocs#P15/itemdetails/I7166</t>
  </si>
  <si>
    <t>https://connect.zoho.in/portal/intranet/stream/155936001917720204</t>
  </si>
  <si>
    <t>Zoho Sheet Desktop app</t>
  </si>
  <si>
    <t>They had requested for early access for Zoho Sheet Windows desktop app offline, once it is available.</t>
  </si>
  <si>
    <t>Vinay Kumar</t>
  </si>
  <si>
    <t>Feb mid</t>
  </si>
  <si>
    <t>High</t>
  </si>
  <si>
    <t>Relased for this org</t>
  </si>
  <si>
    <t>Sheet Team</t>
  </si>
  <si>
    <t>https://cliq.zoho.in/chats/1207130278083036966</t>
  </si>
  <si>
    <t>Sync entire computer to WorkDrive</t>
  </si>
  <si>
    <t>1. As of now, Desktop Folder sync via TrueSync is only limited to sync upto 5 Desktop folders and not the entire computer with their drives like C; E; D;.
2. They want their employees to work as they want and not force them to keep their content only in those 5 desktop folders, which they might not do, even if enforced. They are looking to use WorkDrive as a backup solution for their entire computers.
&gt;&gt; They want the entire computer to be backed up in the cloud. Do we have this in our roadmap?
&gt;&gt; Adding more desktop folders to sync is in roadmap but syncing the entire computer like taking a Snapshot of a computer to WorkDrive is not supported.</t>
  </si>
  <si>
    <t>Kalidoss</t>
  </si>
  <si>
    <t>This requirment is beyond WorkDrive's scope. Sync team is planning to increase the number of desktop folders that can be synced, which is 5 right now.</t>
  </si>
  <si>
    <t>Sync Team</t>
  </si>
  <si>
    <t>https://cliq.zoho.in/company/60002085329/chats/CT_1291637385363622570_60002085329/messages/1769778527212_7963121367714</t>
  </si>
  <si>
    <t>File Expiry</t>
  </si>
  <si>
    <t>1. They wanted to sent up file contract and expiry for the files.</t>
  </si>
  <si>
    <t>Pradeep</t>
  </si>
  <si>
    <t>https://sprints.zoho.in/workspace/zdocs#P15/itemdetails/I7169</t>
  </si>
  <si>
    <t>Workflow Zoho Sign integration</t>
  </si>
  <si>
    <t>2. They wanted to collect E-sign at the end of the workflow.
&gt;&gt; Showcased “Execute custom function” where sign can be added.</t>
  </si>
  <si>
    <t>Available</t>
  </si>
  <si>
    <t>Release for all</t>
  </si>
  <si>
    <t>Possible through custom function</t>
  </si>
  <si>
    <t>Esign can be done with Custom function</t>
  </si>
  <si>
    <r>
      <t xml:space="preserve">Partner Team: </t>
    </r>
    <r>
      <t>https://cliq.zoho.in/company/60002085329/chats/1206989543717766940</t>
    </r>
    <r>
      <t xml:space="preserve">
Internal: 
</t>
    </r>
    <r>
      <t>https://cliq.zoho.in/chats/1796011118955373228</t>
    </r>
  </si>
  <si>
    <t>1. They have requested for UAE sensitive information types like Emirates passport, Emirates ID.</t>
  </si>
  <si>
    <t>2. They want exemptions for files applied with DLP. Like a time based exemption.
&gt;&gt; As of now, marking “Remove classification label”, once marked it is not time based exemptions.
&gt;&gt; Once the time is set up they want the removed classification label to be reapplied with the classification label.</t>
  </si>
  <si>
    <t>Medium</t>
  </si>
  <si>
    <t xml:space="preserve">As of now, team folder based exemption has been suggested but they have requested for time based exemption to reapply the classification labels. </t>
  </si>
  <si>
    <t xml:space="preserve">3. They have requested for integration with Teams, like an Add-ons for MS Teams. </t>
  </si>
  <si>
    <t xml:space="preserve">4. They want to integrate WD with Zscaler DLP. </t>
  </si>
  <si>
    <t xml:space="preserve">5. They also asked for threat and anomaly detections like bulk download notifications, Bulk version deletion notification, bulk deletion notification and DLP download attempts, Malware detections and alerts. </t>
  </si>
  <si>
    <t>https://cliq.zoho.in/chats/1796011119024003479</t>
  </si>
  <si>
    <t>Ability to set an expiry date for documents, with notifications sent to the admin as the expiry approaches so they can take action to renew it.</t>
  </si>
  <si>
    <r>
      <t xml:space="preserve">Document Expiry: </t>
    </r>
    <r>
      <t>https://sprints.zoho.in/workspace/zdocs#P15/itemdetails/I7323</t>
    </r>
  </si>
  <si>
    <t>https://connect.zoho.in/portal/intranet/stream/155936001942205945</t>
  </si>
  <si>
    <t>Option to add watermarks to documents across different file formats to prevent unauthorized distribution</t>
  </si>
  <si>
    <t>Low</t>
  </si>
  <si>
    <r>
      <t xml:space="preserve">Watermarks for all documents :
</t>
    </r>
    <r>
      <t>https://sprints.zoho.in/workspace/zdocs#P15/itemdetails/I7453</t>
    </r>
  </si>
  <si>
    <t>https://cliq.zoho.in/company/60002085329/chats/1796011116864325061</t>
  </si>
  <si>
    <t>Workflow auto-approve/reject</t>
  </si>
  <si>
    <t>1. Upon overdue of the approval during a workflow, actions like auto-approved or auto-reject has to be done.</t>
  </si>
  <si>
    <r>
      <t xml:space="preserve">Auto approve or reject workflow
</t>
    </r>
    <r>
      <t>https://sprints.zoho.in/workspace/zdocs#P15/itemdetails/I7465</t>
    </r>
  </si>
  <si>
    <t>2. Preview support for DWG files (Auto CAD)</t>
  </si>
  <si>
    <t>Debeka</t>
  </si>
  <si>
    <t>3. E-sign integration with custom functions</t>
  </si>
  <si>
    <t>Can be done with custom function</t>
  </si>
  <si>
    <t>Sharepoint migration</t>
  </si>
  <si>
    <t xml:space="preserve">Migration tool support for SharePoint </t>
  </si>
  <si>
    <r>
      <t xml:space="preserve">Sharepoint migration:
</t>
    </r>
    <r>
      <t>https://sprints.zoho.in/workspace/zdocs#P15/itemdetails/I7454</t>
    </r>
  </si>
  <si>
    <t>https://cliq.zoho.in/company/60002085329/chats/1796011120441739409</t>
  </si>
  <si>
    <t>Open and Save as MS files via Zoho Editors</t>
  </si>
  <si>
    <t>SelvaKumar</t>
  </si>
  <si>
    <r>
      <t xml:space="preserve">Save files in MS Office format via Zoho Editors:
</t>
    </r>
    <r>
      <t>https://sprints.zoho.in/workspace/zdocs#P15/itemdetails/I7466</t>
    </r>
  </si>
  <si>
    <t>https://cliq.zoho.in/chats/CT_1291637385363622570_60002085329-T-1291643112556152236</t>
  </si>
  <si>
    <t>ForcePoint integration</t>
  </si>
  <si>
    <r>
      <t xml:space="preserve">Forcepoint integration:
</t>
    </r>
    <r>
      <t>https://sprints.zoho.in/workspace/zdocs#P15/itemdetails/I7467</t>
    </r>
  </si>
  <si>
    <t>https://cliq.zoho.in/chats/1796011121160837710</t>
  </si>
  <si>
    <t>Save email attachments to WorkDrive at org level</t>
  </si>
  <si>
    <t>1. Using Intune they can save email attachments directly to OneDrive for their entire org. They are looking for this MDM based settings or product level settings, where they can let the Email attachments save to WorkDrive for their entire org, instead of creating the filter manually at the user-level.  &gt;&gt; Mentioned that we will check on this internally and circle back.</t>
  </si>
  <si>
    <r>
      <t xml:space="preserve">Save email attachments to WorkDrive at org level
</t>
    </r>
    <r>
      <t>https://sprints.zoho.in/workspace/zdocs#P15/itemdetails/I7478</t>
    </r>
  </si>
  <si>
    <t>Restrict anyone on the team share:</t>
  </si>
  <si>
    <t>2. Currently there is a restriction in OneDrive while copying permalink “Anyone on the team” can be restricted and only email address based internal sharing with Default “View” only access can be allowed. &gt;&gt; Informed that as of now, only external sharing can be restricted and “Anyone on the team” links can be created and restriction of “Anyone on the team” based sharing at the org-level is currently not supported. &gt;&gt; As of now, though we support internal sharing with email address, he wants to restrict “Anyone on the team” based sharing as he does n to want files to be loosely shared as links, even internally. </t>
  </si>
  <si>
    <r>
      <t xml:space="preserve">Restrict anyone on the team share:
</t>
    </r>
    <r>
      <t>https://sprints.zoho.in/workspace/zdocs#P15/itemdetails/I7479</t>
    </r>
  </si>
  <si>
    <t>https://cliq.zoho.in/company/60002085329/chats/CT_1291637385363622570_60002085329-T-1291572790540748493</t>
  </si>
  <si>
    <t>Egnyte's Compression &amp; deduplication for file versions</t>
  </si>
  <si>
    <r>
      <t xml:space="preserve">Since they are handling large data volumes they expect to reduce storage usage by eliminating duplicate data and storing only unique file changes instead of full copies/versions (current working in WD) - needs to be checked. Related help link on Egnyte's behavior: </t>
    </r>
    <r>
      <t>https://helpdesk.egnyte.com/hc/en-us/articles/31327880655245-Understanding-Deduplication-in-the-WebUI</t>
    </r>
    <r>
      <t xml:space="preserve"> </t>
    </r>
  </si>
  <si>
    <t>https://sprints.zoho.in/workspace/zdocs#P15/itemdetails/I7567</t>
  </si>
  <si>
    <t>Migration from Egnyte for more than 20 TB data</t>
  </si>
  <si>
    <t>Right now they have 20 TB storage but the actual might be larger considering Egnytes Deduplication feature (files are compressed to save storage) - so they are looking for easier way to migrate the data to WD</t>
  </si>
  <si>
    <t>https://sprints.zoho.in/workspace/zdocs#P15/itemdetails/I7568</t>
  </si>
  <si>
    <r>
      <t>https://cliq.zoho.in/company/60002085329/chats/CT_1291637385363622570_60002085329/messages/1776329819973_8334744880770</t>
    </r>
    <r>
      <t xml:space="preserve"> </t>
    </r>
  </si>
  <si>
    <t>Involves structuring Team Folders department-wise (e.g., Marketing, Sales, etc.), and they require the ability to set fixed storage limits per Team Folder (for example, 500 GB per department).
Their concern is that without such controls, certain departments may consume an excessive amount of shared storage, which does not align with their internal governance expectations.</t>
  </si>
  <si>
    <t>Jeyaraj</t>
  </si>
  <si>
    <t>License enabled on</t>
  </si>
  <si>
    <t>Ticket</t>
  </si>
  <si>
    <t>Renewal date</t>
  </si>
  <si>
    <t>Storage provided</t>
  </si>
  <si>
    <r>
      <t>#</t>
    </r>
    <r>
      <t>152792985</t>
    </r>
  </si>
</sst>
</file>

<file path=xl/styles.xml><?xml version="1.0" encoding="utf-8"?>
<styleSheet xmlns="http://schemas.openxmlformats.org/spreadsheetml/2006/main">
  <numFmts count="15">
    <numFmt formatCode="#0.00%" numFmtId="164"/>
    <numFmt formatCode="d/m/yy" numFmtId="165"/>
    <numFmt formatCode="&quot;$&quot;#,##0.00" numFmtId="166"/>
    <numFmt formatCode="d-m" numFmtId="167"/>
    <numFmt formatCode="[$₹]#,##0.00" numFmtId="168"/>
    <numFmt formatCode="d - m" numFmtId="169"/>
    <numFmt formatCode="[&gt;0]_([$₹]* #,##0.00_);[&lt;0]_([$₹]* (#,##0.00);_([$₹]* &quot;-&quot;#??_);_(@_)" numFmtId="170"/>
    <numFmt formatCode="mmmm d" numFmtId="171"/>
    <numFmt formatCode="d mmm, yyyy" numFmtId="172"/>
    <numFmt formatCode="d mmm. yyyy" numFmtId="173"/>
    <numFmt formatCode="d mmm yyyy" numFmtId="174"/>
    <numFmt formatCode="d -m" numFmtId="175"/>
    <numFmt formatCode="d/m" numFmtId="176"/>
    <numFmt formatCode="d/m/yyyy" numFmtId="177"/>
    <numFmt formatCode="d/mm/yyyy" numFmtId="178"/>
  </numFmts>
  <fonts count="55">
    <font>
      <sz val="10"/>
      <color rgb="FF000000"/>
      <name val="Roboto"/>
    </font>
    <font>
      <sz val="10"/>
      <name val="Roboto"/>
    </font>
    <font>
      <sz val="20"/>
      <color rgb="FFFFFFFF"/>
      <name val="Calibri"/>
    </font>
    <font>
      <sz val="10.0"/>
      <color rgb="FFFFFFFF"/>
      <name val="Calibri"/>
    </font>
    <font>
      <b/>
      <sz val="10"/>
      <color rgb="FFFFFFFF"/>
      <name val="Zoho Puvi"/>
    </font>
    <font>
      <b/>
      <sz val="10"/>
      <color rgb="FFFFFFFF"/>
      <name val="Roboto"/>
    </font>
    <font>
      <b/>
      <sz val="20"/>
      <color rgb="FF229955"/>
      <name val="Zoho Puvi"/>
    </font>
    <font>
      <b/>
      <sz val="20"/>
      <color rgb="FFEE4675"/>
      <name val="Zoho Puvi"/>
    </font>
    <font>
      <b/>
      <sz val="20"/>
      <color rgb="FFB5930B"/>
      <name val="Roboto"/>
    </font>
    <font>
      <b/>
      <sz val="20"/>
      <color rgb="FF1F74AD"/>
      <name val="Roboto"/>
    </font>
    <font>
      <sz val="14"/>
      <color rgb="FFFFFFFF"/>
      <name val="Calibri"/>
    </font>
    <font>
      <b/>
      <sz val="11.0"/>
      <color rgb="FFFFFFFF"/>
      <name val="Calibri"/>
    </font>
    <font>
      <b/>
      <sz val="11.0"/>
      <name val="Calibri"/>
    </font>
    <font>
      <sz val="11.0"/>
      <name val="Calibri"/>
    </font>
    <font>
      <b/>
      <sz val="11"/>
      <color rgb="FFFFFFFF"/>
      <name val="Calibri"/>
    </font>
    <font>
      <sz val="11"/>
      <name val="Calibri"/>
    </font>
    <font>
      <b/>
      <sz val="10"/>
      <name val="Roboto"/>
    </font>
    <font>
      <sz val="11.0"/>
      <color rgb="FF385723"/>
      <name val="Calibri"/>
    </font>
    <font>
      <b/>
      <sz val="11.0"/>
      <color rgb="FF385723"/>
      <name val="Calibri"/>
    </font>
    <font>
      <sz val="11.0"/>
      <color rgb="FFFFFFFF"/>
      <name val="Calibri"/>
    </font>
    <font>
      <b/>
      <sz val="10"/>
      <name val="Roboto"/>
    </font>
    <font>
      <u/>
      <sz val="10"/>
      <color rgb="FF185C8A"/>
      <name val="Roboto"/>
    </font>
    <font>
      <u/>
      <sz val="10"/>
      <color rgb="FF0563C1"/>
      <name val="Roboto"/>
    </font>
    <font>
      <sz val="10"/>
      <name val="lato_regular"/>
    </font>
    <font>
      <u/>
      <sz val="10"/>
      <name val="Roboto"/>
    </font>
    <font>
      <sz val="11"/>
      <name val="ZDPuvi"/>
    </font>
    <font>
      <sz val="10"/>
      <name val="Roboto"/>
    </font>
    <font>
      <u/>
      <sz val="10"/>
      <color rgb="FF0563C1"/>
      <name val="Roboto"/>
    </font>
    <font>
      <u/>
      <sz val="10"/>
      <name val="Roboto"/>
    </font>
    <font>
      <sz val="11"/>
      <color rgb="FF212529"/>
      <name val="Lato"/>
    </font>
    <font>
      <u/>
      <sz val="11"/>
      <color rgb="FF212529"/>
      <name val="Lato"/>
    </font>
    <font>
      <u/>
      <sz val="11"/>
      <color rgb="FF0A73EB"/>
      <name val="ZDPuvi"/>
    </font>
    <font>
      <b/>
      <u/>
      <sz val="10"/>
      <color rgb="FF0563C1"/>
      <name val="Roboto"/>
    </font>
    <font>
      <sz val="11"/>
      <color rgb="FF0A73EB"/>
      <name val="ZDPuvi"/>
    </font>
    <font>
      <u/>
      <sz val="10"/>
      <name val="Helvetica Neue"/>
    </font>
    <font>
      <sz val="10"/>
      <name val="-webkit-standard"/>
    </font>
    <font>
      <sz val="11"/>
      <color rgb="FF313949"/>
      <name val="Zoho_Puvi_Regular"/>
    </font>
    <font>
      <u/>
      <sz val="11"/>
      <color rgb="FF0563C1"/>
      <name val="ZDPuvi"/>
    </font>
    <font>
      <u/>
      <sz val="10"/>
      <color rgb="FF0563C1"/>
      <name val="Arial"/>
    </font>
    <font>
      <sz val="10"/>
      <name val="ZDPuvi"/>
    </font>
    <font>
      <u/>
      <sz val="10"/>
      <color rgb="FF0563C1"/>
      <name val="ZDPuvi"/>
    </font>
    <font>
      <u/>
      <sz val="10"/>
      <color rgb="FF1F74AD"/>
      <name val="ZDPuvi"/>
    </font>
    <font>
      <sz val="10"/>
      <name val="Arial"/>
    </font>
    <font>
      <sz val="10"/>
      <color rgb="FF111111"/>
      <name val="Roboto"/>
    </font>
    <font>
      <b/>
      <sz val="12"/>
      <name val="Roboto"/>
    </font>
    <font>
      <u/>
      <sz val="11"/>
      <name val="ZDPuvi"/>
    </font>
    <font>
      <b/>
      <sz val="16"/>
      <name val="Roboto"/>
    </font>
    <font>
      <u/>
      <sz val="10"/>
      <color rgb="FF1A0DAB"/>
      <name val="Roboto"/>
    </font>
    <font>
      <sz val="10"/>
      <name val="Roboto"/>
    </font>
    <font>
      <b/>
      <sz val="10"/>
      <color rgb="FF229955"/>
      <name val="Roboto"/>
    </font>
    <font>
      <b/>
      <sz val="10"/>
      <color rgb="FFFF0000"/>
      <name val="Roboto"/>
    </font>
    <font>
      <sz val="10"/>
      <color rgb="FF229955"/>
      <name val="Roboto"/>
    </font>
    <font>
      <u/>
      <sz val="10"/>
      <color rgb="FF185C8A"/>
      <name val="Roboto"/>
    </font>
    <font>
      <b/>
      <sz val="11"/>
      <name val="Roboto"/>
    </font>
    <font>
      <u/>
      <sz val="12"/>
      <color rgb="FF0563C1"/>
      <name val="Zoho_Puvi_UI"/>
    </font>
  </fonts>
  <fills count="18">
    <fill>
      <patternFill patternType="none"/>
    </fill>
    <fill>
      <patternFill patternType="gray125"/>
    </fill>
    <fill>
      <patternFill patternType="solid">
        <fgColor rgb="FF1F3864"/>
        <bgColor rgb="FF1F3864"/>
      </patternFill>
    </fill>
    <fill>
      <patternFill patternType="solid">
        <fgColor rgb="FF2E5496"/>
        <bgColor rgb="FF2E5496"/>
      </patternFill>
    </fill>
    <fill>
      <patternFill patternType="solid">
        <fgColor rgb="FF229955"/>
        <bgColor rgb="FF229955"/>
      </patternFill>
    </fill>
    <fill>
      <patternFill patternType="solid">
        <fgColor rgb="FFD41349"/>
        <bgColor rgb="FFD41349"/>
      </patternFill>
    </fill>
    <fill>
      <patternFill patternType="solid">
        <fgColor rgb="FFB5930B"/>
        <bgColor rgb="FFB5930B"/>
      </patternFill>
    </fill>
    <fill>
      <patternFill patternType="solid">
        <fgColor rgb="FF3498DB"/>
        <bgColor rgb="FF3498DB"/>
      </patternFill>
    </fill>
    <fill>
      <patternFill patternType="solid">
        <fgColor rgb="FFD5F5E3"/>
        <bgColor rgb="FFD5F5E3"/>
      </patternFill>
    </fill>
    <fill>
      <patternFill patternType="solid">
        <fgColor rgb="FFFCDAE3"/>
        <bgColor rgb="FFFCDAE3"/>
      </patternFill>
    </fill>
    <fill>
      <patternFill patternType="solid">
        <fgColor rgb="FFFCF3CF"/>
        <bgColor rgb="FFFCF3CF"/>
      </patternFill>
    </fill>
    <fill>
      <patternFill patternType="solid">
        <fgColor rgb="FFD6EAF8"/>
        <bgColor rgb="FFD6EAF8"/>
      </patternFill>
    </fill>
    <fill>
      <patternFill patternType="solid">
        <fgColor rgb="FFD9E1F2"/>
        <bgColor rgb="FFD9E1F2"/>
      </patternFill>
    </fill>
    <fill>
      <patternFill patternType="solid">
        <fgColor rgb="FFD3DCE5"/>
        <bgColor rgb="FFD3DCE5"/>
      </patternFill>
    </fill>
    <fill>
      <patternFill patternType="solid">
        <fgColor rgb="FFD3DCE5"/>
        <bgColor rgb="FFD3DCE5"/>
      </patternFill>
    </fill>
    <fill>
      <patternFill patternType="solid">
        <fgColor rgb="FFF590AC"/>
        <bgColor rgb="FFF590AC"/>
      </patternFill>
    </fill>
    <fill>
      <patternFill patternType="solid">
        <fgColor rgb="FFA6A6A6"/>
        <bgColor rgb="FFA6A6A6"/>
      </patternFill>
    </fill>
    <fill>
      <patternFill patternType="solid">
        <fgColor rgb="FFA6A6A6"/>
        <bgColor rgb="FFA6A6A6"/>
      </patternFill>
    </fill>
  </fills>
  <borders count="16">
    <border>
      <left/>
      <right/>
      <top/>
      <bottom/>
      <diagonal/>
    </border>
    <border>
      <left style="thick">
        <color rgb="FFD9D9D9"/>
      </left>
      <right style="thick">
        <color rgb="FFD9D9D9"/>
      </right>
      <top style="thick">
        <color rgb="FFD9D9D9"/>
      </top>
      <bottom style="thick">
        <color rgb="FFD9D9D9"/>
      </bottom>
      <diagonal/>
    </border>
    <border>
      <left style="thick">
        <color rgb="FFD9D9D9"/>
      </left>
      <right style="thick">
        <color rgb="FFD9D9D9"/>
      </right>
      <top/>
      <bottom style="thick">
        <color rgb="FFD9D9D9"/>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thin">
        <color rgb="FFD9D9D9"/>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s>
  <cellStyleXfs count="1">
    <xf borderId="0" fillId="0" fontId="0" numFmtId="0" xfId="0">
      <alignment vertical="top"/>
    </xf>
  </cellStyleXfs>
  <cellXfs count="152">
    <xf borderId="0" fillId="0" fontId="0" numFmtId="0" xfId="0">
      <alignment vertical="top"/>
    </xf>
    <xf borderId="0" fillId="0" fontId="1" numFmtId="0" xfId="0">
      <alignment vertical="top"/>
    </xf>
    <xf borderId="1" fillId="2" fontId="2" numFmtId="0" xfId="0">
      <alignment horizontal="center" vertical="center"/>
    </xf>
    <xf borderId="1" fillId="3" fontId="3" numFmtId="0" xfId="0">
      <alignment horizontal="center" vertical="center" wrapText="1"/>
    </xf>
    <xf borderId="1" fillId="4" fontId="4" numFmtId="0" xfId="0">
      <alignment horizontal="center" vertical="center"/>
    </xf>
    <xf borderId="2" fillId="4" fontId="4" numFmtId="0" xfId="0">
      <alignment horizontal="center" vertical="center"/>
    </xf>
    <xf borderId="2" fillId="5" fontId="4" numFmtId="0" xfId="0">
      <alignment horizontal="center" vertical="center"/>
    </xf>
    <xf borderId="2" fillId="6" fontId="5" numFmtId="0" xfId="0">
      <alignment horizontal="center" vertical="center"/>
    </xf>
    <xf borderId="2" fillId="7" fontId="5" numFmtId="0" xfId="0">
      <alignment horizontal="center" vertical="center"/>
    </xf>
    <xf borderId="1" fillId="7" fontId="5" numFmtId="0" xfId="0">
      <alignment horizontal="center" vertical="center"/>
    </xf>
    <xf borderId="1" fillId="8" fontId="6" numFmtId="0" xfId="0">
      <alignment horizontal="center" vertical="center"/>
    </xf>
    <xf borderId="1" fillId="9" fontId="7" numFmtId="0" xfId="0">
      <alignment horizontal="center" vertical="center"/>
    </xf>
    <xf borderId="1" fillId="10" fontId="8" numFmtId="0" xfId="0">
      <alignment horizontal="center" vertical="center"/>
    </xf>
    <xf borderId="1" fillId="11" fontId="9" numFmtId="164" xfId="0">
      <alignment horizontal="center" vertical="center"/>
    </xf>
    <xf borderId="3" fillId="2" fontId="10" numFmtId="0" xfId="0">
      <alignment horizontal="center" vertical="center"/>
    </xf>
    <xf borderId="3" fillId="3" fontId="11" numFmtId="0" xfId="0">
      <alignment horizontal="center" vertical="center"/>
    </xf>
    <xf borderId="3" fillId="0" fontId="12" numFmtId="0" xfId="0">
      <alignment horizontal="center" vertical="center"/>
    </xf>
    <xf borderId="3" fillId="0" fontId="13" numFmtId="0" xfId="0">
      <alignment horizontal="center" vertical="center"/>
    </xf>
    <xf borderId="3" fillId="0" fontId="13" numFmtId="9" xfId="0">
      <alignment horizontal="center" vertical="center"/>
    </xf>
    <xf borderId="3" fillId="3" fontId="14" numFmtId="0" xfId="0">
      <alignment horizontal="center" vertical="top"/>
    </xf>
    <xf borderId="3" fillId="0" fontId="15" numFmtId="0" xfId="0">
      <alignment horizontal="center" vertical="top"/>
    </xf>
    <xf borderId="3" fillId="12" fontId="12" numFmtId="0" xfId="0">
      <alignment horizontal="center" vertical="center"/>
    </xf>
    <xf borderId="3" fillId="12" fontId="12" numFmtId="164" xfId="0">
      <alignment horizontal="center" vertical="center"/>
    </xf>
    <xf borderId="0" fillId="0" fontId="16" numFmtId="0" xfId="0">
      <alignment vertical="top"/>
    </xf>
    <xf borderId="4" fillId="0" fontId="13" numFmtId="0" xfId="0">
      <alignment horizontal="center" vertical="center"/>
    </xf>
    <xf borderId="4" fillId="0" fontId="15" numFmtId="0" xfId="0">
      <alignment horizontal="center" vertical="top"/>
    </xf>
    <xf borderId="3" fillId="0" fontId="17" numFmtId="0" xfId="0">
      <alignment horizontal="center" vertical="center"/>
    </xf>
    <xf borderId="3" fillId="12" fontId="18" numFmtId="0" xfId="0">
      <alignment horizontal="center" vertical="center"/>
    </xf>
    <xf borderId="3" fillId="13" fontId="12" numFmtId="9" xfId="0">
      <alignment horizontal="center" vertical="center"/>
    </xf>
    <xf borderId="3" fillId="3" fontId="19" numFmtId="0" xfId="0">
      <alignment horizontal="center" vertical="center"/>
    </xf>
    <xf borderId="3" fillId="12" fontId="13" numFmtId="0" xfId="0">
      <alignment horizontal="center" vertical="center"/>
    </xf>
    <xf borderId="3" fillId="12" fontId="17" numFmtId="0" xfId="0">
      <alignment horizontal="center" vertical="center"/>
    </xf>
    <xf borderId="3" fillId="13" fontId="13" numFmtId="9" xfId="0">
      <alignment horizontal="center" vertical="center"/>
    </xf>
    <xf borderId="0" fillId="0" fontId="1" numFmtId="0" xfId="0">
      <alignment horizontal="center" vertical="center"/>
    </xf>
    <xf borderId="0" fillId="0" fontId="1" numFmtId="0" xfId="0">
      <alignment horizontal="center" vertical="center" wrapText="1"/>
    </xf>
    <xf borderId="0" fillId="14" fontId="20" numFmtId="0" xfId="0">
      <alignment horizontal="center" vertical="center" wrapText="1"/>
    </xf>
    <xf borderId="0" fillId="0" fontId="1" numFmtId="165" xfId="0">
      <alignment horizontal="center" vertical="center" wrapText="1"/>
    </xf>
    <xf borderId="0" fillId="0" fontId="21" numFmtId="0" xfId="0">
      <alignment horizontal="center" vertical="center" wrapText="1"/>
    </xf>
    <xf borderId="0" fillId="0" fontId="22" numFmtId="0" xfId="0">
      <alignment horizontal="center" vertical="center" wrapText="1"/>
    </xf>
    <xf borderId="0" fillId="0" fontId="1" numFmtId="166" xfId="0">
      <alignment horizontal="center" vertical="center" wrapText="1"/>
    </xf>
    <xf borderId="0" fillId="0" fontId="23" numFmtId="0" xfId="0">
      <alignment horizontal="center" vertical="center" wrapText="1"/>
    </xf>
    <xf borderId="0" fillId="0" fontId="24" numFmtId="0" xfId="0">
      <alignment horizontal="center" vertical="center" wrapText="1"/>
    </xf>
    <xf borderId="0" fillId="0" fontId="25" numFmtId="0" xfId="0">
      <alignment horizontal="center" vertical="center" wrapText="1"/>
    </xf>
    <xf borderId="0" fillId="0" fontId="1" numFmtId="167" xfId="0">
      <alignment horizontal="center" vertical="center" wrapText="1"/>
    </xf>
    <xf borderId="0" fillId="0" fontId="1" numFmtId="168" xfId="0">
      <alignment horizontal="center" vertical="center" wrapText="1"/>
    </xf>
    <xf borderId="0" fillId="0" fontId="26" numFmtId="165" xfId="0">
      <alignment horizontal="center" vertical="center" wrapText="1"/>
    </xf>
    <xf borderId="0" fillId="0" fontId="27" numFmtId="0" xfId="0">
      <alignment horizontal="center" vertical="center" wrapText="1"/>
    </xf>
    <xf borderId="0" fillId="0" fontId="26" numFmtId="0" xfId="0">
      <alignment horizontal="center" vertical="center" wrapText="1"/>
    </xf>
    <xf borderId="0" fillId="0" fontId="26" numFmtId="168" xfId="0">
      <alignment horizontal="center" vertical="center" wrapText="1"/>
    </xf>
    <xf borderId="0" fillId="0" fontId="28" numFmtId="0" xfId="0">
      <alignment horizontal="center" vertical="center" wrapText="1"/>
    </xf>
    <xf borderId="0" fillId="0" fontId="29" numFmtId="0" xfId="0">
      <alignment horizontal="center" vertical="center" wrapText="1"/>
    </xf>
    <xf borderId="0" fillId="0" fontId="30" numFmtId="0" xfId="0">
      <alignment horizontal="center" vertical="center" wrapText="1"/>
    </xf>
    <xf borderId="0" fillId="0" fontId="1" numFmtId="168" xfId="0">
      <alignment horizontal="center" vertical="top" wrapText="1"/>
    </xf>
    <xf borderId="0" fillId="0" fontId="25" numFmtId="0" xfId="0">
      <alignment horizontal="center" vertical="top" wrapText="1"/>
    </xf>
    <xf borderId="0" fillId="0" fontId="1" numFmtId="169" xfId="0">
      <alignment horizontal="center" vertical="center" wrapText="1"/>
    </xf>
    <xf borderId="0" fillId="0" fontId="1" numFmtId="170" xfId="0">
      <alignment horizontal="center" vertical="center" wrapText="1"/>
    </xf>
    <xf borderId="0" fillId="0" fontId="24" numFmtId="0" xfId="0">
      <alignment horizontal="center" vertical="center"/>
    </xf>
    <xf borderId="0" fillId="0" fontId="31" numFmtId="0" xfId="0">
      <alignment horizontal="center" vertical="top" wrapText="1"/>
    </xf>
    <xf borderId="0" fillId="0" fontId="32" numFmtId="0" xfId="0">
      <alignment horizontal="center" vertical="center" wrapText="1"/>
    </xf>
    <xf borderId="0" fillId="0" fontId="33" numFmtId="0" xfId="0">
      <alignment horizontal="center" vertical="center" wrapText="1"/>
    </xf>
    <xf borderId="0" fillId="0" fontId="34" numFmtId="0" xfId="0">
      <alignment horizontal="center" vertical="center" wrapText="1"/>
    </xf>
    <xf borderId="0" fillId="0" fontId="35" numFmtId="0" xfId="0">
      <alignment horizontal="center" vertical="center" wrapText="1"/>
    </xf>
    <xf borderId="0" fillId="0" fontId="31" numFmtId="0" xfId="0">
      <alignment horizontal="center" vertical="center" wrapText="1"/>
    </xf>
    <xf borderId="0" fillId="0" fontId="1" numFmtId="171" xfId="0">
      <alignment horizontal="center" vertical="center" wrapText="1"/>
    </xf>
    <xf borderId="0" fillId="0" fontId="36" numFmtId="0" xfId="0">
      <alignment horizontal="left" vertical="top" wrapText="1"/>
    </xf>
    <xf borderId="0" fillId="0" fontId="37" numFmtId="0" xfId="0">
      <alignment horizontal="center" vertical="center" wrapText="1"/>
    </xf>
    <xf borderId="0" fillId="0" fontId="1" numFmtId="0" xfId="0">
      <alignment horizontal="center" vertical="top"/>
    </xf>
    <xf borderId="0" fillId="0" fontId="38" numFmtId="0" xfId="0">
      <alignment horizontal="center" vertical="center" wrapText="1"/>
    </xf>
    <xf borderId="0" fillId="0" fontId="21" numFmtId="0" xfId="0">
      <alignment horizontal="center" vertical="top" wrapText="1"/>
    </xf>
    <xf borderId="0" fillId="0" fontId="36" numFmtId="0" xfId="0">
      <alignment horizontal="center" vertical="center" wrapText="1"/>
    </xf>
    <xf borderId="0" fillId="0" fontId="25" numFmtId="0" xfId="0">
      <alignment horizontal="left" vertical="top" wrapText="1"/>
    </xf>
    <xf borderId="0" fillId="0" fontId="36" numFmtId="0" xfId="0">
      <alignment horizontal="left" vertical="top"/>
    </xf>
    <xf borderId="0" fillId="0" fontId="39" numFmtId="0" xfId="0">
      <alignment horizontal="center" vertical="center" wrapText="1"/>
    </xf>
    <xf borderId="0" fillId="0" fontId="40" numFmtId="0" xfId="0">
      <alignment horizontal="center" vertical="center" wrapText="1"/>
    </xf>
    <xf borderId="0" fillId="0" fontId="41" numFmtId="0" xfId="0">
      <alignment horizontal="center" vertical="center" wrapText="1"/>
    </xf>
    <xf borderId="0" fillId="0" fontId="37" numFmtId="0" xfId="0">
      <alignment horizontal="center" vertical="top" wrapText="1"/>
    </xf>
    <xf borderId="0" fillId="15" fontId="1" numFmtId="0" xfId="0">
      <alignment horizontal="center" vertical="top" wrapText="1"/>
    </xf>
    <xf borderId="0" fillId="0" fontId="23" numFmtId="0" xfId="0">
      <alignment horizontal="center" vertical="top" wrapText="1"/>
    </xf>
    <xf borderId="0" fillId="14" fontId="20" numFmtId="0" xfId="0">
      <alignment horizontal="center" vertical="top" wrapText="1"/>
    </xf>
    <xf borderId="0" fillId="0" fontId="1" numFmtId="0" xfId="0">
      <alignment horizontal="center" vertical="top" wrapText="1"/>
    </xf>
    <xf borderId="0" fillId="0" fontId="42" numFmtId="0" xfId="0">
      <alignment horizontal="left" vertical="top" wrapText="1"/>
    </xf>
    <xf borderId="0" fillId="0" fontId="43" numFmtId="0" xfId="0">
      <alignment vertical="top" wrapText="1"/>
    </xf>
    <xf borderId="0" fillId="0" fontId="44" numFmtId="172" xfId="0">
      <alignment horizontal="center" vertical="center" wrapText="1"/>
    </xf>
    <xf borderId="0" fillId="0" fontId="44" numFmtId="0" xfId="0">
      <alignment horizontal="center" vertical="center" wrapText="1"/>
    </xf>
    <xf borderId="0" fillId="0" fontId="1" numFmtId="172" xfId="0">
      <alignment horizontal="center" vertical="center" wrapText="1"/>
    </xf>
    <xf borderId="0" fillId="0" fontId="1" numFmtId="173" xfId="0">
      <alignment horizontal="center" vertical="center" wrapText="1"/>
    </xf>
    <xf borderId="0" fillId="0" fontId="22" numFmtId="173" xfId="0">
      <alignment horizontal="center" vertical="center" wrapText="1"/>
    </xf>
    <xf borderId="0" fillId="0" fontId="1" numFmtId="174" xfId="0">
      <alignment horizontal="center" vertical="center" wrapText="1"/>
    </xf>
    <xf borderId="0" fillId="0" fontId="45" numFmtId="0" xfId="0">
      <alignment horizontal="left" vertical="top" wrapText="1"/>
    </xf>
    <xf borderId="0" fillId="0" fontId="1" numFmtId="175" xfId="0">
      <alignment horizontal="center" vertical="center" wrapText="1"/>
    </xf>
    <xf borderId="0" fillId="0" fontId="26" numFmtId="174" xfId="0">
      <alignment horizontal="center" vertical="top" wrapText="1"/>
    </xf>
    <xf borderId="0" fillId="0" fontId="26" numFmtId="0" xfId="0">
      <alignment horizontal="center" vertical="top" wrapText="1"/>
    </xf>
    <xf borderId="0" fillId="0" fontId="27" numFmtId="0" xfId="0">
      <alignment horizontal="center" vertical="top" wrapText="1"/>
    </xf>
    <xf borderId="0" fillId="0" fontId="28" numFmtId="0" xfId="0">
      <alignment horizontal="center" vertical="top" wrapText="1"/>
    </xf>
    <xf borderId="0" fillId="0" fontId="26" numFmtId="175" xfId="0">
      <alignment horizontal="center" vertical="top" wrapText="1"/>
    </xf>
    <xf borderId="0" fillId="0" fontId="25" numFmtId="169" xfId="0">
      <alignment horizontal="center" vertical="top" wrapText="1"/>
    </xf>
    <xf borderId="0" fillId="0" fontId="1" numFmtId="174" xfId="0">
      <alignment horizontal="center" vertical="top" wrapText="1"/>
    </xf>
    <xf borderId="0" fillId="0" fontId="1" numFmtId="0" xfId="0">
      <alignment vertical="top" wrapText="1"/>
    </xf>
    <xf borderId="0" fillId="0" fontId="46" numFmtId="0" xfId="0">
      <alignment horizontal="center" vertical="center" wrapText="1"/>
    </xf>
    <xf borderId="5" fillId="0" fontId="1" numFmtId="0" xfId="0">
      <alignment horizontal="center" vertical="center" wrapText="1"/>
    </xf>
    <xf borderId="6" fillId="0" fontId="1" numFmtId="0" xfId="0">
      <alignment horizontal="center" vertical="center" wrapText="1"/>
    </xf>
    <xf borderId="7" fillId="0" fontId="1" numFmtId="0" xfId="0">
      <alignment horizontal="center" vertical="center" wrapText="1"/>
    </xf>
    <xf borderId="6" fillId="10" fontId="16" numFmtId="0" xfId="0">
      <alignment horizontal="center" vertical="center" wrapText="1"/>
    </xf>
    <xf borderId="5" fillId="0" fontId="16" numFmtId="0" xfId="0">
      <alignment horizontal="center" vertical="center" wrapText="1"/>
    </xf>
    <xf borderId="5" fillId="0" fontId="16" numFmtId="9" xfId="0">
      <alignment horizontal="center" vertical="center" wrapText="1"/>
    </xf>
    <xf borderId="8" fillId="0" fontId="1" numFmtId="0" xfId="0">
      <alignment vertical="top" wrapText="1"/>
    </xf>
    <xf borderId="7" fillId="0" fontId="1" numFmtId="0" xfId="0">
      <alignment vertical="top" wrapText="1"/>
    </xf>
    <xf borderId="6" fillId="0" fontId="1" numFmtId="167" xfId="0">
      <alignment horizontal="center" vertical="center" wrapText="1"/>
    </xf>
    <xf borderId="8" fillId="0" fontId="1" numFmtId="0" xfId="0">
      <alignment horizontal="center" vertical="center" wrapText="1"/>
    </xf>
    <xf borderId="9" fillId="0" fontId="1" numFmtId="0" xfId="0">
      <alignment horizontal="center" vertical="center" wrapText="1"/>
    </xf>
    <xf borderId="6" fillId="0" fontId="22" numFmtId="0" xfId="0">
      <alignment horizontal="center" vertical="center" wrapText="1"/>
    </xf>
    <xf borderId="6" fillId="0" fontId="1" numFmtId="168" xfId="0">
      <alignment horizontal="center" vertical="center" wrapText="1"/>
    </xf>
    <xf borderId="10" fillId="0" fontId="1" numFmtId="0" xfId="0">
      <alignment horizontal="center" vertical="center" wrapText="1"/>
    </xf>
    <xf borderId="5" fillId="0" fontId="24" numFmtId="0" xfId="0">
      <alignment horizontal="center" vertical="center" wrapText="1"/>
    </xf>
    <xf borderId="6" fillId="0" fontId="47" numFmtId="0" xfId="0">
      <alignment horizontal="center" vertical="center" wrapText="1"/>
    </xf>
    <xf borderId="6" fillId="0" fontId="1" numFmtId="166" xfId="0">
      <alignment horizontal="center" vertical="center" wrapText="1"/>
    </xf>
    <xf borderId="11" fillId="0" fontId="1" numFmtId="0" xfId="0">
      <alignment horizontal="center" vertical="center" wrapText="1"/>
    </xf>
    <xf borderId="12" fillId="0" fontId="24" numFmtId="0" xfId="0">
      <alignment horizontal="center" vertical="center" wrapText="1"/>
    </xf>
    <xf borderId="13" fillId="0" fontId="1" numFmtId="0" xfId="0">
      <alignment horizontal="center" vertical="center" wrapText="1"/>
    </xf>
    <xf borderId="9" fillId="0" fontId="22" numFmtId="0" xfId="0">
      <alignment horizontal="center" vertical="center" wrapText="1"/>
    </xf>
    <xf borderId="14" fillId="0" fontId="1" numFmtId="0" xfId="0">
      <alignment horizontal="center" vertical="center" wrapText="1"/>
    </xf>
    <xf borderId="15" fillId="0" fontId="1" numFmtId="0" xfId="0">
      <alignment horizontal="center" vertical="center" wrapText="1"/>
    </xf>
    <xf borderId="11" fillId="0" fontId="22" numFmtId="0" xfId="0">
      <alignment horizontal="center" vertical="center" wrapText="1"/>
    </xf>
    <xf borderId="10" fillId="0" fontId="1" numFmtId="0" xfId="0">
      <alignment vertical="top" wrapText="1"/>
    </xf>
    <xf borderId="8" fillId="0" fontId="22" numFmtId="0" xfId="0">
      <alignment horizontal="center" vertical="center" wrapText="1"/>
    </xf>
    <xf borderId="11" fillId="0" fontId="1" numFmtId="0" xfId="0">
      <alignment vertical="top" wrapText="1"/>
    </xf>
    <xf borderId="6" fillId="0" fontId="48" numFmtId="0" xfId="0">
      <alignment horizontal="center" vertical="center" wrapText="1"/>
    </xf>
    <xf borderId="0" fillId="0" fontId="16" numFmtId="0" xfId="0">
      <alignment horizontal="center" vertical="center" wrapText="1"/>
    </xf>
    <xf borderId="5" fillId="0" fontId="48" numFmtId="0" xfId="0">
      <alignment horizontal="center" vertical="center" wrapText="1"/>
    </xf>
    <xf borderId="6" fillId="0" fontId="1" numFmtId="0" xfId="0">
      <alignment horizontal="center" vertical="top" wrapText="1"/>
    </xf>
    <xf borderId="6" fillId="0" fontId="1" numFmtId="176" xfId="0">
      <alignment horizontal="center" vertical="center" wrapText="1"/>
    </xf>
    <xf borderId="6" fillId="0" fontId="16" numFmtId="0" xfId="0">
      <alignment horizontal="center" vertical="center" wrapText="1"/>
    </xf>
    <xf borderId="6" fillId="0" fontId="49" numFmtId="0" xfId="0">
      <alignment horizontal="center" vertical="center" wrapText="1"/>
    </xf>
    <xf borderId="6" fillId="0" fontId="50" numFmtId="0" xfId="0">
      <alignment horizontal="center" vertical="center" wrapText="1"/>
    </xf>
    <xf borderId="6" fillId="0" fontId="49" numFmtId="0" xfId="0">
      <alignment horizontal="center" vertical="top" wrapText="1"/>
    </xf>
    <xf borderId="6" fillId="0" fontId="50" numFmtId="0" xfId="0">
      <alignment horizontal="center" vertical="top" wrapText="1"/>
    </xf>
    <xf borderId="12" fillId="0" fontId="1" numFmtId="0" xfId="0">
      <alignment horizontal="center" vertical="center" wrapText="1"/>
    </xf>
    <xf borderId="6" fillId="0" fontId="51" numFmtId="0" xfId="0">
      <alignment horizontal="center" vertical="center" wrapText="1"/>
    </xf>
    <xf borderId="11" fillId="0" fontId="1" numFmtId="0" xfId="0">
      <alignment horizontal="center" vertical="top" wrapText="1"/>
    </xf>
    <xf borderId="6" fillId="0" fontId="16" numFmtId="9" xfId="0">
      <alignment horizontal="center" vertical="center" wrapText="1"/>
    </xf>
    <xf borderId="6" fillId="16" fontId="16" numFmtId="0" xfId="0">
      <alignment horizontal="center" vertical="center" wrapText="1"/>
    </xf>
    <xf borderId="6" fillId="17" fontId="16" numFmtId="0" xfId="0">
      <alignment horizontal="center" vertical="center" wrapText="1"/>
    </xf>
    <xf borderId="0" fillId="0" fontId="0" numFmtId="0" xfId="0">
      <alignment vertical="top" wrapText="1"/>
    </xf>
    <xf borderId="0" fillId="0" fontId="47" numFmtId="0" xfId="0">
      <alignment horizontal="center" vertical="center" wrapText="1"/>
    </xf>
    <xf borderId="0" fillId="0" fontId="1" numFmtId="177" xfId="0">
      <alignment horizontal="center" vertical="center" wrapText="1"/>
    </xf>
    <xf borderId="0" fillId="0" fontId="52" numFmtId="0" xfId="0">
      <alignment horizontal="center" vertical="center" wrapText="1"/>
    </xf>
    <xf borderId="6" fillId="0" fontId="52" numFmtId="0" xfId="0">
      <alignment horizontal="center" vertical="center" wrapText="1"/>
    </xf>
    <xf borderId="0" fillId="11" fontId="53" numFmtId="0" xfId="0">
      <alignment horizontal="center" vertical="center" wrapText="1"/>
    </xf>
    <xf borderId="0" fillId="11" fontId="1" numFmtId="0" xfId="0">
      <alignment horizontal="center" vertical="center" wrapText="1"/>
    </xf>
    <xf borderId="0" fillId="0" fontId="54" numFmtId="0" xfId="0">
      <alignment horizontal="center" vertical="center" wrapText="1"/>
    </xf>
    <xf borderId="0" fillId="0" fontId="22" numFmtId="0" xfId="0">
      <alignment horizontal="center" vertical="center"/>
    </xf>
    <xf borderId="0" fillId="0" fontId="1" numFmtId="178" xfId="0">
      <alignment vertical="top"/>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worksheets/sheet9.xml" Id="rId9" Type="http://schemas.openxmlformats.org/officeDocument/2006/relationships/worksheet"/><Relationship Target="worksheets/sheet10.xml" Id="rId10" Type="http://schemas.openxmlformats.org/officeDocument/2006/relationships/worksheet"/><Relationship Target="worksheets/sheet11.xml" Id="rId11" Type="http://schemas.openxmlformats.org/officeDocument/2006/relationships/worksheet"/><Relationship Target="worksheets/sheet12.xml" Id="rId12" Type="http://schemas.openxmlformats.org/officeDocument/2006/relationships/worksheet"/><Relationship Target="worksheets/sheet13.xml" Id="rId13" Type="http://schemas.openxmlformats.org/officeDocument/2006/relationships/worksheet"/><Relationship Target="worksheets/sheet14.xml" Id="rId14" Type="http://schemas.openxmlformats.org/officeDocument/2006/relationships/worksheet"/><Relationship Target="worksheets/sheet15.xml" Id="rId15" Type="http://schemas.openxmlformats.org/officeDocument/2006/relationships/worksheet"/><Relationship Target="worksheets/sheet16.xml" Id="rId16" Type="http://schemas.openxmlformats.org/officeDocument/2006/relationships/worksheet"/><Relationship Target="worksheets/sheet17.xml" Id="rId17" Type="http://schemas.openxmlformats.org/officeDocument/2006/relationships/worksheet"/><Relationship Target="worksheets/sheet18.xml" Id="rId18" Type="http://schemas.openxmlformats.org/officeDocument/2006/relationships/worksheet"/><Relationship Target="sharedStrings.xml" Id="rId19" Type="http://schemas.openxmlformats.org/officeDocument/2006/relationships/sharedStrings"/><Relationship Target="styles.xml" Id="rId20" Type="http://schemas.openxmlformats.org/officeDocument/2006/relationships/styles"/></Relationships>
</file>

<file path=xl/charts/chart1.xml><?xml version="1.0" encoding="utf-8"?>
<c:chartSpace xmlns:a="http://schemas.openxmlformats.org/drawingml/2006/main" xmlns:c="http://schemas.openxmlformats.org/drawingml/2006/chart">
  <c:chart>
    <c:title>
      <c:tx>
        <c:rich>
          <a:bodyPr/>
          <a:lstStyle/>
          <a:p>
            <a:r>
              <a:t>DEAL WON vs DEAL LOST vs IN PROGRESS</a:t>
            </a:r>
          </a:p>
        </c:rich>
      </c:tx>
    </c:title>
    <c:plotArea>
      <c:barChart>
        <c:barDir val="col"/>
        <c:varyColors val="0"/>
        <c:ser>
          <c:idx val="0"/>
          <c:order val="0"/>
          <c:tx>
            <c:strRef>
              <c:f>'Deals Won (Live update)'!$C$10</c:f>
            </c:strRef>
          </c:tx>
          <c:invertIfNegative val="0"/>
          <c:dLbls>
            <c:showLegendKey val="0"/>
            <c:showVal val="true"/>
            <c:showCatName val="false"/>
            <c:showSerName val="false"/>
            <c:showPercent val="false"/>
            <c:showBubbleSize val="0"/>
          </c:dLbls>
          <c:cat>
            <c:strRef>
              <c:f>'Deals Won (Live update)'!$A$11:$A$22</c:f>
            </c:strRef>
          </c:cat>
          <c:val>
            <c:numRef>
              <c:f>'Deals Won (Live update)'!$C$11:$C$22</c:f>
              <c:numCache/>
            </c:numRef>
          </c:val>
        </c:ser>
        <c:ser>
          <c:idx val="1"/>
          <c:order val="1"/>
          <c:tx>
            <c:strRef>
              <c:f>'Deals Won (Live update)'!$D$10</c:f>
            </c:strRef>
          </c:tx>
          <c:invertIfNegative val="0"/>
          <c:dLbls>
            <c:showLegendKey val="0"/>
            <c:showVal val="true"/>
            <c:showCatName val="false"/>
            <c:showSerName val="false"/>
            <c:showPercent val="false"/>
            <c:showBubbleSize val="0"/>
          </c:dLbls>
          <c:cat>
            <c:strRef>
              <c:f>'Deals Won (Live update)'!$A$11:$A$22</c:f>
            </c:strRef>
          </c:cat>
          <c:val>
            <c:numRef>
              <c:f>'Deals Won (Live update)'!$D$11:$D$22</c:f>
              <c:numCache/>
            </c:numRef>
          </c:val>
        </c:ser>
        <c:ser>
          <c:idx val="2"/>
          <c:order val="2"/>
          <c:tx>
            <c:strRef>
              <c:f>'Deals Won (Live update)'!$E$10</c:f>
            </c:strRef>
          </c:tx>
          <c:invertIfNegative val="0"/>
          <c:dLbls>
            <c:showLegendKey val="0"/>
            <c:showVal val="true"/>
            <c:showCatName val="false"/>
            <c:showSerName val="false"/>
            <c:showPercent val="false"/>
            <c:showBubbleSize val="0"/>
          </c:dLbls>
          <c:cat>
            <c:strRef>
              <c:f>'Deals Won (Live update)'!$A$11:$A$22</c:f>
            </c:strRef>
          </c:cat>
          <c:val>
            <c:numRef>
              <c:f>'Deals Won (Live update)'!$E$11:$E$22</c:f>
              <c:numCache/>
            </c:numRef>
          </c:val>
        </c:ser>
        <c:axId val="87913462"/>
        <c:axId val="497128641"/>
      </c:barChart>
      <c:catAx>
        <c:axId val="87913462"/>
        <c:scaling>
          <c:orientation val="minMax"/>
        </c:scaling>
        <c:delete val="0"/>
        <c:axPos val="b"/>
        <c:majorTickMark val="none"/>
        <c:minorTickMark val="none"/>
        <c:spPr/>
        <c:crossAx val="497128641"/>
      </c:catAx>
      <c:valAx>
        <c:axId val="497128641"/>
        <c:scaling>
          <c:orientation val="minMax"/>
        </c:scaling>
        <c:delete val="0"/>
        <c:axPos val="l"/>
        <c:majorGridlines>
          <c:spPr>
            <a:ln/>
          </c:spPr>
        </c:majorGridlines>
        <c:minorGridlines>
          <c:spPr>
            <a:ln/>
          </c:spPr>
        </c:minorGridlines>
        <c:majorTickMark val="none"/>
        <c:minorTickMark val="none"/>
        <c:tickLblPos val="nextTo"/>
        <c:spPr>
          <a:ln/>
        </c:spPr>
        <c:crossAx val="87913462"/>
      </c:valAx>
    </c:plotArea>
    <c:legend>
      <c:legendPos val="t"/>
      <c:overlay val="0"/>
    </c:legend>
    <c:plotVisOnly val="1"/>
    <c:dispBlanksAs val="gap"/>
  </c:chart>
</c:chartSpace>
</file>

<file path=xl/charts/chart2.xml><?xml version="1.0" encoding="utf-8"?>
<c:chartSpace xmlns:a="http://schemas.openxmlformats.org/drawingml/2006/main" xmlns:c="http://schemas.openxmlformats.org/drawingml/2006/chart">
  <c:chart>
    <c:title>
      <c:tx>
        <c:rich>
          <a:bodyPr/>
          <a:lstStyle/>
          <a:p>
            <a:r>
              <a:t>DEAL WON BY REGION</a:t>
            </a:r>
          </a:p>
        </c:rich>
      </c:tx>
    </c:title>
    <c:plotArea>
      <c:pieChart>
        <c:ser>
          <c:idx val="0"/>
          <c:order val="0"/>
          <c:tx>
            <c:strRef>
              <c:f>'Deals Won (Live update)'!$C$45</c:f>
            </c:strRef>
          </c:tx>
          <c:dLbls>
            <c:showLegendKey val="0"/>
            <c:showVal val="true"/>
            <c:showCatName val="false"/>
            <c:showSerName val="false"/>
            <c:showPercent val="false"/>
            <c:showBubbleSize val="0"/>
          </c:dLbls>
          <c:cat>
            <c:strRef>
              <c:f>'Deals Won (Live update)'!$B$46:$B$52</c:f>
            </c:strRef>
          </c:cat>
          <c:val>
            <c:numRef>
              <c:f>'Deals Won (Live update)'!$C$46:$C$52</c:f>
              <c:numCache/>
            </c:numRef>
          </c:val>
        </c:ser>
      </c:pieChart>
    </c:plotArea>
    <c:plotVisOnly val="1"/>
    <c:dispBlanksAs val="gap"/>
  </c:chart>
</c:chartSpace>
</file>

<file path=xl/charts/chart3.xml><?xml version="1.0" encoding="utf-8"?>
<c:chartSpace xmlns:a="http://schemas.openxmlformats.org/drawingml/2006/main" xmlns:c="http://schemas.openxmlformats.org/drawingml/2006/chart">
  <c:chart>
    <c:title>
      <c:tx>
        <c:rich>
          <a:bodyPr/>
          <a:lstStyle/>
          <a:p>
            <a:r>
              <a:t>PROSPECTS vs NON-PROSPECTS</a:t>
            </a:r>
          </a:p>
        </c:rich>
      </c:tx>
    </c:title>
    <c:plotArea>
      <c:barChart>
        <c:barDir val="bar"/>
        <c:varyColors val="0"/>
        <c:ser>
          <c:idx val="0"/>
          <c:order val="0"/>
          <c:tx>
            <c:strRef>
              <c:f>'Deals Won (Live update)'!$AB$11</c:f>
            </c:strRef>
          </c:tx>
          <c:invertIfNegative val="0"/>
          <c:dLbls>
            <c:showLegendKey val="0"/>
            <c:showVal val="true"/>
            <c:showCatName val="false"/>
            <c:showSerName val="false"/>
            <c:showPercent val="false"/>
            <c:showBubbleSize val="0"/>
          </c:dLbls>
          <c:cat>
            <c:strRef>
              <c:f>'Deals Won (Live update)'!$AA$12:$AA$23</c:f>
            </c:strRef>
          </c:cat>
          <c:val>
            <c:numRef>
              <c:f>'Deals Won (Live update)'!$AB$12:$AB$23</c:f>
              <c:numCache/>
            </c:numRef>
          </c:val>
        </c:ser>
        <c:ser>
          <c:idx val="1"/>
          <c:order val="1"/>
          <c:tx>
            <c:strRef>
              <c:f>'Deals Won (Live update)'!$AC$11</c:f>
            </c:strRef>
          </c:tx>
          <c:invertIfNegative val="0"/>
          <c:dLbls>
            <c:showLegendKey val="0"/>
            <c:showVal val="true"/>
            <c:showCatName val="false"/>
            <c:showSerName val="false"/>
            <c:showPercent val="false"/>
            <c:showBubbleSize val="0"/>
          </c:dLbls>
          <c:cat>
            <c:strRef>
              <c:f>'Deals Won (Live update)'!$AA$12:$AA$23</c:f>
            </c:strRef>
          </c:cat>
          <c:val>
            <c:numRef>
              <c:f>'Deals Won (Live update)'!$AC$12:$AC$23</c:f>
              <c:numCache/>
            </c:numRef>
          </c:val>
        </c:ser>
        <c:axId val="589246973"/>
        <c:axId val="410806260"/>
      </c:barChart>
      <c:catAx>
        <c:axId val="589246973"/>
        <c:scaling>
          <c:orientation val="minMax"/>
        </c:scaling>
        <c:delete val="0"/>
        <c:axPos val="b"/>
        <c:majorTickMark val="none"/>
        <c:minorTickMark val="none"/>
        <c:spPr/>
        <c:crossAx val="410806260"/>
      </c:catAx>
      <c:valAx>
        <c:axId val="410806260"/>
        <c:scaling>
          <c:orientation val="minMax"/>
        </c:scaling>
        <c:delete val="0"/>
        <c:axPos val="l"/>
        <c:majorGridlines>
          <c:spPr>
            <a:ln/>
          </c:spPr>
        </c:majorGridlines>
        <c:minorGridlines>
          <c:spPr>
            <a:ln/>
          </c:spPr>
        </c:minorGridlines>
        <c:majorTickMark val="none"/>
        <c:minorTickMark val="none"/>
        <c:tickLblPos val="nextTo"/>
        <c:spPr>
          <a:ln/>
        </c:spPr>
        <c:crossAx val="589246973"/>
      </c:valAx>
    </c:plotArea>
    <c:legend>
      <c:legendPos val="t"/>
      <c:overlay val="0"/>
    </c:legend>
    <c:plotVisOnly val="1"/>
    <c:dispBlanksAs val="gap"/>
  </c:chart>
</c:chartSpace>
</file>

<file path=xl/charts/chart4.xml><?xml version="1.0" encoding="utf-8"?>
<c:chartSpace xmlns:a="http://schemas.openxmlformats.org/drawingml/2006/main" xmlns:c="http://schemas.openxmlformats.org/drawingml/2006/chart">
  <c:chart>
    <c:title>
      <c:tx>
        <c:rich>
          <a:bodyPr/>
          <a:lstStyle/>
          <a:p>
            <a:r>
              <a:t>April Deal Won/Lost</a:t>
            </a:r>
          </a:p>
        </c:rich>
      </c:tx>
    </c:title>
    <c:plotArea>
      <c:barChart>
        <c:barDir val="col"/>
        <c:varyColors val="0"/>
        <c:ser>
          <c:idx val="0"/>
          <c:order val="0"/>
          <c:invertIfNegative val="0"/>
          <c:cat>
            <c:strRef>
              <c:f>'Demo Report'!$F$6:$G$6</c:f>
            </c:strRef>
          </c:cat>
          <c:val>
            <c:numRef>
              <c:f>'Demo Report'!$F$7:$G$7</c:f>
              <c:numCache/>
            </c:numRef>
          </c:val>
        </c:ser>
        <c:ser>
          <c:idx val="1"/>
          <c:order val="1"/>
          <c:invertIfNegative val="0"/>
          <c:cat>
            <c:strRef>
              <c:f>'Demo Report'!$F$6:$G$6</c:f>
            </c:strRef>
          </c:cat>
          <c:val>
            <c:numRef>
              <c:f>'Demo Report'!$F$11:$H$11</c:f>
              <c:numCache/>
            </c:numRef>
          </c:val>
        </c:ser>
        <c:axId val="999035688"/>
        <c:axId val="982992227"/>
      </c:barChart>
      <c:catAx>
        <c:axId val="999035688"/>
        <c:scaling>
          <c:orientation val="minMax"/>
        </c:scaling>
        <c:delete val="0"/>
        <c:axPos val="b"/>
        <c:majorTickMark val="none"/>
        <c:minorTickMark val="none"/>
        <c:spPr/>
        <c:crossAx val="982992227"/>
      </c:catAx>
      <c:valAx>
        <c:axId val="982992227"/>
        <c:scaling>
          <c:orientation val="minMax"/>
        </c:scaling>
        <c:delete val="0"/>
        <c:axPos val="l"/>
        <c:majorGridlines>
          <c:spPr>
            <a:ln/>
          </c:spPr>
        </c:majorGridlines>
        <c:minorGridlines>
          <c:spPr>
            <a:ln/>
          </c:spPr>
        </c:minorGridlines>
        <c:majorTickMark val="none"/>
        <c:minorTickMark val="none"/>
        <c:tickLblPos val="nextTo"/>
        <c:spPr>
          <a:ln/>
        </c:spPr>
        <c:crossAx val="999035688"/>
      </c:valAx>
    </c:plotArea>
    <c:legend>
      <c:legendPos val="t"/>
      <c:overlay val="0"/>
    </c:legend>
    <c:plotVisOnly val="1"/>
    <c:dispBlanksAs val="gap"/>
  </c:chart>
</c:chartSpace>
</file>

<file path=xl/charts/chart5.xml><?xml version="1.0" encoding="utf-8"?>
<c:chartSpace xmlns:a="http://schemas.openxmlformats.org/drawingml/2006/main" xmlns:c="http://schemas.openxmlformats.org/drawingml/2006/chart">
  <c:chart>
    <c:title>
      <c:tx>
        <c:rich>
          <a:bodyPr/>
          <a:lstStyle/>
          <a:p>
            <a:r>
              <a:t>Deal Size Distribution</a:t>
            </a:r>
          </a:p>
        </c:rich>
      </c:tx>
    </c:title>
    <c:plotArea>
      <c:barChart>
        <c:barDir val="col"/>
        <c:varyColors val="0"/>
        <c:ser>
          <c:idx val="0"/>
          <c:order val="0"/>
          <c:invertIfNegative val="0"/>
          <c:dLbls>
            <c:showLegendKey val="0"/>
            <c:showVal val="true"/>
            <c:showCatName val="false"/>
            <c:showSerName val="false"/>
            <c:showPercent val="false"/>
            <c:showBubbleSize val="0"/>
          </c:dLbls>
          <c:cat>
            <c:strRef>
              <c:f>'Demo Report'!$C$28:$J$28</c:f>
            </c:strRef>
          </c:cat>
          <c:val>
            <c:numRef>
              <c:f>'Demo Report'!$C$32:$J$32</c:f>
              <c:numCache/>
            </c:numRef>
          </c:val>
        </c:ser>
        <c:axId val="269227983"/>
        <c:axId val="405680981"/>
      </c:barChart>
      <c:catAx>
        <c:axId val="269227983"/>
        <c:scaling>
          <c:orientation val="minMax"/>
        </c:scaling>
        <c:delete val="0"/>
        <c:axPos val="b"/>
        <c:majorTickMark val="none"/>
        <c:minorTickMark val="none"/>
        <c:spPr/>
        <c:crossAx val="405680981"/>
      </c:catAx>
      <c:valAx>
        <c:axId val="405680981"/>
        <c:scaling>
          <c:orientation val="minMax"/>
        </c:scaling>
        <c:delete val="0"/>
        <c:axPos val="l"/>
        <c:majorGridlines>
          <c:spPr>
            <a:ln/>
          </c:spPr>
        </c:majorGridlines>
        <c:minorGridlines>
          <c:spPr>
            <a:ln/>
          </c:spPr>
        </c:minorGridlines>
        <c:majorTickMark val="none"/>
        <c:minorTickMark val="none"/>
        <c:tickLblPos val="nextTo"/>
        <c:spPr>
          <a:ln/>
        </c:spPr>
        <c:crossAx val="269227983"/>
      </c:valAx>
    </c:plotArea>
    <c:plotVisOnly val="1"/>
    <c:dispBlanksAs val="gap"/>
  </c:chart>
</c:chartSpace>
</file>

<file path=xl/drawings/_rels/drawing1.xml.rels><?xml version="1.0" encoding="UTF-8" standalone="yes"?><Relationships xmlns="http://schemas.openxmlformats.org/package/2006/relationships"><Relationship Target="../charts/chart1.xml" Id="rId1" Type="http://schemas.openxmlformats.org/officeDocument/2006/relationships/chart"/><Relationship Target="../charts/chart2.xml" Id="rId2" Type="http://schemas.openxmlformats.org/officeDocument/2006/relationships/chart"/><Relationship Target="../charts/chart3.xml" Id="rId3" Type="http://schemas.openxmlformats.org/officeDocument/2006/relationships/chart"/></Relationships>
</file>

<file path=xl/drawings/_rels/drawing2.xml.rels><?xml version="1.0" encoding="UTF-8" standalone="yes"?><Relationships xmlns="http://schemas.openxmlformats.org/package/2006/relationships"><Relationship Target="../charts/chart4.xml" Id="rId1" Type="http://schemas.openxmlformats.org/officeDocument/2006/relationships/chart"/><Relationship Target="../charts/chart5.xml" Id="rId2" Type="http://schemas.openxmlformats.org/officeDocument/2006/relationships/chart"/></Relationships>
</file>

<file path=xl/drawings/drawing1.xml><?xml version="1.0" encoding="utf-8"?>
<xdr:wsDr xmlns:xdr="http://schemas.openxmlformats.org/drawingml/2006/spreadsheetDrawing" xmlns:r="http://schemas.openxmlformats.org/officeDocument/2006/relationships" xmlns:a="http://schemas.openxmlformats.org/drawingml/2006/main" xmlns:c="http://schemas.openxmlformats.org/drawingml/2006/chart" xmlns:mc="http://schemas.openxmlformats.org/markup-compatibility/2006">
  <xdr:oneCellAnchor>
    <xdr:from>
      <xdr:col>6</xdr:col>
      <xdr:colOff>645411</xdr:colOff>
      <xdr:row>8</xdr:row>
      <xdr:rowOff>18288</xdr:rowOff>
    </xdr:from>
    <xdr:ext cx="5413248" cy="3708400"/>
    <xdr:graphicFrame>
      <xdr:nvGraphicFramePr>
        <xdr:cNvPr id="0" name="image1"/>
        <xdr:cNvGraphicFramePr/>
      </xdr:nvGraphicFramePr>
      <xdr:xfrm>
        <a:off x="0" y="0"/>
        <a:ext cx="0" cy="0"/>
      </xdr:xfrm>
      <a:graphic>
        <a:graphicData uri="http://schemas.openxmlformats.org/drawingml/2006/chart">
          <c:chart r:id="rId1"/>
        </a:graphicData>
      </a:graphic>
    </xdr:graphicFrame>
    <xdr:clientData/>
  </xdr:oneCellAnchor>
  <xdr:oneCellAnchor>
    <xdr:from>
      <xdr:col>6</xdr:col>
      <xdr:colOff>650240</xdr:colOff>
      <xdr:row>42</xdr:row>
      <xdr:rowOff>146304</xdr:rowOff>
    </xdr:from>
    <xdr:ext cx="4809744" cy="3302000"/>
    <xdr:graphicFrame>
      <xdr:nvGraphicFramePr>
        <xdr:cNvPr id="1" name="image1"/>
        <xdr:cNvGraphicFramePr/>
      </xdr:nvGraphicFramePr>
      <xdr:xfrm>
        <a:off x="0" y="0"/>
        <a:ext cx="0" cy="0"/>
      </xdr:xfrm>
      <a:graphic>
        <a:graphicData uri="http://schemas.openxmlformats.org/drawingml/2006/chart">
          <c:chart r:id="rId2"/>
        </a:graphicData>
      </a:graphic>
    </xdr:graphicFrame>
    <xdr:clientData/>
  </xdr:oneCellAnchor>
  <xdr:oneCellAnchor>
    <xdr:from>
      <xdr:col>6</xdr:col>
      <xdr:colOff>650240</xdr:colOff>
      <xdr:row>25</xdr:row>
      <xdr:rowOff>9144</xdr:rowOff>
    </xdr:from>
    <xdr:ext cx="5413248" cy="3718560"/>
    <xdr:graphicFrame>
      <xdr:nvGraphicFramePr>
        <xdr:cNvPr id="2" name="image1"/>
        <xdr:cNvGraphicFramePr/>
      </xdr:nvGraphicFramePr>
      <xdr:xfrm>
        <a:off x="0" y="0"/>
        <a:ext cx="0" cy="0"/>
      </xdr:xfrm>
      <a:graphic>
        <a:graphicData uri="http://schemas.openxmlformats.org/drawingml/2006/chart">
          <c:chart r:id="rId3"/>
        </a:graphicData>
      </a:graphic>
    </xdr:graphicFrame>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mlns:c="http://schemas.openxmlformats.org/drawingml/2006/chart" xmlns:mc="http://schemas.openxmlformats.org/markup-compatibility/2006">
  <xdr:oneCellAnchor>
    <xdr:from>
      <xdr:col>11</xdr:col>
      <xdr:colOff>858776</xdr:colOff>
      <xdr:row>6</xdr:row>
      <xdr:rowOff>177892</xdr:rowOff>
    </xdr:from>
    <xdr:ext cx="4553527" cy="3119838"/>
    <xdr:graphicFrame>
      <xdr:nvGraphicFramePr>
        <xdr:cNvPr id="0" name="image1"/>
        <xdr:cNvGraphicFramePr/>
      </xdr:nvGraphicFramePr>
      <xdr:xfrm>
        <a:off x="0" y="0"/>
        <a:ext cx="0" cy="0"/>
      </xdr:xfrm>
      <a:graphic>
        <a:graphicData uri="http://schemas.openxmlformats.org/drawingml/2006/chart">
          <c:chart r:id="rId1"/>
        </a:graphicData>
      </a:graphic>
    </xdr:graphicFrame>
    <xdr:clientData/>
  </xdr:oneCellAnchor>
  <xdr:oneCellAnchor>
    <xdr:from>
      <xdr:col>11</xdr:col>
      <xdr:colOff>1036320</xdr:colOff>
      <xdr:row>27</xdr:row>
      <xdr:rowOff>64008</xdr:rowOff>
    </xdr:from>
    <xdr:ext cx="4553712" cy="3048000"/>
    <xdr:graphicFrame>
      <xdr:nvGraphicFramePr>
        <xdr:cNvPr id="1" name="image1"/>
        <xdr:cNvGraphicFramePr/>
      </xdr:nvGraphicFramePr>
      <xdr:xfrm>
        <a:off x="0" y="0"/>
        <a:ext cx="0" cy="0"/>
      </xdr:xfrm>
      <a:graphic>
        <a:graphicData uri="http://schemas.openxmlformats.org/drawingml/2006/chart">
          <c:chart r:id="rId2"/>
        </a:graphicData>
      </a:graphic>
    </xdr:graphicFrame>
    <xdr:clientData/>
  </xdr:oneCellAnchor>
</xdr:wsDr>
</file>

<file path=xl/drawings/vmlDrawing1.xml><?xml version="1.0" encoding="utf-8"?>
<xml xmlns:v="urn:schemas-microsoft-com:vml" xmlns:o="urn:schemas-microsoft-com:office:office" xmlns:x="urn:schemas-microsoft-com:office:excel" xmlns:w10="urn:schemas-microsoft-com:office:word">
  <v:shapetype id="_x005F_x0000_t202" coordsize="21600,21600" o:spt="202" path="m,l,21600l21600,21600l21600,xe">
    <v:stroke joinstyle="miter"/>
    <v:path gradientshapeok="t" o:connecttype="rect"/>
  </v:shapetype>
  <v:shape id="shape_1" fillcolor="#ffffc0" stroked="t" type="_x005F_x0000_t202" style="position:absolute;margin-left:97pt;margin-top:0pt;width:82.15pt;height:17.3pt;visibility:hidden">
    <v:shadow on="t" obscured="t" color="black"/>
    <w10:wrap type="none"/>
    <v:fill o:detectmouseclick="t" type="solid" color2="#00003f"/>
    <v:stroke color="#3465a4" startarrow="block" startarrowwidth="medium" startarrowlength="medium" joinstyle="round" endcap="flat"/>
    <x:ClientData ObjectType="Note">
      <x:MoveWithCells/>
      <x:SizeWithCells/>
      <x:Anchor>0, 0, 0, 0, 3, 0, 10, 0</x:Anchor>
      <x:AutoFill>False</x:AutoFill>
      <x:Row>5</x:Row>
      <x:Column>4</x:Column>
    </x:ClientData>
  </v:shape>
  <v:shape id="shape_2" fillcolor="#ffffc0" stroked="t" type="_x005F_x0000_t202" style="position:absolute;margin-left:97pt;margin-top:0pt;width:82.15pt;height:17.3pt;visibility:hidden">
    <v:shadow on="t" obscured="t" color="black"/>
    <w10:wrap type="none"/>
    <v:fill o:detectmouseclick="t" type="solid" color2="#00003f"/>
    <v:stroke color="#3465a4" startarrow="block" startarrowwidth="medium" startarrowlength="medium" joinstyle="round" endcap="flat"/>
    <x:ClientData ObjectType="Note">
      <x:MoveWithCells/>
      <x:SizeWithCells/>
      <x:Anchor>0, 0, 0, 0, 3, 0, 10, 0</x:Anchor>
      <x:AutoFill>False</x:AutoFill>
      <x:Row>5</x:Row>
      <x:Column>8</x:Column>
    </x:ClientData>
  </v:shape>
  <v:shape id="shape_3" fillcolor="#ffffc0" stroked="t" type="_x005F_x0000_t202" style="position:absolute;margin-left:97pt;margin-top:0pt;width:82.15pt;height:17.3pt;visibility:hidden">
    <v:shadow on="t" obscured="t" color="black"/>
    <w10:wrap type="none"/>
    <v:fill o:detectmouseclick="t" type="solid" color2="#00003f"/>
    <v:stroke color="#3465a4" startarrow="block" startarrowwidth="medium" startarrowlength="medium" joinstyle="round" endcap="flat"/>
    <x:ClientData ObjectType="Note">
      <x:MoveWithCells/>
      <x:SizeWithCells/>
      <x:Anchor>0, 0, 0, 0, 3, 0, 10, 0</x:Anchor>
      <x:AutoFill>False</x:AutoFill>
      <x:Row>5</x:Row>
      <x:Column>9</x:Column>
    </x:ClientData>
  </v:shape>
  <v:shape id="shape_4" fillcolor="#ffffc0" stroked="t" type="_x005F_x0000_t202" style="position:absolute;margin-left:97pt;margin-top:0pt;width:82.15pt;height:17.3pt;visibility:hidden">
    <v:shadow on="t" obscured="t" color="black"/>
    <w10:wrap type="none"/>
    <v:fill o:detectmouseclick="t" type="solid" color2="#00003f"/>
    <v:stroke color="#3465a4" startarrow="block" startarrowwidth="medium" startarrowlength="medium" joinstyle="round" endcap="flat"/>
    <x:ClientData ObjectType="Note">
      <x:MoveWithCells/>
      <x:SizeWithCells/>
      <x:Anchor>0, 0, 0, 0, 3, 0, 10, 0</x:Anchor>
      <x:AutoFill>False</x:AutoFill>
      <x:Row>89</x:Row>
      <x:Column>3</x:Column>
    </x:ClientData>
  </v:shape>
  <v:shape id="shape_5" fillcolor="#ffffc0" stroked="t" type="_x005F_x0000_t202" style="position:absolute;margin-left:97pt;margin-top:0pt;width:82.15pt;height:17.3pt;visibility:hidden">
    <v:shadow on="t" obscured="t" color="black"/>
    <w10:wrap type="none"/>
    <v:fill o:detectmouseclick="t" type="solid" color2="#00003f"/>
    <v:stroke color="#3465a4" startarrow="block" startarrowwidth="medium" startarrowlength="medium" joinstyle="round" endcap="flat"/>
    <x:ClientData ObjectType="Note">
      <x:MoveWithCells/>
      <x:SizeWithCells/>
      <x:Anchor>0, 0, 0, 0, 3, 0, 10, 0</x:Anchor>
      <x:AutoFill>False</x:AutoFill>
      <x:Row>150</x:Row>
      <x:Column>7</x:Column>
    </x:ClientData>
  </v:shape>
</xml>
</file>

<file path=xl/worksheets/_rels/sheet1.xml.rels><?xml version="1.0" encoding="UTF-8" standalone="yes"?><Relationships xmlns="http://schemas.openxmlformats.org/package/2006/relationships"><Relationship Target="../drawings/drawing1.xml" Id="rId1" Type="http://schemas.openxmlformats.org/officeDocument/2006/relationships/drawing"/></Relationships>
</file>

<file path=xl/worksheets/_rels/sheet2.xml.rels><?xml version="1.0" encoding="UTF-8" standalone="yes"?><Relationships xmlns="http://schemas.openxmlformats.org/package/2006/relationships"><Relationship Id="rId1" Type="http://schemas.openxmlformats.org/officeDocument/2006/relationships/hyperlink" Target="mailto:umesh.shringi@allen.in" TargetMode="External"/><Relationship Id="rId2" Type="http://schemas.openxmlformats.org/officeDocument/2006/relationships/hyperlink" Target="https://crmplus.zoho.in/zohocorppace/index.do/cxapp/agent/zohocorp/zoho-workdrive-presales/requests/details/205219031326187505" TargetMode="External"/><Relationship Id="rId3" Type="http://schemas.openxmlformats.org/officeDocument/2006/relationships/hyperlink" Target="https://workdrive.zoho.com/file/10hhv43826d6dce7c40b7a6baded14b282efe" TargetMode="External"/><Relationship Id="rId4" Type="http://schemas.openxmlformats.org/officeDocument/2006/relationships/hyperlink" Target="mailto:itsupport@kurumgroup.com" TargetMode="External"/><Relationship Id="rId5" Type="http://schemas.openxmlformats.org/officeDocument/2006/relationships/hyperlink" Target="https://crmplus.zoho.in/agent/zohocorp/zoho-workdrive-presales/requests/details/205219029858538958" TargetMode="External"/><Relationship Id="rId6" Type="http://schemas.openxmlformats.org/officeDocument/2006/relationships/hyperlink" Target="https://workdrive.zoho.in/file/p7iy5e93d0127862f421ebd7bacb82bd32f95" TargetMode="External"/><Relationship Id="rId7" Type="http://schemas.openxmlformats.org/officeDocument/2006/relationships/hyperlink" Target="https://sprints.zoho.in/workspace/zdocs#P15/itemdetails/I7129" TargetMode="External"/><Relationship Id="rId8" Type="http://schemas.openxmlformats.org/officeDocument/2006/relationships/hyperlink" Target="mailto:ryan.collins@lsa.inc" TargetMode="External"/><Relationship Id="rId9" Type="http://schemas.openxmlformats.org/officeDocument/2006/relationships/hyperlink" Target="https://crmplus.zoho.in/zohocorppace/index.do/cxapp/agent/zohocorp/zoho-workdrive-presales/requests/details/205219031441354320" TargetMode="External"/><Relationship Id="rId10" Type="http://schemas.openxmlformats.org/officeDocument/2006/relationships/hyperlink" Target="https://crmplus.zoho.in/crm/onezoho/tab/CustomModule3/1034361023005574319" TargetMode="External"/><Relationship Id="rId11" Type="http://schemas.openxmlformats.org/officeDocument/2006/relationships/hyperlink" Target="mailto:mayank.kumar@psb.bank.i" TargetMode="External"/><Relationship Id="rId12" Type="http://schemas.openxmlformats.org/officeDocument/2006/relationships/hyperlink" Target="https://crmplus.zoho.in/zohocorppace/index.do/cxapp/agent/zohocorp/zoho-workdrive-presales/requests/details/205219031433103350" TargetMode="External"/><Relationship Id="rId13" Type="http://schemas.openxmlformats.org/officeDocument/2006/relationships/hyperlink" Target="mailto:studio.nkpr@gmail.com" TargetMode="External"/><Relationship Id="rId14" Type="http://schemas.openxmlformats.org/officeDocument/2006/relationships/hyperlink" Target="https://crmplus.zoho.in/zohocorppace/index.do/cxapp/agent/zohocorp/zoho-workdrive-presales/requests/details/205219021549849371" TargetMode="External"/><Relationship Id="rId15" Type="http://schemas.openxmlformats.org/officeDocument/2006/relationships/hyperlink" Target="https://crmplus.zoho.in/crm/onezoho/tab/CustomModule3/1034361023036953153" TargetMode="External"/><Relationship Id="rId16" Type="http://schemas.openxmlformats.org/officeDocument/2006/relationships/hyperlink" Target="mailto:amith@tbkmetalksa.com" TargetMode="External"/><Relationship Id="rId17" Type="http://schemas.openxmlformats.org/officeDocument/2006/relationships/hyperlink" Target="https://crmplus.zoho.in/zohocorppace/index.do/cxapp/agent/zohocorp/zoho-workdrive-presales/requests/details/205219031140487297/conversation" TargetMode="External"/><Relationship Id="rId18" Type="http://schemas.openxmlformats.org/officeDocument/2006/relationships/hyperlink" Target="https://crmplus.zoho.in/crm/onezoho/tab/CustomModule3/1034361023036953502" TargetMode="External"/><Relationship Id="rId19" Type="http://schemas.openxmlformats.org/officeDocument/2006/relationships/hyperlink" Target="mailto:hareshkapadiya@torrentgas.com" TargetMode="External"/><Relationship Id="rId20" Type="http://schemas.openxmlformats.org/officeDocument/2006/relationships/hyperlink" Target="https://crmplus.zoho.in/agent/zohocorp/zoho-workdrive-presales/requests/details/205219031428120448" TargetMode="External"/><Relationship Id="rId21" Type="http://schemas.openxmlformats.org/officeDocument/2006/relationships/hyperlink" Target="https://workdrive.zoho.in/file/wqwyd1273f93c995e4f08a3d4a3143c4e84bd" TargetMode="External"/><Relationship Id="rId22" Type="http://schemas.openxmlformats.org/officeDocument/2006/relationships/hyperlink" Target="mailto:himadri.roy@havrokconsulting.com" TargetMode="External"/><Relationship Id="rId23" Type="http://schemas.openxmlformats.org/officeDocument/2006/relationships/hyperlink" Target="https://crmplus.zoho.in/agent/zohocorp/zoho-workdrive-presales/requests/details/205219031437359743" TargetMode="External"/><Relationship Id="rId24" Type="http://schemas.openxmlformats.org/officeDocument/2006/relationships/hyperlink" Target="https://workdrive.zoho.in/file/wqwyd0024438bdc594cfe902be9d1abffd67e" TargetMode="External"/><Relationship Id="rId25" Type="http://schemas.openxmlformats.org/officeDocument/2006/relationships/hyperlink" Target="mailto:abhijeet.dey@sedemac.com" TargetMode="External"/><Relationship Id="rId26" Type="http://schemas.openxmlformats.org/officeDocument/2006/relationships/hyperlink" Target="https://crmplus.zoho.in/zohocorppace/index.do/cxapp/agent/zohocorp/zoho-workdrive-presales/requests/details/205219031460517134" TargetMode="External"/><Relationship Id="rId27" Type="http://schemas.openxmlformats.org/officeDocument/2006/relationships/hyperlink" Target="https://workdrive.zoho.in/file/zhubf035eb27aad4042309c8465d67c4437e2" TargetMode="External"/><Relationship Id="rId28" Type="http://schemas.openxmlformats.org/officeDocument/2006/relationships/hyperlink" Target="https://sprints.zoho.in/workspace/zdocs#P15/itemdetails/I7166" TargetMode="External"/><Relationship Id="rId29" Type="http://schemas.openxmlformats.org/officeDocument/2006/relationships/hyperlink" Target="mailto:cyuhasz@povprint.com" TargetMode="External"/><Relationship Id="rId30" Type="http://schemas.openxmlformats.org/officeDocument/2006/relationships/hyperlink" Target="https://crmplus.zoho.in/zohocorppace/index.do/cxapp/agent/zohocorp/zoho-workdrive-presales/requests/details/205219031465366795/conversation" TargetMode="External"/><Relationship Id="rId31" Type="http://schemas.openxmlformats.org/officeDocument/2006/relationships/hyperlink" Target="mailto:ry1071220@gmail.com" TargetMode="External"/><Relationship Id="rId32" Type="http://schemas.openxmlformats.org/officeDocument/2006/relationships/hyperlink" Target="https://crmplus.zoho.in/zohocorppace/index.do/cxapp/agent/zohocorp/zoho-workdrive-presales/requests/details/205219031470777506" TargetMode="External"/><Relationship Id="rId33" Type="http://schemas.openxmlformats.org/officeDocument/2006/relationships/hyperlink" Target="https://crmplus.zoho.in/crm/onezoho/tab/CustomModule3/1034361023118073233" TargetMode="External"/><Relationship Id="rId34" Type="http://schemas.openxmlformats.org/officeDocument/2006/relationships/hyperlink" Target="https://workdrive.zoho.in/file/6ejm19e307182791b490eb753d9252950f3a1" TargetMode="External"/><Relationship Id="rId35" Type="http://schemas.openxmlformats.org/officeDocument/2006/relationships/hyperlink" Target="mailto:dreamloan@centum.ca" TargetMode="External"/><Relationship Id="rId36" Type="http://schemas.openxmlformats.org/officeDocument/2006/relationships/hyperlink" Target="https://crmplus.zoho.in/zohocorppace/index.do/cxapp/agent/zohocorp/zoho-workdrive-presales/requests/details/205219031478947807" TargetMode="External"/><Relationship Id="rId37" Type="http://schemas.openxmlformats.org/officeDocument/2006/relationships/hyperlink" Target="https://workdrive.zoho.in/file/6ejm161f9a100fe264c1895dcfdbd51fb907b" TargetMode="External"/><Relationship Id="rId38" Type="http://schemas.openxmlformats.org/officeDocument/2006/relationships/hyperlink" Target="mailto:sukkunmst@gmail.com" TargetMode="External"/><Relationship Id="rId39" Type="http://schemas.openxmlformats.org/officeDocument/2006/relationships/hyperlink" Target="https://crmplus.zoho.in/zohocorppace/index.do/cxapp/agent/zohocorp/zoho-workdrive-presales/requests/details/205219031486712931/conversation" TargetMode="External"/><Relationship Id="rId40" Type="http://schemas.openxmlformats.org/officeDocument/2006/relationships/hyperlink" Target="mailto:opagarwalandco@gmail.com" TargetMode="External"/><Relationship Id="rId41" Type="http://schemas.openxmlformats.org/officeDocument/2006/relationships/hyperlink" Target="https://crmplus.zoho.in/agent/zohocorp/zoho-workdrive-presales/requests/details/205219031433652598" TargetMode="External"/><Relationship Id="rId42" Type="http://schemas.openxmlformats.org/officeDocument/2006/relationships/hyperlink" Target="https://workdrive.zoho.in/file/ws66nb104dded9b5a4e2dacfa3b077d0a9bd0" TargetMode="External"/><Relationship Id="rId43" Type="http://schemas.openxmlformats.org/officeDocument/2006/relationships/hyperlink" Target="mailto:lakshmi@scas.co.in" TargetMode="External"/><Relationship Id="rId44" Type="http://schemas.openxmlformats.org/officeDocument/2006/relationships/hyperlink" Target="https://crmplus.zoho.in/agent/zohocorp/zoho-workdrive-presales/requests/details/205219031456774117" TargetMode="External"/><Relationship Id="rId45" Type="http://schemas.openxmlformats.org/officeDocument/2006/relationships/hyperlink" Target="https://workdrive.zoho.in/file/ws66n691a44bcfced4099b76b8ee87659dbf0" TargetMode="External"/><Relationship Id="rId46" Type="http://schemas.openxmlformats.org/officeDocument/2006/relationships/hyperlink" Target="mailto:pankajramol@almamet.com" TargetMode="External"/><Relationship Id="rId47" Type="http://schemas.openxmlformats.org/officeDocument/2006/relationships/hyperlink" Target="https://crmplus.zoho.in/agent/zohocorp/zoho-workdrive-presales/requests/details/205219028979870585" TargetMode="External"/><Relationship Id="rId48" Type="http://schemas.openxmlformats.org/officeDocument/2006/relationships/hyperlink" Target="https://workdrive.zoho.in/file/ws66nc4bb16b99a164d7bba22684a0d48aebc" TargetMode="External"/><Relationship Id="rId49" Type="http://schemas.openxmlformats.org/officeDocument/2006/relationships/hyperlink" Target="mailto:finance@tuljaihr.com" TargetMode="External"/><Relationship Id="rId50" Type="http://schemas.openxmlformats.org/officeDocument/2006/relationships/hyperlink" Target="mailto:dineshk@foodbuddies.in" TargetMode="External"/><Relationship Id="rId51" Type="http://schemas.openxmlformats.org/officeDocument/2006/relationships/hyperlink" Target="https://crmplus.zoho.in/zohocorppace/index.do/cxapp/agent/zohocorp/zoho-workdrive-presales/requests/details/205219031463165155" TargetMode="External"/><Relationship Id="rId52" Type="http://schemas.openxmlformats.org/officeDocument/2006/relationships/hyperlink" Target="mailto:manimaran.g@eduvanta.ai" TargetMode="External"/><Relationship Id="rId53" Type="http://schemas.openxmlformats.org/officeDocument/2006/relationships/hyperlink" Target="https://crmplus.zoho.in/zohocorppace/index.do/cxapp/agent/zohocorp/zoho-workdrive-presales/requests/details/205219031371969770/conversation" TargetMode="External"/><Relationship Id="rId54" Type="http://schemas.openxmlformats.org/officeDocument/2006/relationships/hyperlink" Target="https://workdrive.zoho.in/file/f48vvd7cb0f09c40e4251818ceb1060b793ac" TargetMode="External"/><Relationship Id="rId55" Type="http://schemas.openxmlformats.org/officeDocument/2006/relationships/hyperlink" Target="mailto:karthik@deducetech.com" TargetMode="External"/><Relationship Id="rId56" Type="http://schemas.openxmlformats.org/officeDocument/2006/relationships/hyperlink" Target="https://crmplus.zoho.in/zohocorppace/index.do/cxapp/agent/zohocorp/zoho-workdrive-presales/requests/details/205219031452790179/conversation" TargetMode="External"/><Relationship Id="rId57" Type="http://schemas.openxmlformats.org/officeDocument/2006/relationships/hyperlink" Target="https://workdrive.zoho.in/file/f48vv5fb9145b6e0a46eba97dfa74f321bb1b" TargetMode="External"/><Relationship Id="rId58" Type="http://schemas.openxmlformats.org/officeDocument/2006/relationships/hyperlink" Target="mailto:info@tangoshieldsecurity.com" TargetMode="External"/><Relationship Id="rId59" Type="http://schemas.openxmlformats.org/officeDocument/2006/relationships/hyperlink" Target="https://crmplus.zoho.in/zohocorppace/index.do/cxapp/agent/zohocorp/zoho-workdrive-presales/requests/details/205219031497115750/conversation" TargetMode="External"/><Relationship Id="rId60" Type="http://schemas.openxmlformats.org/officeDocument/2006/relationships/hyperlink" Target="https://workdrive.zoho.in/file/6ejm18c85937609b349a0bd9fa53826adc669" TargetMode="External"/><Relationship Id="rId61" Type="http://schemas.openxmlformats.org/officeDocument/2006/relationships/hyperlink" Target="mailto:systemengineer@niperhajipur.ac.in" TargetMode="External"/><Relationship Id="rId62" Type="http://schemas.openxmlformats.org/officeDocument/2006/relationships/hyperlink" Target="https://crmplus.zoho.in/zohocorppace/index.do/cxapp/agent/zohocorp/zoho-workdrive-presales/requests/details/205219031490678585" TargetMode="External"/><Relationship Id="rId63" Type="http://schemas.openxmlformats.org/officeDocument/2006/relationships/hyperlink" Target="https://workdrive.zoho.in/file/x4582ce625fce28734c4d9388e7f5e3e02e4b" TargetMode="External"/><Relationship Id="rId64" Type="http://schemas.openxmlformats.org/officeDocument/2006/relationships/hyperlink" Target="mailto:milin.patel@kokuyocamlin.com" TargetMode="External"/><Relationship Id="rId65" Type="http://schemas.openxmlformats.org/officeDocument/2006/relationships/hyperlink" Target="https://crmplus.zoho.in/zohocorppace/index.do/cxapp/agent/zohocorp/zoho-workdrive-presales/requests/details/205219031509100931" TargetMode="External"/><Relationship Id="rId66" Type="http://schemas.openxmlformats.org/officeDocument/2006/relationships/hyperlink" Target="https://workdrive.zoho.in/file/l4d7771c8b8a0ee8b4c07b59c6700fbe0ccbc" TargetMode="External"/><Relationship Id="rId67" Type="http://schemas.openxmlformats.org/officeDocument/2006/relationships/hyperlink" Target="https://sprints.zoho.in/workspace/zdocs#P15/itemdetails/I7459" TargetMode="External"/><Relationship Id="rId68" Type="http://schemas.openxmlformats.org/officeDocument/2006/relationships/hyperlink" Target="mailto:katearf@hotmail.co" TargetMode="External"/><Relationship Id="rId69" Type="http://schemas.openxmlformats.org/officeDocument/2006/relationships/hyperlink" Target="https://crmplus.zoho.in/agent/zohocorp/zoho-workdrive-presales/requests/details/205219031507690499" TargetMode="External"/><Relationship Id="rId70" Type="http://schemas.openxmlformats.org/officeDocument/2006/relationships/hyperlink" Target="https://workdrive.zoho.in/file/l4d77cdc4bc7e500b42bba65e3e67c24e05ea" TargetMode="External"/><Relationship Id="rId71" Type="http://schemas.openxmlformats.org/officeDocument/2006/relationships/hyperlink" Target="mailto:mrunalini.hr@mecpl.in" TargetMode="External"/><Relationship Id="rId72" Type="http://schemas.openxmlformats.org/officeDocument/2006/relationships/hyperlink" Target="https://crmplus.zoho.in/agent/zohocorp/zoho-workdrive-presales/requests/details/205219031509227216" TargetMode="External"/><Relationship Id="rId73" Type="http://schemas.openxmlformats.org/officeDocument/2006/relationships/hyperlink" Target="https://workdrive.zoho.in/file/l4d77f7b0389ece7a4be3a0c7a3a462c09d3c" TargetMode="External"/><Relationship Id="rId74" Type="http://schemas.openxmlformats.org/officeDocument/2006/relationships/hyperlink" Target="mailto:md.arif@imoneypay.in" TargetMode="External"/><Relationship Id="rId75" Type="http://schemas.openxmlformats.org/officeDocument/2006/relationships/hyperlink" Target="https://crmplus.zoho.in/agent/zohocorp/zoho-workdrive-presales/requests/details/205219031479848099" TargetMode="External"/><Relationship Id="rId76" Type="http://schemas.openxmlformats.org/officeDocument/2006/relationships/hyperlink" Target="https://workdrive.zoho.in/file/ws66n64d3e72d3dd14e6bbeba404ea19e48d1" TargetMode="External"/><Relationship Id="rId77" Type="http://schemas.openxmlformats.org/officeDocument/2006/relationships/hyperlink" Target="mailto:hemstoneomondi5@gmail.com" TargetMode="External"/><Relationship Id="rId78" Type="http://schemas.openxmlformats.org/officeDocument/2006/relationships/hyperlink" Target="https://crmplus.zoho.in/agent/zohocorp/zoho-workdrive-presales/requests/details/205219031491388040" TargetMode="External"/><Relationship Id="rId79" Type="http://schemas.openxmlformats.org/officeDocument/2006/relationships/hyperlink" Target="https://workdrive.zoho.in/file/ws66n48004e8458ff438696f2365cc533f55b" TargetMode="External"/><Relationship Id="rId80" Type="http://schemas.openxmlformats.org/officeDocument/2006/relationships/hyperlink" Target="mailto:prashant.kumar@omnioffshore.com" TargetMode="External"/><Relationship Id="rId81" Type="http://schemas.openxmlformats.org/officeDocument/2006/relationships/hyperlink" Target="https://crmplus.zoho.in/agent/zohocorp/zoho-workdrive-presales/requests/details/205219020053412967" TargetMode="External"/><Relationship Id="rId82" Type="http://schemas.openxmlformats.org/officeDocument/2006/relationships/hyperlink" Target="https://workdrive.zoho.in/file/ws66ned19fb2bc802423c8fcbd6d1a77af93b" TargetMode="External"/><Relationship Id="rId83" Type="http://schemas.openxmlformats.org/officeDocument/2006/relationships/hyperlink" Target="mailto:nidhi@gepathways.com.au" TargetMode="External"/><Relationship Id="rId84" Type="http://schemas.openxmlformats.org/officeDocument/2006/relationships/hyperlink" Target="https://crmplus.zoho.in/zohocorppace/index.do/cxapp/agent/zohocorp/zoho-workdrive-presales/requests/details/205219030600364297" TargetMode="External"/><Relationship Id="rId85" Type="http://schemas.openxmlformats.org/officeDocument/2006/relationships/hyperlink" Target="https://crmplus.zoho.in/crm/onezoho/tab/CustomModule3/1034361023124675205" TargetMode="External"/><Relationship Id="rId86" Type="http://schemas.openxmlformats.org/officeDocument/2006/relationships/hyperlink" Target="https://workdrive.zoho.in/file/l4d7742e2fd04bdaf4e4793aa54788af17d08" TargetMode="External"/><Relationship Id="rId87" Type="http://schemas.openxmlformats.org/officeDocument/2006/relationships/hyperlink" Target="mailto:trs@zengroupindia.com" TargetMode="External"/><Relationship Id="rId88" Type="http://schemas.openxmlformats.org/officeDocument/2006/relationships/hyperlink" Target="https://crmplus.zoho.in/zohocorppace/index.do/cxapp/agent/zohocorp/zoho-workdrive-presales/requests/details/205219031509100931" TargetMode="External"/><Relationship Id="rId89" Type="http://schemas.openxmlformats.org/officeDocument/2006/relationships/hyperlink" Target="https://workdrive.zoho.in/file/l4d77229e30639a8c4f628b69b68db7826a5d" TargetMode="External"/><Relationship Id="rId90" Type="http://schemas.openxmlformats.org/officeDocument/2006/relationships/hyperlink" Target="mailto:advbhagat@zohomail.in" TargetMode="External"/><Relationship Id="rId91" Type="http://schemas.openxmlformats.org/officeDocument/2006/relationships/hyperlink" Target="https://crmplus.zoho.in/zohocorppace/index.do/cxapp/agent/zohocorp/zoho-workdrive-presales/requests/details/205219031516893287" TargetMode="External"/><Relationship Id="rId92" Type="http://schemas.openxmlformats.org/officeDocument/2006/relationships/hyperlink" Target="mailto:premchand4892@gmail.com" TargetMode="External"/><Relationship Id="rId93" Type="http://schemas.openxmlformats.org/officeDocument/2006/relationships/hyperlink" Target="https://crmplus.zoho.in/zohocorppace/index.do/cxapp/agent/zohocorp/zoho-workdrive-presales/requests/details/205219031345670171" TargetMode="External"/><Relationship Id="rId94" Type="http://schemas.openxmlformats.org/officeDocument/2006/relationships/hyperlink" Target="mailto:manickavalli@gmail.com" TargetMode="External"/><Relationship Id="rId95" Type="http://schemas.openxmlformats.org/officeDocument/2006/relationships/hyperlink" Target="https://crmplus.zoho.in/zohocorppace/index.do/cxapp/agent/zohocorp/zoho-workdrive-presales/requests/details/205219031508313999" TargetMode="External"/><Relationship Id="rId96" Type="http://schemas.openxmlformats.org/officeDocument/2006/relationships/hyperlink" Target="https://crmplus.zoho.in/crm/onezoho/tab/CustomModule3/1034361023133096596" TargetMode="External"/><Relationship Id="rId97" Type="http://schemas.openxmlformats.org/officeDocument/2006/relationships/hyperlink" Target="https://workdrive.zoho.in/file/kdqtxe1f50aa9bb484e7e945d487af9fa6616" TargetMode="External"/><Relationship Id="rId98" Type="http://schemas.openxmlformats.org/officeDocument/2006/relationships/hyperlink" Target="mailto:contact@theanant.in" TargetMode="External"/><Relationship Id="rId99" Type="http://schemas.openxmlformats.org/officeDocument/2006/relationships/hyperlink" Target="https://crmplus.zoho.in/agent/zohocorp/zoho-workdrive-presales/requests/details/205219031484615825" TargetMode="External"/><Relationship Id="rId100" Type="http://schemas.openxmlformats.org/officeDocument/2006/relationships/hyperlink" Target="https://workdrive.zoho.in/file/x3dyzcd408f3ba3cb4bca9e33b7185d830bf4" TargetMode="External"/><Relationship Id="rId101" Type="http://schemas.openxmlformats.org/officeDocument/2006/relationships/hyperlink" Target="mailto:kesar240391@gmail.com" TargetMode="External"/><Relationship Id="rId102" Type="http://schemas.openxmlformats.org/officeDocument/2006/relationships/hyperlink" Target="https://crmplus.zoho.in/agent/zohocorp/zoho-workdrive-presales/requests/details/205219031536195270" TargetMode="External"/><Relationship Id="rId103" Type="http://schemas.openxmlformats.org/officeDocument/2006/relationships/hyperlink" Target="https://workdrive.zoho.in/file/x3dyz7ce9c57c565942d6be20aabbf0fb4f54" TargetMode="External"/><Relationship Id="rId104" Type="http://schemas.openxmlformats.org/officeDocument/2006/relationships/hyperlink" Target="mailto:wlfoundation@outlook.com" TargetMode="External"/><Relationship Id="rId105" Type="http://schemas.openxmlformats.org/officeDocument/2006/relationships/hyperlink" Target="https://crmplus.zoho.in/zohocorppace/index.do/cxapp/agent/zohocorp/zoho-workdrive-presales/requests/details/205219031512642044/conversation" TargetMode="External"/><Relationship Id="rId106" Type="http://schemas.openxmlformats.org/officeDocument/2006/relationships/hyperlink" Target="https://workdrive.zoho.in/file/k5iz65300f78e357e4ed2af76077fab7957a4" TargetMode="External"/><Relationship Id="rId107" Type="http://schemas.openxmlformats.org/officeDocument/2006/relationships/hyperlink" Target="mailto:amith@tbkmetalksa.com" TargetMode="External"/><Relationship Id="rId108" Type="http://schemas.openxmlformats.org/officeDocument/2006/relationships/hyperlink" Target="https://crmplus.zoho.in/zohocorppace/index.do/cxapp/agent/zohocorp/zoho-workdrive-presales/requests/details/205219031140487297/conversation" TargetMode="External"/><Relationship Id="rId109" Type="http://schemas.openxmlformats.org/officeDocument/2006/relationships/hyperlink" Target="https://crmplus.zoho.in/crm/onezoho/tab/CustomModule3/1034361023202001158" TargetMode="External"/><Relationship Id="rId110" Type="http://schemas.openxmlformats.org/officeDocument/2006/relationships/hyperlink" Target="mailto:mohammed.wedaa@alqasabi.sa" TargetMode="External"/><Relationship Id="rId111" Type="http://schemas.openxmlformats.org/officeDocument/2006/relationships/hyperlink" Target="https://crmplus.zoho.in/zohocorppace/index.do/cxapp/agent/zohocorp/zoho-workdrive-presales/requests/details/205219031321432044/conversation" TargetMode="External"/><Relationship Id="rId112" Type="http://schemas.openxmlformats.org/officeDocument/2006/relationships/hyperlink" Target="https://crmplus.zoho.in/crm/onezoho/tab/CustomModule3/1034361023202001282" TargetMode="External"/><Relationship Id="rId113" Type="http://schemas.openxmlformats.org/officeDocument/2006/relationships/hyperlink" Target="https://workdrive.zoho.in/file/k5iz639d8b63eb02e4db7beefe4945ab0b613" TargetMode="External"/><Relationship Id="rId114" Type="http://schemas.openxmlformats.org/officeDocument/2006/relationships/hyperlink" Target="mailto:nagesh.dhumma@dhummaconsulting.com" TargetMode="External"/><Relationship Id="rId115" Type="http://schemas.openxmlformats.org/officeDocument/2006/relationships/hyperlink" Target="https://crmplus.zoho.in/zohocorppace/index.do/cxapp/agent/zohocorp/zoho-workdrive-presales/requests/details/205219031298769220" TargetMode="External"/><Relationship Id="rId116" Type="http://schemas.openxmlformats.org/officeDocument/2006/relationships/hyperlink" Target="https://crmplus.zoho.in/crm/onezoho/tab/CustomModule3/1034361023202001522" TargetMode="External"/><Relationship Id="rId117" Type="http://schemas.openxmlformats.org/officeDocument/2006/relationships/hyperlink" Target="https://workdrive.zoho.in/file/k5iz6d47bfeadc843479cb9f6a6ef4c7b9688" TargetMode="External"/><Relationship Id="rId118" Type="http://schemas.openxmlformats.org/officeDocument/2006/relationships/hyperlink" Target="mailto:info@yunikaainternational.com" TargetMode="External"/><Relationship Id="rId119" Type="http://schemas.openxmlformats.org/officeDocument/2006/relationships/hyperlink" Target="https://crmplus.zoho.in/zohocorppace/index.do/cxapp/agent/zohocorp/zoho-workdrive-presales/requests/details/205219031255390152" TargetMode="External"/><Relationship Id="rId120" Type="http://schemas.openxmlformats.org/officeDocument/2006/relationships/hyperlink" Target="mailto:jsrit.sapfico@gmail.com" TargetMode="External"/><Relationship Id="rId121" Type="http://schemas.openxmlformats.org/officeDocument/2006/relationships/hyperlink" Target="https://crmplus.zoho.in/agent/zohocorp/zoho-workdrive-presales/requests/details/205219031574063947" TargetMode="External"/><Relationship Id="rId122" Type="http://schemas.openxmlformats.org/officeDocument/2006/relationships/hyperlink" Target="https://workdrive.zoho.in/file/x3dyzc65ad2317f134ce9afa771c10ace1a61" TargetMode="External"/><Relationship Id="rId123" Type="http://schemas.openxmlformats.org/officeDocument/2006/relationships/hyperlink" Target="mailto:anil_baheti@yahoo.com" TargetMode="External"/><Relationship Id="rId124" Type="http://schemas.openxmlformats.org/officeDocument/2006/relationships/hyperlink" Target="https://crmplus.zoho.in/zohocorppace/index.do/cxapp/agent/zohocorp/zoho-workdrive-presales/requests/details/205219031552799850/conversation" TargetMode="External"/><Relationship Id="rId125" Type="http://schemas.openxmlformats.org/officeDocument/2006/relationships/hyperlink" Target="https://crmplus.zoho.in/crm/onezoho/tab/CustomModule3/1034361023221540525" TargetMode="External"/><Relationship Id="rId126" Type="http://schemas.openxmlformats.org/officeDocument/2006/relationships/hyperlink" Target="https://workdrive.zoho.in/file/sxt59a78d85db2972446aa16f714560addb8e" TargetMode="External"/><Relationship Id="rId127" Type="http://schemas.openxmlformats.org/officeDocument/2006/relationships/hyperlink" Target="mailto:akrofficehyd2@gmail.com" TargetMode="External"/><Relationship Id="rId128" Type="http://schemas.openxmlformats.org/officeDocument/2006/relationships/hyperlink" Target="https://crmplus.zoho.in/zohocorppace/index.do/cxapp/agent/zohocorp/zoho-workdrive-presales/requests/details/205219030293850026" TargetMode="External"/><Relationship Id="rId129" Type="http://schemas.openxmlformats.org/officeDocument/2006/relationships/hyperlink" Target="https://workdrive.zoho.in/file/0ylba501b825d1c2348dcb87216692a38e04a" TargetMode="External"/><Relationship Id="rId130" Type="http://schemas.openxmlformats.org/officeDocument/2006/relationships/hyperlink" Target="mailto:harsh@digisidekick.com" TargetMode="External"/><Relationship Id="rId131" Type="http://schemas.openxmlformats.org/officeDocument/2006/relationships/hyperlink" Target="https://crmplus.zoho.in/zohocorppace/index.do/cxapp/agent/zohocorp/zoho-workdrive-presales/requests/details/205219031573729028/conversation" TargetMode="External"/><Relationship Id="rId132" Type="http://schemas.openxmlformats.org/officeDocument/2006/relationships/hyperlink" Target="https://workdrive.zoho.in/file/sxt59ece227945feb408b9914dce7aae25bf4" TargetMode="External"/><Relationship Id="rId133" Type="http://schemas.openxmlformats.org/officeDocument/2006/relationships/hyperlink" Target="mailto:tom@melsqatar.com" TargetMode="External"/><Relationship Id="rId134" Type="http://schemas.openxmlformats.org/officeDocument/2006/relationships/hyperlink" Target="https://crmplus.zoho.in/zohocorppace/index.do/cxapp/agent/zohocorp/zoho-workdrive-presales/requests/details/205219031481071419" TargetMode="External"/><Relationship Id="rId135" Type="http://schemas.openxmlformats.org/officeDocument/2006/relationships/hyperlink" Target="https://crmplus.zoho.in/crm/onezoho/tab/CustomModule3/1034361023234892103" TargetMode="External"/><Relationship Id="rId136" Type="http://schemas.openxmlformats.org/officeDocument/2006/relationships/hyperlink" Target="https://workdrive.zoho.in/file/sxt59a0c82d3793244ee2bef81beb04596304" TargetMode="External"/><Relationship Id="rId137" Type="http://schemas.openxmlformats.org/officeDocument/2006/relationships/hyperlink" Target="mailto:wajeeh070@hotmail.com" TargetMode="External"/><Relationship Id="rId138" Type="http://schemas.openxmlformats.org/officeDocument/2006/relationships/hyperlink" Target="https://crmplus.zoho.in/zohocorppace/index.do/cxapp/agent/zohocorp/zoho-workdrive-presales/requests/details/205219031604679795" TargetMode="External"/><Relationship Id="rId139" Type="http://schemas.openxmlformats.org/officeDocument/2006/relationships/hyperlink" Target="https://workdrive.zoho.in/file/nybji77e8d9d6ff2f4b2ba5e37046790a083e" TargetMode="External"/><Relationship Id="rId140" Type="http://schemas.openxmlformats.org/officeDocument/2006/relationships/hyperlink" Target="mailto:satish@forecoreprofessionals.com" TargetMode="External"/><Relationship Id="rId141" Type="http://schemas.openxmlformats.org/officeDocument/2006/relationships/hyperlink" Target="https://crmplus.zoho.in/agent/zohocorp/zoho-workdrive-presales/requests/details/205219031634262274" TargetMode="External"/><Relationship Id="rId142" Type="http://schemas.openxmlformats.org/officeDocument/2006/relationships/hyperlink" Target="https://workdrive.zoho.in/file/x3dyz1978a7d81b9546838170dbe2d85a26f2" TargetMode="External"/><Relationship Id="rId143" Type="http://schemas.openxmlformats.org/officeDocument/2006/relationships/hyperlink" Target="mailto:utkarshsarkar2207@gmail.com" TargetMode="External"/><Relationship Id="rId144" Type="http://schemas.openxmlformats.org/officeDocument/2006/relationships/hyperlink" Target="https://crmplus.zoho.in/zohocorppace/index.do/cxapp/agent/zohocorp/zoho-workdrive-presales/requests/details/205219031564144290" TargetMode="External"/><Relationship Id="rId145" Type="http://schemas.openxmlformats.org/officeDocument/2006/relationships/hyperlink" Target="mailto:info@bywordhr.com" TargetMode="External"/><Relationship Id="rId146" Type="http://schemas.openxmlformats.org/officeDocument/2006/relationships/hyperlink" Target="mailto:vikas@civilarch.in" TargetMode="External"/><Relationship Id="rId147" Type="http://schemas.openxmlformats.org/officeDocument/2006/relationships/hyperlink" Target="https://crmplus.zoho.in/agent/zohocorp/zoho-workdrive-presales/requests/details/205219031661262999" TargetMode="External"/><Relationship Id="rId148" Type="http://schemas.openxmlformats.org/officeDocument/2006/relationships/hyperlink" Target="https://workdrive.zoho.in/file/x3dyz5924d8eed1684f8087c6e5ea3a082c39" TargetMode="External"/><Relationship Id="rId149" Type="http://schemas.openxmlformats.org/officeDocument/2006/relationships/hyperlink" Target="mailto:utkarsh.chhiber@stayvista.com" TargetMode="External"/><Relationship Id="rId150" Type="http://schemas.openxmlformats.org/officeDocument/2006/relationships/hyperlink" Target="https://crmplus.zoho.in/zohocorppace/index.do/cxapp/agent/zohocorp/zoho-workdrive-presales/requests/details/205219031340510398" TargetMode="External"/><Relationship Id="rId151" Type="http://schemas.openxmlformats.org/officeDocument/2006/relationships/hyperlink" Target="https://workdrive.zoho.in/file/pu62r8fcd7c11c1964687b5fe551b7580a65d" TargetMode="External"/><Relationship Id="rId152" Type="http://schemas.openxmlformats.org/officeDocument/2006/relationships/hyperlink" Target="mailto:stacey.dias@safeprofire.com" TargetMode="External"/><Relationship Id="rId153" Type="http://schemas.openxmlformats.org/officeDocument/2006/relationships/hyperlink" Target="https://crmplus.zoho.in/zohocorppace/index.do/cxapp/agent/zohocorp/zoho-workdrive-presales/requests/details/205219031540488171" TargetMode="External"/><Relationship Id="rId154" Type="http://schemas.openxmlformats.org/officeDocument/2006/relationships/hyperlink" Target="https://workdrive.zoho.in/file/pu62r16b26ea9fde3485abadd9352ec500b65" TargetMode="External"/><Relationship Id="rId155" Type="http://schemas.openxmlformats.org/officeDocument/2006/relationships/hyperlink" Target="mailto:anthony@archerinstitute.edu.au" TargetMode="External"/><Relationship Id="rId156" Type="http://schemas.openxmlformats.org/officeDocument/2006/relationships/hyperlink" Target="https://crmplus.zoho.in/agent/zohocorp/zoho-workdrive-presales/requests/details/205219031723220584" TargetMode="External"/><Relationship Id="rId157" Type="http://schemas.openxmlformats.org/officeDocument/2006/relationships/hyperlink" Target="mailto:swapnil@cadsaga.com" TargetMode="External"/><Relationship Id="rId158" Type="http://schemas.openxmlformats.org/officeDocument/2006/relationships/hyperlink" Target="https://crmplus.zoho.in/agent/zohocorp/zoho-workdrive-presales/requests/details/205219031723263312" TargetMode="External"/><Relationship Id="rId159" Type="http://schemas.openxmlformats.org/officeDocument/2006/relationships/hyperlink" Target="mailto:salesinfoelecom@gmail.com" TargetMode="External"/><Relationship Id="rId160" Type="http://schemas.openxmlformats.org/officeDocument/2006/relationships/hyperlink" Target="https://crmplus.zoho.in/zohocorppace/index.do/cxapp/agent/zohocorp/zoho-workdrive-presales/requests/details/205219030028155680/conversation" TargetMode="External"/><Relationship Id="rId161" Type="http://schemas.openxmlformats.org/officeDocument/2006/relationships/hyperlink" Target="mailto:jalaj.patil@cleantechsynergy.co.in" TargetMode="External"/><Relationship Id="rId162" Type="http://schemas.openxmlformats.org/officeDocument/2006/relationships/hyperlink" Target="https://crmplus.zoho.in/zohocorppace/index.do/cxapp/agent/zohocorp/zoho-workdrive-presales/requests/details/205219028836206717/conversation" TargetMode="External"/><Relationship Id="rId163" Type="http://schemas.openxmlformats.org/officeDocument/2006/relationships/hyperlink" Target="mailto:abhishek.sawant@wysetek.com" TargetMode="External"/><Relationship Id="rId164" Type="http://schemas.openxmlformats.org/officeDocument/2006/relationships/hyperlink" Target="https://crmplus.zoho.in/zohocorppace/index.do/cxapp/agent/zohocorp/zoho-workdrive-presales/requests/details/205219030144333594" TargetMode="External"/><Relationship Id="rId165" Type="http://schemas.openxmlformats.org/officeDocument/2006/relationships/hyperlink" Target="mailto:niranjan@droneworx.ai" TargetMode="External"/><Relationship Id="rId166" Type="http://schemas.openxmlformats.org/officeDocument/2006/relationships/hyperlink" Target="https://help.zoho.eu/agent/zcorpeu/zoho-workdrive-presales/tickets/details/63904001451959928" TargetMode="External"/><Relationship Id="rId167" Type="http://schemas.openxmlformats.org/officeDocument/2006/relationships/hyperlink" Target="https://workdrive.zoho.in/file/x3dyz715f4b84497f46edaecc870b77e48280" TargetMode="External"/><Relationship Id="rId168" Type="http://schemas.openxmlformats.org/officeDocument/2006/relationships/hyperlink" Target="mailto:atharva.garad@digisecureinsurance.com" TargetMode="External"/><Relationship Id="rId169" Type="http://schemas.openxmlformats.org/officeDocument/2006/relationships/hyperlink" Target="https://crmplus.zoho.in/zohocorppace/index.do/cxapp/agent/zohocorp/zoho-workdrive-presales/requests/details/205219031718573112" TargetMode="External"/><Relationship Id="rId170" Type="http://schemas.openxmlformats.org/officeDocument/2006/relationships/hyperlink" Target="mailto:montana@xydrobe.com" TargetMode="External"/><Relationship Id="rId171" Type="http://schemas.openxmlformats.org/officeDocument/2006/relationships/hyperlink" Target="https://crmplus.zoho.in/zohocorppace/index.do/cxapp/agent/zohocorp/zoho-workdrive-presales/requests/details/205219031728973906" TargetMode="External"/><Relationship Id="rId172" Type="http://schemas.openxmlformats.org/officeDocument/2006/relationships/hyperlink" Target="https://crmplus.zoho.in/crm/onezoho/tab/CustomModule3/1034361023421463899" TargetMode="External"/><Relationship Id="rId173" Type="http://schemas.openxmlformats.org/officeDocument/2006/relationships/hyperlink" Target="https://workdrive.zoho.in/file/rj2346c5c82de6e4449689f4de44ab439087d" TargetMode="External"/><Relationship Id="rId174" Type="http://schemas.openxmlformats.org/officeDocument/2006/relationships/hyperlink" Target="mailto:amittatrey@sysfuturetech.com" TargetMode="External"/><Relationship Id="rId175" Type="http://schemas.openxmlformats.org/officeDocument/2006/relationships/hyperlink" Target="https://crmplus.zoho.in/agent/zohocorp/zoho-workdrive-presales/requests/details/205219031700141017" TargetMode="External"/><Relationship Id="rId176" Type="http://schemas.openxmlformats.org/officeDocument/2006/relationships/hyperlink" Target="https://workdrive.zoho.in/file/gbhc36319dcda83aa4b31bc7a7efd380c26cb" TargetMode="External"/><Relationship Id="rId177" Type="http://schemas.openxmlformats.org/officeDocument/2006/relationships/hyperlink" Target="mailto:tallulah@harmonicspeech.com" TargetMode="External"/><Relationship Id="rId178" Type="http://schemas.openxmlformats.org/officeDocument/2006/relationships/hyperlink" Target="https://crmplus.zoho.in/zohocorppace/index.do/cxapp/agent/zohocorp/zoho-workdrive-presales/requests/details/205219031687895484" TargetMode="External"/><Relationship Id="rId179" Type="http://schemas.openxmlformats.org/officeDocument/2006/relationships/hyperlink" Target="https://crmplus.zoho.in/crm/onezoho/tab/CustomModule3/1034361023430308280" TargetMode="External"/><Relationship Id="rId180" Type="http://schemas.openxmlformats.org/officeDocument/2006/relationships/hyperlink" Target="https://workdrive.zoho.in/file/rj23467750ac2c0b146519c04e17154d0bfd1" TargetMode="External"/><Relationship Id="rId181" Type="http://schemas.openxmlformats.org/officeDocument/2006/relationships/hyperlink" Target="mailto:kamran@aisharao.com" TargetMode="External"/><Relationship Id="rId182" Type="http://schemas.openxmlformats.org/officeDocument/2006/relationships/hyperlink" Target="https://crmplus.zoho.in/zohocorppace/index.do/cxapp/agent/zohocorp/zoho-workdrive-presales/requests/details/205219031718214126/conversation" TargetMode="External"/><Relationship Id="rId183" Type="http://schemas.openxmlformats.org/officeDocument/2006/relationships/hyperlink" Target="mailto:esdevco.frans@gmail.com" TargetMode="External"/><Relationship Id="rId184" Type="http://schemas.openxmlformats.org/officeDocument/2006/relationships/hyperlink" Target="https://crmplus.zoho.in/zohocorppace/index.do/cxapp/agent/zohocorp/zoho-workdrive-presales/requests/details/205219031672134222/conversation" TargetMode="External"/><Relationship Id="rId185" Type="http://schemas.openxmlformats.org/officeDocument/2006/relationships/hyperlink" Target="https://crmplus.zoho.in/crm/onezoho/tab/CustomModule3/1034361023455829006" TargetMode="External"/><Relationship Id="rId186" Type="http://schemas.openxmlformats.org/officeDocument/2006/relationships/hyperlink" Target="mailto:ravi.patil@tq3travel.com" TargetMode="External"/><Relationship Id="rId187" Type="http://schemas.openxmlformats.org/officeDocument/2006/relationships/hyperlink" Target="https://crmplus.zoho.in/zohocorppace/index.do/cxapp/agent/zohocorp/zoho-workdrive-presales/requests/details/205219031750041200" TargetMode="External"/><Relationship Id="rId188" Type="http://schemas.openxmlformats.org/officeDocument/2006/relationships/hyperlink" Target="mailto:saurabh_patel1212@yahoo.com" TargetMode="External"/><Relationship Id="rId189" Type="http://schemas.openxmlformats.org/officeDocument/2006/relationships/hyperlink" Target="https://crmplus.zoho.in/zohocorppace/index.do/cxapp/agent/zohocorp/zoho-workdrive-presales/requests/details/205219031768898704" TargetMode="External"/><Relationship Id="rId190" Type="http://schemas.openxmlformats.org/officeDocument/2006/relationships/hyperlink" Target="https://crmplus.zoho.in/crm/onezoho/tab/CustomModule3/1034361023457622469" TargetMode="External"/><Relationship Id="rId191" Type="http://schemas.openxmlformats.org/officeDocument/2006/relationships/hyperlink" Target="https://workdrive.zoho.in/file/py0o8e3da2744ced44aa4ab8bd831caf3761f" TargetMode="External"/><Relationship Id="rId192" Type="http://schemas.openxmlformats.org/officeDocument/2006/relationships/hyperlink" Target="mailto:chetan.lotlikar@axismf.com" TargetMode="External"/><Relationship Id="rId193" Type="http://schemas.openxmlformats.org/officeDocument/2006/relationships/hyperlink" Target="https://crmplus.zoho.in/zohocorppace/index.do/cxapp/agent/zohocorp/zoho-workdrive-presales/requests/details/205219031538948418" TargetMode="External"/><Relationship Id="rId194" Type="http://schemas.openxmlformats.org/officeDocument/2006/relationships/hyperlink" Target="mailto:rajvishwakarma@railtelindia.com" TargetMode="External"/><Relationship Id="rId195" Type="http://schemas.openxmlformats.org/officeDocument/2006/relationships/hyperlink" Target="https://crmplus.zoho.in/zohocorppace/index.do/cxapp/agent/zohocorp/zoho-workdrive-presales/requests/details/205219031811121122" TargetMode="External"/><Relationship Id="rId196" Type="http://schemas.openxmlformats.org/officeDocument/2006/relationships/hyperlink" Target="mailto:saurabh_patel1212@yahoo.com" TargetMode="External"/><Relationship Id="rId197" Type="http://schemas.openxmlformats.org/officeDocument/2006/relationships/hyperlink" Target="https://crmplus.zoho.in/zohocorppace/index.do/cxapp/agent/zohocorp/zoho-workdrive-presales/requests/details/205219031768898704" TargetMode="External"/><Relationship Id="rId198" Type="http://schemas.openxmlformats.org/officeDocument/2006/relationships/hyperlink" Target="https://crmplus.zoho.in/crm/onezoho/tab/CustomModule3/1034361023457622469" TargetMode="External"/><Relationship Id="rId199" Type="http://schemas.openxmlformats.org/officeDocument/2006/relationships/hyperlink" Target="https://workdrive.zoho.in/file/py0o8e3da2744ced44aa4ab8bd831caf3761f" TargetMode="External"/><Relationship Id="rId200" Type="http://schemas.openxmlformats.org/officeDocument/2006/relationships/hyperlink" Target="mailto:christin.casperson@moddule.com" TargetMode="External"/><Relationship Id="rId201" Type="http://schemas.openxmlformats.org/officeDocument/2006/relationships/hyperlink" Target="https://crmplus.zoho.in/agent/zohocorp/zoho-workdrive-presales/requests/details/205219031789767622" TargetMode="External"/><Relationship Id="rId202" Type="http://schemas.openxmlformats.org/officeDocument/2006/relationships/hyperlink" Target="https://workdrive.zoho.in/file/gbhc353e937872afb49cca738bcc3785f9ace" TargetMode="External"/><Relationship Id="rId203" Type="http://schemas.openxmlformats.org/officeDocument/2006/relationships/hyperlink" Target="mailto:mark@dunelmpharma.com" TargetMode="External"/><Relationship Id="rId204" Type="http://schemas.openxmlformats.org/officeDocument/2006/relationships/hyperlink" Target="https://crmplus.zoho.in/zohocorppace/index.do/cxapp/agent/zohocorp/zoho-workdrive-presales/requests/details/205219030867740472/conversation" TargetMode="External"/><Relationship Id="rId205" Type="http://schemas.openxmlformats.org/officeDocument/2006/relationships/hyperlink" Target="mailto:montya@macmai.com" TargetMode="External"/><Relationship Id="rId206" Type="http://schemas.openxmlformats.org/officeDocument/2006/relationships/hyperlink" Target="https://crmplus.zoho.in/zohocorppace/index.do/cxapp/agent/zohocorp/zoho-workdrive-presales/requests/details/205219031783506005/conversation" TargetMode="External"/><Relationship Id="rId207" Type="http://schemas.openxmlformats.org/officeDocument/2006/relationships/hyperlink" Target="https://crmplus.zoho.in/crm/onezoho/tab/CustomModule3/1034361023491142509" TargetMode="External"/><Relationship Id="rId208" Type="http://schemas.openxmlformats.org/officeDocument/2006/relationships/hyperlink" Target="https://workdrive.zoho.in/file/e5ovz4e83f742619d4b3ebf9dd605c9425404" TargetMode="External"/><Relationship Id="rId209" Type="http://schemas.openxmlformats.org/officeDocument/2006/relationships/hyperlink" Target="mailto:lgonzalez@tworld.com" TargetMode="External"/><Relationship Id="rId210" Type="http://schemas.openxmlformats.org/officeDocument/2006/relationships/hyperlink" Target="https://crmplus.zoho.in/zohocorppace/index.do/cxapp/agent/zohocorp/zoho-workdrive-presales/requests/details/205219031783616174" TargetMode="External"/><Relationship Id="rId211" Type="http://schemas.openxmlformats.org/officeDocument/2006/relationships/hyperlink" Target="https://workdrive.zoho.in/file/e5ovz844b9dfefec4442c919590fc44906fae" TargetMode="External"/><Relationship Id="rId212" Type="http://schemas.openxmlformats.org/officeDocument/2006/relationships/hyperlink" Target="mailto:deepak.kashyap@go-mmt.com" TargetMode="External"/><Relationship Id="rId213" Type="http://schemas.openxmlformats.org/officeDocument/2006/relationships/hyperlink" Target="https://crmplus.zoho.in/zohocorppace/index.do/cxapp/agent/zohocorp/zoho-workdrive-presales/requests/details/205219030991021239" TargetMode="External"/><Relationship Id="rId214" Type="http://schemas.openxmlformats.org/officeDocument/2006/relationships/hyperlink" Target="mailto:sumit.gupta@remittanceshub.com" TargetMode="External"/><Relationship Id="rId215" Type="http://schemas.openxmlformats.org/officeDocument/2006/relationships/hyperlink" Target="https://crmplus.zoho.in/agent/zohocorp/zoho-workdrive-presales/requests/details/205219031745002952" TargetMode="External"/><Relationship Id="rId216" Type="http://schemas.openxmlformats.org/officeDocument/2006/relationships/hyperlink" Target="https://workdrive.zoho.in/file/gbhc351cb7f4c5a30442f9aa9f6fc724a9fe8" TargetMode="External"/><Relationship Id="rId217" Type="http://schemas.openxmlformats.org/officeDocument/2006/relationships/hyperlink" Target="mailto:akthakore@divanballubhai.edu.in" TargetMode="External"/><Relationship Id="rId218" Type="http://schemas.openxmlformats.org/officeDocument/2006/relationships/hyperlink" Target="https://crmplus.zoho.in/agent/zohocorp/zoho-workdrive-presales/requests/details/205219031718182899" TargetMode="External"/><Relationship Id="rId219" Type="http://schemas.openxmlformats.org/officeDocument/2006/relationships/hyperlink" Target="https://workdrive.zoho.in/file/ws66n0af037759de94ebeace7309fc69fa429" TargetMode="External"/><Relationship Id="rId220" Type="http://schemas.openxmlformats.org/officeDocument/2006/relationships/hyperlink" Target="mailto:jamie@globalregulatoryservices.com" TargetMode="External"/><Relationship Id="rId221" Type="http://schemas.openxmlformats.org/officeDocument/2006/relationships/hyperlink" Target="https://crmplus.zoho.in/zohocorppace/index.do/cxapp/agent/zohocorp/zoho-workdrive-presales/requests/details/205219031771979202/conversation" TargetMode="External"/><Relationship Id="rId222" Type="http://schemas.openxmlformats.org/officeDocument/2006/relationships/hyperlink" Target="mailto:itadmin@choueri-uae.com" TargetMode="External"/><Relationship Id="rId223" Type="http://schemas.openxmlformats.org/officeDocument/2006/relationships/hyperlink" Target="https://crmplus.zoho.in/zohocorppace/index.do/cxapp/agent/zohocorp/zoho-workdrive-presales/requests/details/205219031866067034/conversation" TargetMode="External"/><Relationship Id="rId224" Type="http://schemas.openxmlformats.org/officeDocument/2006/relationships/hyperlink" Target="https://crmplus.zoho.in/crm/onezoho/tab/CustomModule3/1034361023584610281" TargetMode="External"/><Relationship Id="rId225" Type="http://schemas.openxmlformats.org/officeDocument/2006/relationships/hyperlink" Target="https://workdrive.zohoexternal.in/external/67b5d4169ce32201c9ae5ff9f67504ad3e5c2304780962c7b7146032bca0e9c3" TargetMode="External"/><Relationship Id="rId226" Type="http://schemas.openxmlformats.org/officeDocument/2006/relationships/hyperlink" Target="mailto:sharmavin97@gmail.com" TargetMode="External"/><Relationship Id="rId227" Type="http://schemas.openxmlformats.org/officeDocument/2006/relationships/hyperlink" Target="https://crmplus.zoho.in/zohocorppace/index.do/cxapp/agent/zohocorp/zoho-workdrive-presales/requests/details/205219031953507410/conversation" TargetMode="External"/><Relationship Id="rId228" Type="http://schemas.openxmlformats.org/officeDocument/2006/relationships/hyperlink" Target="https://crmplus.zoho.in/crm/onezoho/tab/CustomModule3/1034361023806134478" TargetMode="External"/><Relationship Id="rId229" Type="http://schemas.openxmlformats.org/officeDocument/2006/relationships/hyperlink" Target="https://workdrive.zoho.in/file/f19a6f16c177678b44fd084aca45252ca4e7c" TargetMode="External"/><Relationship Id="rId230" Type="http://schemas.openxmlformats.org/officeDocument/2006/relationships/hyperlink" Target="mailto:admin@serenetax.com" TargetMode="External"/><Relationship Id="rId231" Type="http://schemas.openxmlformats.org/officeDocument/2006/relationships/hyperlink" Target="https://crmplus.zoho.in/zohocorppace/index.do/cxapp/agent/zohocorp/zoho-workdrive-presales/requests/details/205219023326249511" TargetMode="External"/><Relationship Id="rId232" Type="http://schemas.openxmlformats.org/officeDocument/2006/relationships/hyperlink" Target="https://workdrive.zoho.in/file/5zgbmbdb8f789576a478eaa34bed6074ae1f9" TargetMode="External"/><Relationship Id="rId233" Type="http://schemas.openxmlformats.org/officeDocument/2006/relationships/hyperlink" Target="mailto:administrator@junooncapital.in" TargetMode="External"/><Relationship Id="rId234" Type="http://schemas.openxmlformats.org/officeDocument/2006/relationships/hyperlink" Target="https://crmplus.zoho.in/agent/zohocorp/zoho-workdrive-presales/requests/details/205219031846283847" TargetMode="External"/><Relationship Id="rId235" Type="http://schemas.openxmlformats.org/officeDocument/2006/relationships/hyperlink" Target="mailto:ashishjain@pksurfacesystems.com" TargetMode="External"/><Relationship Id="rId236" Type="http://schemas.openxmlformats.org/officeDocument/2006/relationships/hyperlink" Target="https://crmplus.zoho.in/agent/zohocorp/zoho-workdrive-presales/requests/details/205219031496007675" TargetMode="External"/><Relationship Id="rId237" Type="http://schemas.openxmlformats.org/officeDocument/2006/relationships/hyperlink" Target="https://workdrive.zoho.in/file/gbhc30cfa5d7ff35f4fc486b8131f79c02715" TargetMode="External"/><Relationship Id="rId238" Type="http://schemas.openxmlformats.org/officeDocument/2006/relationships/hyperlink" Target="mailto:mohit@tekshapers.com" TargetMode="External"/><Relationship Id="rId239" Type="http://schemas.openxmlformats.org/officeDocument/2006/relationships/hyperlink" Target="https://crmplus.zoho.in/zohocorppace/index.do/cxapp/agent/zohocorp/zoho-workdrive-presales/requests/details/205219031809420206" TargetMode="External"/><Relationship Id="rId240" Type="http://schemas.openxmlformats.org/officeDocument/2006/relationships/hyperlink" Target="https://crmplus.zoho.in/crm/onezoho/tab/CustomModule3/1034361023692703925" TargetMode="External"/><Relationship Id="rId241" Type="http://schemas.openxmlformats.org/officeDocument/2006/relationships/hyperlink" Target="mailto:dkhan@careconnectionservices.com" TargetMode="External"/><Relationship Id="rId242" Type="http://schemas.openxmlformats.org/officeDocument/2006/relationships/hyperlink" Target="https://crmplus.zoho.in/zohocorppace/index.do/cxapp/agent/zohocorp/zoho-workdrive-presales/requests/details/205219031900041654" TargetMode="External"/><Relationship Id="rId243" Type="http://schemas.openxmlformats.org/officeDocument/2006/relationships/hyperlink" Target="https://crmplus.zoho.in/crm/onezoho/tab/CustomModule3/1034361023628069577" TargetMode="External"/><Relationship Id="rId244" Type="http://schemas.openxmlformats.org/officeDocument/2006/relationships/hyperlink" Target="mailto:nikhilvekariya33@gmail.com" TargetMode="External"/><Relationship Id="rId245" Type="http://schemas.openxmlformats.org/officeDocument/2006/relationships/hyperlink" Target="https://crmplus.zoho.in/agent/zohocorp/zoho-workdrive-presales/requests/details/205219031885484891" TargetMode="External"/><Relationship Id="rId246" Type="http://schemas.openxmlformats.org/officeDocument/2006/relationships/hyperlink" Target="https://workdrive.zoho.in/file/ws66n95137331b82d4dd79be7d1b878d9d350" TargetMode="External"/><Relationship Id="rId247" Type="http://schemas.openxmlformats.org/officeDocument/2006/relationships/hyperlink" Target="mailto:exec@killin.com.au" TargetMode="External"/><Relationship Id="rId248" Type="http://schemas.openxmlformats.org/officeDocument/2006/relationships/hyperlink" Target="https://crmplus.zoho.in/agent/zohocorp/zoho-workdrive-presales/requests/details/205219031561170803" TargetMode="External"/><Relationship Id="rId249" Type="http://schemas.openxmlformats.org/officeDocument/2006/relationships/hyperlink" Target="https://workdrive.zoho.in/file/gbhc3e9cb03128f494ddaac2336209ed3c549" TargetMode="External"/><Relationship Id="rId250" Type="http://schemas.openxmlformats.org/officeDocument/2006/relationships/hyperlink" Target="mailto:vishnus@softcell.com" TargetMode="External"/><Relationship Id="rId251" Type="http://schemas.openxmlformats.org/officeDocument/2006/relationships/hyperlink" Target="https://crmplus.zoho.in/zohocorppace/index.do/cxapp/agent/zohocorp/zoho-workdrive-presales/requests/details/205219031804294639" TargetMode="External"/><Relationship Id="rId252" Type="http://schemas.openxmlformats.org/officeDocument/2006/relationships/hyperlink" Target="mailto:automation.integration@myoperator.co" TargetMode="External"/><Relationship Id="rId253" Type="http://schemas.openxmlformats.org/officeDocument/2006/relationships/hyperlink" Target="https://crmplus.zoho.in/zohocorppace/index.do/cxapp/agent/zohocorp/zoho-workdrive-presales/requests/details/205219031913945111/conversation" TargetMode="External"/><Relationship Id="rId254" Type="http://schemas.openxmlformats.org/officeDocument/2006/relationships/hyperlink" Target="https://workdrive.zoho.in/file/v340a2b2cb5d262144407ba690cd28d76e4c1" TargetMode="External"/><Relationship Id="rId255" Type="http://schemas.openxmlformats.org/officeDocument/2006/relationships/hyperlink" Target="mailto:customdesign970@gmail.com" TargetMode="External"/><Relationship Id="rId256" Type="http://schemas.openxmlformats.org/officeDocument/2006/relationships/hyperlink" Target="https://crmplus.zoho.in/zohocorppace/index.do/cxapp/agent/zohocorp/zoho-workdrive-presales/requests/details/205219031903407988" TargetMode="External"/><Relationship Id="rId257" Type="http://schemas.openxmlformats.org/officeDocument/2006/relationships/hyperlink" Target="https://crmplus.zoho.in/zohocorppace/index.do/cxapp/crm/onezoho/tab/CustomModule3/1034361023662324241" TargetMode="External"/><Relationship Id="rId258" Type="http://schemas.openxmlformats.org/officeDocument/2006/relationships/hyperlink" Target="mailto:info@staffinitysolutions.co.uk" TargetMode="External"/><Relationship Id="rId259" Type="http://schemas.openxmlformats.org/officeDocument/2006/relationships/hyperlink" Target="https://crmplus.zoho.in/zohocorppace/index.do/cxapp/agent/zohocorp/zoho-workdrive-presales/requests/details/205219031858742934" TargetMode="External"/><Relationship Id="rId260" Type="http://schemas.openxmlformats.org/officeDocument/2006/relationships/hyperlink" Target="https://workdrive.zoho.in/file/rvdm5c3fd26af30844dfaad0bf37e34c3bd11" TargetMode="External"/><Relationship Id="rId261" Type="http://schemas.openxmlformats.org/officeDocument/2006/relationships/hyperlink" Target="mailto:nk@nkpr.in" TargetMode="External"/><Relationship Id="rId262" Type="http://schemas.openxmlformats.org/officeDocument/2006/relationships/hyperlink" Target="https://crmplus.zoho.in/zohocorppace/index.do/cxapp/agent/zohocorp/zoho-workdrive-presales/requests/details/205219031718350755/conversation" TargetMode="External"/><Relationship Id="rId263" Type="http://schemas.openxmlformats.org/officeDocument/2006/relationships/hyperlink" Target="mailto:arunrajchettiyar@gmail.com" TargetMode="External"/><Relationship Id="rId264" Type="http://schemas.openxmlformats.org/officeDocument/2006/relationships/hyperlink" Target="https://crmplus.zoho.in/zohocorppace/index.do/cxapp/agent/zohocorp/zoho-workdrive-presales/requests/details/205219031925476675" TargetMode="External"/><Relationship Id="rId265" Type="http://schemas.openxmlformats.org/officeDocument/2006/relationships/hyperlink" Target="https://crmplus.zoho.in/crm/onezoho/tab/CustomModule3/1034361023710027134" TargetMode="External"/><Relationship Id="rId266" Type="http://schemas.openxmlformats.org/officeDocument/2006/relationships/hyperlink" Target="https://workdrive.zoho.in/file/13zc92fe794d354db402b996bc446ecbf0307" TargetMode="External"/><Relationship Id="rId267" Type="http://schemas.openxmlformats.org/officeDocument/2006/relationships/hyperlink" Target="https://sprints.zoho.in/workspace/zdocs#P15/itemdetails/I2111" TargetMode="External"/><Relationship Id="rId268" Type="http://schemas.openxmlformats.org/officeDocument/2006/relationships/hyperlink" Target="mailto:pdalal@curruxvision.com" TargetMode="External"/><Relationship Id="rId269" Type="http://schemas.openxmlformats.org/officeDocument/2006/relationships/hyperlink" Target="https://crmplus.zoho.in/zohocorppace/index.do/cxapp/agent/zohocorp/zoho-workdrive-presales/requests/details/205219031877856077" TargetMode="External"/><Relationship Id="rId270" Type="http://schemas.openxmlformats.org/officeDocument/2006/relationships/hyperlink" Target="https://crmplus.zoho.in/crm/onezoho/tab/CustomModule3/1034361023710027148" TargetMode="External"/><Relationship Id="rId271" Type="http://schemas.openxmlformats.org/officeDocument/2006/relationships/hyperlink" Target="https://workdrive.zoho.in/file/13zc99de2f2829d704bd1b12d79423ab99308" TargetMode="External"/><Relationship Id="rId272" Type="http://schemas.openxmlformats.org/officeDocument/2006/relationships/hyperlink" Target="mailto:jashir.alimathil@dailydelight.com" TargetMode="External"/><Relationship Id="rId273" Type="http://schemas.openxmlformats.org/officeDocument/2006/relationships/hyperlink" Target="https://crmplus.zoho.in/zohocorppace/index.do/cxapp/agent/zohocorp/zoho-workdrive-presales/requests/details/205219031952266079" TargetMode="External"/><Relationship Id="rId274" Type="http://schemas.openxmlformats.org/officeDocument/2006/relationships/hyperlink" Target="https://workdrive.zoho.in/file/0vc1317ca5d797f3047cfb0f6218b3add78c1" TargetMode="External"/><Relationship Id="rId275" Type="http://schemas.openxmlformats.org/officeDocument/2006/relationships/hyperlink" Target="https://sprints.zoho.in/workspace/zdocs#P15/itemdetails/I7169" TargetMode="External"/><Relationship Id="rId276" Type="http://schemas.openxmlformats.org/officeDocument/2006/relationships/hyperlink" Target="mailto:preetam.shetty@navsanindia.com" TargetMode="External"/><Relationship Id="rId277" Type="http://schemas.openxmlformats.org/officeDocument/2006/relationships/hyperlink" Target="https://crmplus.zoho.in/zohocorppace/index.do/cxapp/agent/zohocorp/zoho-workdrive-presales/requests/details/205219031359041610" TargetMode="External"/><Relationship Id="rId278" Type="http://schemas.openxmlformats.org/officeDocument/2006/relationships/hyperlink" Target="https://crmplus.zoho.in/crm/onezoho/tab/CustomModule3/1034361023731405867" TargetMode="External"/><Relationship Id="rId279" Type="http://schemas.openxmlformats.org/officeDocument/2006/relationships/hyperlink" Target="https://workdrive.zoho.in/file/0vc13f0e971a6621c45f2b2cf93bfffcb934c" TargetMode="External"/><Relationship Id="rId280" Type="http://schemas.openxmlformats.org/officeDocument/2006/relationships/hyperlink" Target="https://sprints.zoho.in/workspace/zdocs#P15/itemdetails/I7129" TargetMode="External"/><Relationship Id="rId281" Type="http://schemas.openxmlformats.org/officeDocument/2006/relationships/hyperlink" Target="mailto:itsupport@thevatconsultant.com" TargetMode="External"/><Relationship Id="rId282" Type="http://schemas.openxmlformats.org/officeDocument/2006/relationships/hyperlink" Target="https://crmplus.zoho.in/agent/zohocorp/zoho-workdrive-presales/requests/details/205219031966901380" TargetMode="External"/><Relationship Id="rId283" Type="http://schemas.openxmlformats.org/officeDocument/2006/relationships/hyperlink" Target="https://workdrive.zoho.in/file/mnji985c271caecf6431a80364004fef296ec" TargetMode="External"/><Relationship Id="rId284" Type="http://schemas.openxmlformats.org/officeDocument/2006/relationships/hyperlink" Target="mailto:sohail@cloudmojo.tech" TargetMode="External"/><Relationship Id="rId285" Type="http://schemas.openxmlformats.org/officeDocument/2006/relationships/hyperlink" Target="https://crmplus.zoho.in/agent/zohocorp/zoho-workdrive-presales/requests/details/205219031920603855" TargetMode="External"/><Relationship Id="rId286" Type="http://schemas.openxmlformats.org/officeDocument/2006/relationships/hyperlink" Target="https://workdrive.zoho.in/file/mnji98d468b7a58414cf9b9d2954b3244220b" TargetMode="External"/><Relationship Id="rId287" Type="http://schemas.openxmlformats.org/officeDocument/2006/relationships/hyperlink" Target="mailto:nithin@purplerock.com" TargetMode="External"/><Relationship Id="rId288" Type="http://schemas.openxmlformats.org/officeDocument/2006/relationships/hyperlink" Target="https://crmplus.zoho.in/agent/zohocorp/zoho-workdrive-presales/requests/details/205219031916568499" TargetMode="External"/><Relationship Id="rId289" Type="http://schemas.openxmlformats.org/officeDocument/2006/relationships/hyperlink" Target="https://workdrive.zoho.in/file/mnji9baf42da68fbc4f56b72f89de92eef5ba" TargetMode="External"/><Relationship Id="rId290" Type="http://schemas.openxmlformats.org/officeDocument/2006/relationships/hyperlink" Target="mailto:accounts@dvmgopalandassociates.in" TargetMode="External"/><Relationship Id="rId291" Type="http://schemas.openxmlformats.org/officeDocument/2006/relationships/hyperlink" Target="https://crmplus.zoho.in/zohocorppace/index.do/cxapp/agent/zohocorp/zoho-workdrive-presales/requests/details/205219031988987179/conversation" TargetMode="External"/><Relationship Id="rId292" Type="http://schemas.openxmlformats.org/officeDocument/2006/relationships/hyperlink" Target="https://workdrive.zoho.in/file/0vc137f5da8f31ae54caa950b13d008620820" TargetMode="External"/><Relationship Id="rId293" Type="http://schemas.openxmlformats.org/officeDocument/2006/relationships/hyperlink" Target="mailto:sentme@zohomail.in" TargetMode="External"/><Relationship Id="rId294" Type="http://schemas.openxmlformats.org/officeDocument/2006/relationships/hyperlink" Target="https://crmplus.zoho.in/zohocorppace/index.do/cxapp/agent/zohocorp/zoho-workdrive-presales/requests/details/205219031971126092/conversation" TargetMode="External"/><Relationship Id="rId295" Type="http://schemas.openxmlformats.org/officeDocument/2006/relationships/hyperlink" Target="https://crmplus.zoho.in/crm/onezoho/tab/CustomModule3/1034361023795614682" TargetMode="External"/><Relationship Id="rId296" Type="http://schemas.openxmlformats.org/officeDocument/2006/relationships/hyperlink" Target="https://workdrive.zoho.in/file/mnji9b321c95e8ed5430ba4fb9fc1619264d9"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mailto:shinoy.thachapully@ae.mcd.com" TargetMode="External"/><Relationship Id="rId2" Type="http://schemas.openxmlformats.org/officeDocument/2006/relationships/hyperlink" Target="https://crmplus.zoho.in/zohocorppace/index.do/cxapp/agent/zohocorp/zoho-workdrive-presales/requests/details/205219032048403606" TargetMode="External"/><Relationship Id="rId3" Type="http://schemas.openxmlformats.org/officeDocument/2006/relationships/hyperlink" Target="mailto:info@prcas.com" TargetMode="External"/><Relationship Id="rId4" Type="http://schemas.openxmlformats.org/officeDocument/2006/relationships/hyperlink" Target="https://crmplus.zoho.in/agent/zohocorp/zoho-workdrive-presales/requests/details/205219031998248099" TargetMode="External"/><Relationship Id="rId5" Type="http://schemas.openxmlformats.org/officeDocument/2006/relationships/hyperlink" Target="https://workdrive.zoho.in/file/1obh949b6c61eb6a84224837ee046365ba7f4" TargetMode="External"/><Relationship Id="rId6" Type="http://schemas.openxmlformats.org/officeDocument/2006/relationships/hyperlink" Target="mailto:adam.teitelbaum@wartsila.com" TargetMode="External"/><Relationship Id="rId7" Type="http://schemas.openxmlformats.org/officeDocument/2006/relationships/hyperlink" Target="https://crmplus.zoho.in/zohocorppace/index.do/cxapp/agent/zohocorp/zoho-workdrive-presales/requests/details/205219032008285388" TargetMode="External"/><Relationship Id="rId8" Type="http://schemas.openxmlformats.org/officeDocument/2006/relationships/hyperlink" Target="https://workdrive.zoho.in/file/ddt54977a91741ab644a7a34ed16fdd888522" TargetMode="External"/><Relationship Id="rId9" Type="http://schemas.openxmlformats.org/officeDocument/2006/relationships/hyperlink" Target="mailto:atkconsult3@gmail.com" TargetMode="External"/><Relationship Id="rId10" Type="http://schemas.openxmlformats.org/officeDocument/2006/relationships/hyperlink" Target="https://crmplus.zoho.in/zohocorppace/index.do/cxapp/agent/zohocorp/zoho-workdrive-presales/requests/details/205219032022499629" TargetMode="External"/><Relationship Id="rId11" Type="http://schemas.openxmlformats.org/officeDocument/2006/relationships/hyperlink" Target="https://workdrive.zoho.in/file/f19a64b5d1cc9053747c28108e2dac2ef2202" TargetMode="External"/><Relationship Id="rId12" Type="http://schemas.openxmlformats.org/officeDocument/2006/relationships/hyperlink" Target="https://sprints.zoho.in/workspace/zdocs#P15/itemdetails/I6334/details" TargetMode="External"/><Relationship Id="rId13" Type="http://schemas.openxmlformats.org/officeDocument/2006/relationships/hyperlink" Target="mailto:jasonb@ricelandcabinet.com" TargetMode="External"/><Relationship Id="rId14" Type="http://schemas.openxmlformats.org/officeDocument/2006/relationships/hyperlink" Target="https://crmplus.zoho.in/zohocorppace/index.do/cxapp/agent/zohocorp/zoho-workdrive-presales/requests/details/205219031691171589" TargetMode="External"/><Relationship Id="rId15" Type="http://schemas.openxmlformats.org/officeDocument/2006/relationships/hyperlink" Target="https://crmplus.zoho.in/crm/onezoho/tab/CustomModule3/1034361023817784263" TargetMode="External"/><Relationship Id="rId16" Type="http://schemas.openxmlformats.org/officeDocument/2006/relationships/hyperlink" Target="https://workdrive.zoho.in/file/f19a68b15f4e7792d4555abacf49e9747e5fa" TargetMode="External"/><Relationship Id="rId17" Type="http://schemas.openxmlformats.org/officeDocument/2006/relationships/hyperlink" Target="mailto:jay19shah@gmail.com" TargetMode="External"/><Relationship Id="rId18" Type="http://schemas.openxmlformats.org/officeDocument/2006/relationships/hyperlink" Target="https://crmplus.zoho.in/zohocorppace/index.do/cxapp/agent/zohocorp/zoho-workdrive-presales/requests/details/205219032042035594" TargetMode="External"/><Relationship Id="rId19" Type="http://schemas.openxmlformats.org/officeDocument/2006/relationships/hyperlink" Target="https://crmplus.zoho.in/crm/onezoho/tab/CustomModule3/1034361023855830011" TargetMode="External"/><Relationship Id="rId20" Type="http://schemas.openxmlformats.org/officeDocument/2006/relationships/hyperlink" Target="https://workdrive.zoho.in/file/ddt54b473e77fb44945c293458b101e058863" TargetMode="External"/><Relationship Id="rId21" Type="http://schemas.openxmlformats.org/officeDocument/2006/relationships/hyperlink" Target="mailto:atchula@zohomail.in" TargetMode="External"/><Relationship Id="rId22" Type="http://schemas.openxmlformats.org/officeDocument/2006/relationships/hyperlink" Target="https://crmplus.zoho.in/agent/zohocorp/zoho-workdrive-presales/requests/details/205219032046993258" TargetMode="External"/><Relationship Id="rId23" Type="http://schemas.openxmlformats.org/officeDocument/2006/relationships/hyperlink" Target="https://workdrive.zoho.in/file/1obh926832b4cfd46447da8bc10c8696c80f3" TargetMode="External"/><Relationship Id="rId24" Type="http://schemas.openxmlformats.org/officeDocument/2006/relationships/hyperlink" Target="mailto:edp@krishcarbon.com" TargetMode="External"/><Relationship Id="rId25" Type="http://schemas.openxmlformats.org/officeDocument/2006/relationships/hyperlink" Target="https://crmplus.zoho.in/agent/zohocorp/zoho-workdrive-presales/requests/details/205219032037164870" TargetMode="External"/><Relationship Id="rId26" Type="http://schemas.openxmlformats.org/officeDocument/2006/relationships/hyperlink" Target="https://workdrive.zoho.in/file/1obh994e2751b212f4d9aadb75e58ef3b08b3" TargetMode="External"/><Relationship Id="rId27" Type="http://schemas.openxmlformats.org/officeDocument/2006/relationships/hyperlink" Target="mailto:anas@goldenfinty.com" TargetMode="External"/><Relationship Id="rId28" Type="http://schemas.openxmlformats.org/officeDocument/2006/relationships/hyperlink" Target="https://crmplus.zoho.in/agent/zohocorp/zoho-workdrive-presales/requests/details/205219032014683002" TargetMode="External"/><Relationship Id="rId29" Type="http://schemas.openxmlformats.org/officeDocument/2006/relationships/hyperlink" Target="https://workdrive.zoho.in/file/1obh945e5f09f915347f8b718ae51057b3684" TargetMode="External"/><Relationship Id="rId30" Type="http://schemas.openxmlformats.org/officeDocument/2006/relationships/hyperlink" Target="mailto:sumit@nagpal.law" TargetMode="External"/><Relationship Id="rId31" Type="http://schemas.openxmlformats.org/officeDocument/2006/relationships/hyperlink" Target="https://crmplus.zoho.in/agent/zohocorp/zoho-workdrive-presales/requests/details/205219030159100307" TargetMode="External"/><Relationship Id="rId32" Type="http://schemas.openxmlformats.org/officeDocument/2006/relationships/hyperlink" Target="https://workdrive.zoho.in/file/1obh9b436450577644980959b6c12196cae41" TargetMode="External"/><Relationship Id="rId33" Type="http://schemas.openxmlformats.org/officeDocument/2006/relationships/hyperlink" Target="mailto:raghav.banflexcables@gmail.com" TargetMode="External"/><Relationship Id="rId34" Type="http://schemas.openxmlformats.org/officeDocument/2006/relationships/hyperlink" Target="https://crmplus.zoho.in/zohocorppace/index.do/cxapp/agent/zohocorp/zoho-workdrive-presales/requests/details/205219032036874168/conversation" TargetMode="External"/><Relationship Id="rId35" Type="http://schemas.openxmlformats.org/officeDocument/2006/relationships/hyperlink" Target="https://crmplus.zoho.in/crm/onezoho/tab/CustomModule3/1034361023873040699" TargetMode="External"/><Relationship Id="rId36" Type="http://schemas.openxmlformats.org/officeDocument/2006/relationships/hyperlink" Target="https://workdrive.zoho.in/file/r9vht2a9685e2dd3b425e8b317fd51a72891c" TargetMode="External"/><Relationship Id="rId37" Type="http://schemas.openxmlformats.org/officeDocument/2006/relationships/hyperlink" Target="mailto:nistha@caankur.com" TargetMode="External"/><Relationship Id="rId38" Type="http://schemas.openxmlformats.org/officeDocument/2006/relationships/hyperlink" Target="https://crmplus.zoho.in/zohocorppace/index.do/cxapp/agent/zohocorp/zoho-workdrive-presales/requests/details/205219032041834804" TargetMode="External"/><Relationship Id="rId39" Type="http://schemas.openxmlformats.org/officeDocument/2006/relationships/hyperlink" Target="https://crmplus.zoho.in/crm/onezoho/tab/CustomModule3/1034361023874521412" TargetMode="External"/><Relationship Id="rId40" Type="http://schemas.openxmlformats.org/officeDocument/2006/relationships/hyperlink" Target="https://workdrive.zoho.in/file/ddt54852a6401347e4589aa9fca6f858d7e35" TargetMode="External"/><Relationship Id="rId41" Type="http://schemas.openxmlformats.org/officeDocument/2006/relationships/hyperlink" Target="https://crmplus.zoho.in/zohocorppace/index.do/cxapp/agent/zohocorp/zoho-workdrive-presales/requests/details/205219032054984506" TargetMode="External"/><Relationship Id="rId42" Type="http://schemas.openxmlformats.org/officeDocument/2006/relationships/hyperlink" Target="mailto:fabian.newman@oakleewellnessbilling.com" TargetMode="External"/><Relationship Id="rId43" Type="http://schemas.openxmlformats.org/officeDocument/2006/relationships/hyperlink" Target="https://workdrive.zoho.in/file/1obh9726447234096497e869ae92c4e54a8dd" TargetMode="External"/><Relationship Id="rId44" Type="http://schemas.openxmlformats.org/officeDocument/2006/relationships/hyperlink" Target="mailto:caakashag9@gmail.com" TargetMode="External"/><Relationship Id="rId45" Type="http://schemas.openxmlformats.org/officeDocument/2006/relationships/hyperlink" Target="https://crmplus.zoho.in/zohocorppace/index.do/cxapp/agent/zohocorp/zoho-workdrive-presales/requests/details/205219031893865832/conversation" TargetMode="External"/><Relationship Id="rId46" Type="http://schemas.openxmlformats.org/officeDocument/2006/relationships/hyperlink" Target="https://crmplus.zoho.in/crm/onezoho/tab/CustomModule3/1034361023948669524" TargetMode="External"/><Relationship Id="rId47" Type="http://schemas.openxmlformats.org/officeDocument/2006/relationships/hyperlink" Target="mailto:ali@emeraldenc.com" TargetMode="External"/><Relationship Id="rId48" Type="http://schemas.openxmlformats.org/officeDocument/2006/relationships/hyperlink" Target="https://crmplus.zoho.in/zohocorppace/index.do/cxapp/agent/zohocorp/zoho-workdrive-presales/requests/details/205219031582469823/conversation" TargetMode="External"/><Relationship Id="rId49" Type="http://schemas.openxmlformats.org/officeDocument/2006/relationships/hyperlink" Target="https://crmplus.zoho.in/crm/onezoho/tab/CustomModule3/1034361023952431271" TargetMode="External"/><Relationship Id="rId50" Type="http://schemas.openxmlformats.org/officeDocument/2006/relationships/hyperlink" Target="https://workdrive.zoho.in/file/nkkih6525f41b96f04f6c90174e81ad70956a" TargetMode="External"/><Relationship Id="rId51" Type="http://schemas.openxmlformats.org/officeDocument/2006/relationships/hyperlink" Target="https://sprints.zoho.in/workspace/zdocs#P15/itemdetails/I7452/details" TargetMode="External"/><Relationship Id="rId52" Type="http://schemas.openxmlformats.org/officeDocument/2006/relationships/hyperlink" Target="mailto:kunal.parikh@ralsonics.com" TargetMode="External"/><Relationship Id="rId53" Type="http://schemas.openxmlformats.org/officeDocument/2006/relationships/hyperlink" Target="https://crmplus.zoho.in/agent/zohocorp/zoho-workdrive-presales/requests/details/205219032045213819" TargetMode="External"/><Relationship Id="rId54" Type="http://schemas.openxmlformats.org/officeDocument/2006/relationships/hyperlink" Target="mailto:itkaraulibhojubeer@gmail.com" TargetMode="External"/><Relationship Id="rId55" Type="http://schemas.openxmlformats.org/officeDocument/2006/relationships/hyperlink" Target="https://crmplus.zoho.in/agent/zohocorp/zoho-workdrive-presales/requests/details/205219032040590382" TargetMode="External"/><Relationship Id="rId56" Type="http://schemas.openxmlformats.org/officeDocument/2006/relationships/hyperlink" Target="mailto:imartinez@jasperenterprisesinc.com" TargetMode="External"/><Relationship Id="rId57" Type="http://schemas.openxmlformats.org/officeDocument/2006/relationships/hyperlink" Target="https://crmplus.zoho.in/zohocorppace/index.do/cxapp/agent/zohocorp/zoho-workdrive-presales/requests/details/205219032058246407" TargetMode="External"/><Relationship Id="rId58" Type="http://schemas.openxmlformats.org/officeDocument/2006/relationships/hyperlink" Target="mailto:knconsultantsind@gmail.com" TargetMode="External"/><Relationship Id="rId59" Type="http://schemas.openxmlformats.org/officeDocument/2006/relationships/hyperlink" Target="https://crmplus.zoho.in/agent/zohocorp/zoho-workdrive-presales/requests/details/205219032066975460" TargetMode="External"/><Relationship Id="rId60" Type="http://schemas.openxmlformats.org/officeDocument/2006/relationships/hyperlink" Target="mailto:mohamed.aareef@kiongroup.com" TargetMode="External"/><Relationship Id="rId61" Type="http://schemas.openxmlformats.org/officeDocument/2006/relationships/hyperlink" Target="https://crmplus.zoho.in/zohocorppace/index.do/cxapp/agent/zohocorp/zoho-workdrive-presales/requests/details/205219032099949975" TargetMode="External"/><Relationship Id="rId62" Type="http://schemas.openxmlformats.org/officeDocument/2006/relationships/hyperlink" Target="https://crmplus.zoho.in/crm/onezoho/tab/CustomModule3/1034361023960815206" TargetMode="External"/><Relationship Id="rId63" Type="http://schemas.openxmlformats.org/officeDocument/2006/relationships/hyperlink" Target="https://connect.zoho.in/portal/intranet/stream/155936001937416566" TargetMode="External"/><Relationship Id="rId64" Type="http://schemas.openxmlformats.org/officeDocument/2006/relationships/hyperlink" Target="https://workdrive.zoho.in/file/nkkih8d3e828a2009425db49f3b564a0275f6" TargetMode="External"/><Relationship Id="rId65" Type="http://schemas.openxmlformats.org/officeDocument/2006/relationships/hyperlink" Target="https://sprints.zoho.in/workspace/zdocs#P15/itemdetails/I7323" TargetMode="External"/><Relationship Id="rId66" Type="http://schemas.openxmlformats.org/officeDocument/2006/relationships/hyperlink" Target="mailto:jennifer.gonzalez@graphite-technology.com" TargetMode="External"/><Relationship Id="rId67" Type="http://schemas.openxmlformats.org/officeDocument/2006/relationships/hyperlink" Target="https://crmplus.zoho.in/zohocorppace/index.do/cxapp/agent/zohocorp/zoho-workdrive-presales/requests/details/205219031885989950" TargetMode="External"/><Relationship Id="rId68" Type="http://schemas.openxmlformats.org/officeDocument/2006/relationships/hyperlink" Target="https://crmplus.zoho.in/crm/onezoho/tab/CustomModule3/1034361023960024466" TargetMode="External"/><Relationship Id="rId69" Type="http://schemas.openxmlformats.org/officeDocument/2006/relationships/hyperlink" Target="mailto:livingston.d@tsts.in" TargetMode="External"/><Relationship Id="rId70" Type="http://schemas.openxmlformats.org/officeDocument/2006/relationships/hyperlink" Target="https://crmplus.zoho.in/zohocorppace/index.do/cxapp/agent/zohocorp/zoho-workdrive-presales/requests/details/205219031020515079/conversation" TargetMode="External"/><Relationship Id="rId71" Type="http://schemas.openxmlformats.org/officeDocument/2006/relationships/hyperlink" Target="https://crmplus.zoho.in/crm/onezoho/tab/CustomModule3/1034361024072654308" TargetMode="External"/><Relationship Id="rId72" Type="http://schemas.openxmlformats.org/officeDocument/2006/relationships/hyperlink" Target="https://connect.zoho.in/portal/intranet/stream/155936001942205945" TargetMode="External"/><Relationship Id="rId73" Type="http://schemas.openxmlformats.org/officeDocument/2006/relationships/hyperlink" Target="https://workdrive.zoho.in/file/ws66n9a4da5e250824d7b800882b457718ec6" TargetMode="External"/><Relationship Id="rId74" Type="http://schemas.openxmlformats.org/officeDocument/2006/relationships/hyperlink" Target="https://sprints.zoho.in/workspace/zdocs#P15/itemdetails/I7453" TargetMode="External"/><Relationship Id="rId75" Type="http://schemas.openxmlformats.org/officeDocument/2006/relationships/hyperlink" Target="mailto:kunal@spap.in" TargetMode="External"/><Relationship Id="rId76" Type="http://schemas.openxmlformats.org/officeDocument/2006/relationships/hyperlink" Target="https://crmplus.zoho.in/zohocorppace/index.do/cxapp/agent/zohocorp/zoho-workdrive-presales/requests/details/205219031391112066" TargetMode="External"/><Relationship Id="rId77" Type="http://schemas.openxmlformats.org/officeDocument/2006/relationships/hyperlink" Target="https://crmplus.zoho.in/crm/onezoho/tab/CustomModule3/1034361024100042354" TargetMode="External"/><Relationship Id="rId78" Type="http://schemas.openxmlformats.org/officeDocument/2006/relationships/hyperlink" Target="mailto:parthiv.panchal@devx.work" TargetMode="External"/><Relationship Id="rId79" Type="http://schemas.openxmlformats.org/officeDocument/2006/relationships/hyperlink" Target="https://crmplus.zoho.in/zohocorppace/index.do/cxapp/agent/zohocorp/zoho-workdrive-presales/requests/details/205219032118944256/conversation" TargetMode="External"/><Relationship Id="rId80" Type="http://schemas.openxmlformats.org/officeDocument/2006/relationships/hyperlink" Target="https://workdrive.zoho.in/file/l9oi3ec56b991bdab4ede89cafb10dcfff39f" TargetMode="External"/><Relationship Id="rId81" Type="http://schemas.openxmlformats.org/officeDocument/2006/relationships/hyperlink" Target="mailto:abhay.nawale@gmail.com" TargetMode="External"/><Relationship Id="rId82" Type="http://schemas.openxmlformats.org/officeDocument/2006/relationships/hyperlink" Target="https://crmplus.zoho.in/zohocorppace/index.do/cxapp/agent/zohocorp/zoho-workdrive-presales/requests/details/205219031849228617" TargetMode="External"/><Relationship Id="rId83" Type="http://schemas.openxmlformats.org/officeDocument/2006/relationships/hyperlink" Target="mailto:sachin.baluja@shivnadarfoundation.org" TargetMode="External"/><Relationship Id="rId84" Type="http://schemas.openxmlformats.org/officeDocument/2006/relationships/hyperlink" Target="https://crmplus.zoho.in/zohocorppace/index.do/cxapp/agent/zohocorp/zoho-workdrive-presales/requests/details/205219030865432211" TargetMode="External"/><Relationship Id="rId85" Type="http://schemas.openxmlformats.org/officeDocument/2006/relationships/hyperlink" Target="https://connect.zoho.in/portal/intranet/stream/155936001877412317/155936001936851138" TargetMode="External"/><Relationship Id="rId86" Type="http://schemas.openxmlformats.org/officeDocument/2006/relationships/hyperlink" Target="https://sprints.zoho.in/workspace/zdocs#P15/itemdetails/I7462" TargetMode="External"/><Relationship Id="rId87" Type="http://schemas.openxmlformats.org/officeDocument/2006/relationships/hyperlink" Target="mailto:siddhartha.sarkar@meldx.in" TargetMode="External"/><Relationship Id="rId88" Type="http://schemas.openxmlformats.org/officeDocument/2006/relationships/hyperlink" Target="https://crmplus.zoho.in/agent/zohocorp/zoho-workdrive-presales/requests/details/205219032129393855" TargetMode="External"/><Relationship Id="rId89" Type="http://schemas.openxmlformats.org/officeDocument/2006/relationships/hyperlink" Target="https://workdrive.zoho.in/file/ws66n2068f095eb244e17bcfda294fab89640" TargetMode="External"/><Relationship Id="rId90" Type="http://schemas.openxmlformats.org/officeDocument/2006/relationships/hyperlink" Target="mailto:ranjith@rantronicstechnology.com" TargetMode="External"/><Relationship Id="rId91" Type="http://schemas.openxmlformats.org/officeDocument/2006/relationships/hyperlink" Target="https://crmplus.zoho.in/zohocorppace/index.do/cxapp/agent/zohocorp/zoho-workdrive-presales/requests/details/205219031896604714/conversation" TargetMode="External"/><Relationship Id="rId92" Type="http://schemas.openxmlformats.org/officeDocument/2006/relationships/hyperlink" Target="mailto:tawarventures@gmail.com" TargetMode="External"/><Relationship Id="rId93" Type="http://schemas.openxmlformats.org/officeDocument/2006/relationships/hyperlink" Target="https://writer.zoho.in/writer/open/c5nwu58a8a138b21b4d52932887cb4d44f22a" TargetMode="External"/><Relationship Id="rId94" Type="http://schemas.openxmlformats.org/officeDocument/2006/relationships/hyperlink" Target="https://crmplus.zoho.in/crm/onezoho/tab/CustomModule3/1034361024038077383" TargetMode="External"/><Relationship Id="rId95" Type="http://schemas.openxmlformats.org/officeDocument/2006/relationships/hyperlink" Target="https://workdrive.zoho.in/file/qn8e235d74a6d117a483bbdefa9c727b0fa21" TargetMode="External"/><Relationship Id="rId96" Type="http://schemas.openxmlformats.org/officeDocument/2006/relationships/hyperlink" Target="mailto:waqas@global-security.co.uk" TargetMode="External"/><Relationship Id="rId97" Type="http://schemas.openxmlformats.org/officeDocument/2006/relationships/hyperlink" Target="https://help.zoho.eu/agent/zcorpeu/zoho-workdrive-presales/tickets/details/63904001484323109" TargetMode="External"/><Relationship Id="rId98" Type="http://schemas.openxmlformats.org/officeDocument/2006/relationships/hyperlink" Target="https://workdrive.zoho.in/file/qn8e2b7b59b3a3bff4390a56c43b1f39f0467" TargetMode="External"/><Relationship Id="rId99" Type="http://schemas.openxmlformats.org/officeDocument/2006/relationships/hyperlink" Target="mailto:sskpas@gmail.com" TargetMode="External"/><Relationship Id="rId100" Type="http://schemas.openxmlformats.org/officeDocument/2006/relationships/hyperlink" Target="https://crmplus.zoho.in/agent/zohocorp/zoho-workdrive-presales/requests/details/205219032197959655" TargetMode="External"/><Relationship Id="rId101" Type="http://schemas.openxmlformats.org/officeDocument/2006/relationships/hyperlink" Target="https://workdrive.zoho.in/file/gxtko8201ea5bcc934808bfaf4bb276c1a46d" TargetMode="External"/><Relationship Id="rId102" Type="http://schemas.openxmlformats.org/officeDocument/2006/relationships/hyperlink" Target="mailto:nupur.madaan@fwdefence.com" TargetMode="External"/><Relationship Id="rId103" Type="http://schemas.openxmlformats.org/officeDocument/2006/relationships/hyperlink" Target="https://crmplus.zoho.in/zohocorppace/index.do/cxapp/agent/zohocorp/zoho-workdrive-presales/requests/details/205219032120279009" TargetMode="External"/><Relationship Id="rId104" Type="http://schemas.openxmlformats.org/officeDocument/2006/relationships/hyperlink" Target="https://crmplus.zoho.in/zohocorppace/index.do/cxapp/crm/onezoho/tab/CustomModule3/1034361024691296398" TargetMode="External"/><Relationship Id="rId105" Type="http://schemas.openxmlformats.org/officeDocument/2006/relationships/hyperlink" Target="https://workdrive.zoho.in/file/ltgcl01fc2fc3fc464fff99738df1a7a8d0ae" TargetMode="External"/><Relationship Id="rId106" Type="http://schemas.openxmlformats.org/officeDocument/2006/relationships/hyperlink" Target="mailto:sumeet.sodhani@gmail.com" TargetMode="External"/><Relationship Id="rId107" Type="http://schemas.openxmlformats.org/officeDocument/2006/relationships/hyperlink" Target="https://crmplus.zoho.in/zohocorppace/index.do/cxapp/agent/zohocorp/zoho-workdrive-presales/requests/details/205219032206287721" TargetMode="External"/><Relationship Id="rId108" Type="http://schemas.openxmlformats.org/officeDocument/2006/relationships/hyperlink" Target="https://crmplus.zoho.in/crm/onezoho/tab/CustomModule3/1034361024080551615" TargetMode="External"/><Relationship Id="rId109" Type="http://schemas.openxmlformats.org/officeDocument/2006/relationships/hyperlink" Target="https://workdrive.zoho.in/file/l9oi3432634188af347c5a8551f628bfcc383" TargetMode="External"/><Relationship Id="rId110" Type="http://schemas.openxmlformats.org/officeDocument/2006/relationships/hyperlink" Target="mailto:akash.gupta@veeline.com" TargetMode="External"/><Relationship Id="rId111" Type="http://schemas.openxmlformats.org/officeDocument/2006/relationships/hyperlink" Target="https://crmplus.zoho.in/agent/zohocorp/zoho-workdrive-presales/requests/details/205219032203466208" TargetMode="External"/><Relationship Id="rId112" Type="http://schemas.openxmlformats.org/officeDocument/2006/relationships/hyperlink" Target="https://workdrive.zoho.in/file/gxtko8201ea5bcc934808bfaf4bb276c1a46d" TargetMode="External"/><Relationship Id="rId113" Type="http://schemas.openxmlformats.org/officeDocument/2006/relationships/hyperlink" Target="mailto:csgsbhat@gmail.com" TargetMode="External"/><Relationship Id="rId114" Type="http://schemas.openxmlformats.org/officeDocument/2006/relationships/hyperlink" Target="https://crmplus.zoho.in/agent/zohocorp/zoho-workdrive-presales/requests/details/205219031751790949" TargetMode="External"/><Relationship Id="rId115" Type="http://schemas.openxmlformats.org/officeDocument/2006/relationships/hyperlink" Target="https://workdrive.zoho.in/file/f05xz2c1964cc8d5a4fb4895756925558c6f5" TargetMode="External"/><Relationship Id="rId116" Type="http://schemas.openxmlformats.org/officeDocument/2006/relationships/hyperlink" Target="mailto:sam@goodluckusa.com" TargetMode="External"/><Relationship Id="rId117" Type="http://schemas.openxmlformats.org/officeDocument/2006/relationships/hyperlink" Target="https://crmplus.zoho.in/zohocorppace/index.do/cxapp/agent/zohocorp/zoho-workdrive-presales/requests/details/205219032213772647/conversation" TargetMode="External"/><Relationship Id="rId118" Type="http://schemas.openxmlformats.org/officeDocument/2006/relationships/hyperlink" Target="https://workdrive.zoho.in/file/xgtrm7aa2c9b2129043edad6536e201bbe431" TargetMode="External"/><Relationship Id="rId119" Type="http://schemas.openxmlformats.org/officeDocument/2006/relationships/hyperlink" Target="mailto:jagachchandarr.ljconsulting@gmail.com" TargetMode="External"/><Relationship Id="rId120" Type="http://schemas.openxmlformats.org/officeDocument/2006/relationships/hyperlink" Target="https://crmplus.zoho.in/zohocorppace/index.do/cxapp/agent/zohocorp/zoho-workdrive-presales/requests/details/205219032254491313" TargetMode="External"/><Relationship Id="rId121" Type="http://schemas.openxmlformats.org/officeDocument/2006/relationships/hyperlink" Target="mailto:jyoti@kelevosoftware.co.in" TargetMode="External"/><Relationship Id="rId122" Type="http://schemas.openxmlformats.org/officeDocument/2006/relationships/hyperlink" Target="https://crmplus.zoho.in/zohocorppace/index.do/cxapp/agent/zohocorp/zoho-workdrive-presales/requests/details/205219032257548002/conversation" TargetMode="External"/><Relationship Id="rId123" Type="http://schemas.openxmlformats.org/officeDocument/2006/relationships/hyperlink" Target="https://workdrive.zoho.in/file/l8q3i4edfebc500ce4333a3e73e053bf945ba" TargetMode="External"/><Relationship Id="rId124" Type="http://schemas.openxmlformats.org/officeDocument/2006/relationships/hyperlink" Target="mailto:it.admin@petiolehub.com" TargetMode="External"/><Relationship Id="rId125" Type="http://schemas.openxmlformats.org/officeDocument/2006/relationships/hyperlink" Target="https://crmplus.zoho.in/zohocorppace/index.do/cxapp/agent/zohocorp/zoho-workdrive-presales/requests/details/205219032269780038/conversation" TargetMode="External"/><Relationship Id="rId126" Type="http://schemas.openxmlformats.org/officeDocument/2006/relationships/hyperlink" Target="https://crmplus.zoho.in/crm/onezoho/tab/CustomModule3/1034361024136137799" TargetMode="External"/><Relationship Id="rId127" Type="http://schemas.openxmlformats.org/officeDocument/2006/relationships/hyperlink" Target="https://workdrive.zoho.in/file/l8q3i6e9182268b4642878f50f036b4a10694" TargetMode="External"/><Relationship Id="rId128" Type="http://schemas.openxmlformats.org/officeDocument/2006/relationships/hyperlink" Target="mailto:jigna.vr@gmail.com" TargetMode="External"/><Relationship Id="rId129" Type="http://schemas.openxmlformats.org/officeDocument/2006/relationships/hyperlink" Target="https://crmplus.zoho.in/zohocorppace/index.do/cxapp/agent/zohocorp/zoho-workdrive-presales/requests/details/205219032196644400" TargetMode="External"/><Relationship Id="rId130" Type="http://schemas.openxmlformats.org/officeDocument/2006/relationships/hyperlink" Target="https://workdrive.zoho.in/file/bs2ila6b142c1f95145d0b999f87d14b9df00" TargetMode="External"/><Relationship Id="rId131" Type="http://schemas.openxmlformats.org/officeDocument/2006/relationships/hyperlink" Target="mailto:matt.birtwhistle@jbagroup.co.uk" TargetMode="External"/><Relationship Id="rId132" Type="http://schemas.openxmlformats.org/officeDocument/2006/relationships/hyperlink" Target="https://crmplus.zoho.in/zohocorppace/index.do/cxapp/agent/zohocorp/zoho-workdrive-presales/requests/details/205219028617536921" TargetMode="External"/><Relationship Id="rId133" Type="http://schemas.openxmlformats.org/officeDocument/2006/relationships/hyperlink" Target="mailto:mohamed.aareef@kiongroup.com" TargetMode="External"/><Relationship Id="rId134" Type="http://schemas.openxmlformats.org/officeDocument/2006/relationships/hyperlink" Target="https://crmplus.zoho.in/zohocorppace/index.do/cxapp/agent/zohocorp/zoho-workdrive-presales/requests/details/205219032099949975" TargetMode="External"/><Relationship Id="rId135" Type="http://schemas.openxmlformats.org/officeDocument/2006/relationships/hyperlink" Target="https://sprints.zoho.in/workspace/zdocs#P15/itemdetails/I7323" TargetMode="External"/><Relationship Id="rId136" Type="http://schemas.openxmlformats.org/officeDocument/2006/relationships/hyperlink" Target="mailto:shinoy.thachapully@ae.mcd.com" TargetMode="External"/><Relationship Id="rId137" Type="http://schemas.openxmlformats.org/officeDocument/2006/relationships/hyperlink" Target="https://crmplus.zoho.in/zohocorppace/index.do/cxapp/agent/zohocorp/zoho-workdrive-presales/requests/details/205219032048403606" TargetMode="External"/><Relationship Id="rId138" Type="http://schemas.openxmlformats.org/officeDocument/2006/relationships/hyperlink" Target="mailto:keir@dbmp.com" TargetMode="External"/><Relationship Id="rId139" Type="http://schemas.openxmlformats.org/officeDocument/2006/relationships/hyperlink" Target="https://crmplus.zoho.in/zohocorppace/index.do/cxapp/agent/zohocorp/zoho-workdrive-presales/requests/details/205219032276515650" TargetMode="External"/><Relationship Id="rId140" Type="http://schemas.openxmlformats.org/officeDocument/2006/relationships/hyperlink" Target="mailto:iakashsharma68@gmail.com" TargetMode="External"/><Relationship Id="rId141" Type="http://schemas.openxmlformats.org/officeDocument/2006/relationships/hyperlink" Target="https://crmplus.zoho.in/zohocorppace/index.do/cxapp/agent/zohocorp/zoho-workdrive-presales/requests/details/205219032304863125" TargetMode="External"/><Relationship Id="rId142" Type="http://schemas.openxmlformats.org/officeDocument/2006/relationships/hyperlink" Target="https://workdrive.zoho.in/file/9rfbo7b58a28a890f43559c2c62417c28e369" TargetMode="External"/><Relationship Id="rId143" Type="http://schemas.openxmlformats.org/officeDocument/2006/relationships/hyperlink" Target="mailto:rrangdal@agility.com" TargetMode="External"/><Relationship Id="rId144" Type="http://schemas.openxmlformats.org/officeDocument/2006/relationships/hyperlink" Target="https://crmplus.zoho.in/zohocorppace/index.do/cxapp/agent/zohocorp/zoho-workdrive-presales/requests/details/205219032305627824" TargetMode="External"/><Relationship Id="rId145" Type="http://schemas.openxmlformats.org/officeDocument/2006/relationships/hyperlink" Target="https://crmplus.zoho.in/crm/onezoho/tab/CustomModule3/1034361024298563574" TargetMode="External"/><Relationship Id="rId146" Type="http://schemas.openxmlformats.org/officeDocument/2006/relationships/hyperlink" Target="https://workdrive.zoho.in/file/b2sef14488879233543d2b37fe060981ada85" TargetMode="External"/><Relationship Id="rId147" Type="http://schemas.openxmlformats.org/officeDocument/2006/relationships/hyperlink" Target="https://sprints.zoho.in/workspace/zdocs#P15/itemdetails/I7454" TargetMode="External"/><Relationship Id="rId148" Type="http://schemas.openxmlformats.org/officeDocument/2006/relationships/hyperlink" Target="mailto:ravishmaniyar@gmail.com" TargetMode="External"/><Relationship Id="rId149" Type="http://schemas.openxmlformats.org/officeDocument/2006/relationships/hyperlink" Target="https://crmplus.zoho.in/agent/zohocorp/zoho-workdrive-presales/requests/details/205219030156774536" TargetMode="External"/><Relationship Id="rId150" Type="http://schemas.openxmlformats.org/officeDocument/2006/relationships/hyperlink" Target="https://workdrive.zoho.in/file/b3vi3d3a6e4167ded4eaea22c9b26ecea75e4" TargetMode="External"/><Relationship Id="rId151" Type="http://schemas.openxmlformats.org/officeDocument/2006/relationships/hyperlink" Target="mailto:anil.kunda@charismight.com" TargetMode="External"/><Relationship Id="rId152" Type="http://schemas.openxmlformats.org/officeDocument/2006/relationships/hyperlink" Target="https://crmplus.zoho.in/agent/zohocorp/zoho-workdrive-presales/requests/details/205219032303167970" TargetMode="External"/><Relationship Id="rId153" Type="http://schemas.openxmlformats.org/officeDocument/2006/relationships/hyperlink" Target="https://workdrive.zoho.in/file/b3vi3894bee8af7194e62b3ecb831ee679525" TargetMode="External"/><Relationship Id="rId154" Type="http://schemas.openxmlformats.org/officeDocument/2006/relationships/hyperlink" Target="mailto:abhilash@mecpl.in" TargetMode="External"/><Relationship Id="rId155" Type="http://schemas.openxmlformats.org/officeDocument/2006/relationships/hyperlink" Target="https://crmplus.zoho.in/zohocorppace/index.do/cxapp/agent/zohocorp/zoho-workdrive-presales/requests/details/205219032333241618" TargetMode="External"/><Relationship Id="rId156" Type="http://schemas.openxmlformats.org/officeDocument/2006/relationships/hyperlink" Target="https://crmplus.zoho.in/crm/onezoho/tab/CustomModule3/1034361024308734170" TargetMode="External"/><Relationship Id="rId157" Type="http://schemas.openxmlformats.org/officeDocument/2006/relationships/hyperlink" Target="https://connect.zoho.in/portal/intranet/stream/155936001954222942" TargetMode="External"/><Relationship Id="rId158" Type="http://schemas.openxmlformats.org/officeDocument/2006/relationships/hyperlink" Target="https://workdrive.zoho.in/file/8boq9281db074b5bb4274a60c08ba4ee05f26" TargetMode="External"/><Relationship Id="rId159" Type="http://schemas.openxmlformats.org/officeDocument/2006/relationships/hyperlink" Target="mailto:civani@sisgea.com" TargetMode="External"/><Relationship Id="rId160" Type="http://schemas.openxmlformats.org/officeDocument/2006/relationships/hyperlink" Target="https://crmplus.zoho.in/zohocorppace/index.do/cxapp/agent/zohocorp/zoho-workdrive-presales/requests/details/205219032317910794" TargetMode="External"/><Relationship Id="rId161" Type="http://schemas.openxmlformats.org/officeDocument/2006/relationships/hyperlink" Target="mailto:george@gcgtax.ca" TargetMode="External"/><Relationship Id="rId162" Type="http://schemas.openxmlformats.org/officeDocument/2006/relationships/hyperlink" Target="https://crmplus.zoho.in/zohocorppace/index.do/cxapp/agent/zohocorp/zoho-workdrive-presales/requests/details/205219032332210069" TargetMode="External"/><Relationship Id="rId163" Type="http://schemas.openxmlformats.org/officeDocument/2006/relationships/hyperlink" Target="https://crmplus.zoho.in/crm/onezoho/tab/CustomModule3/1034361024304470006" TargetMode="External"/><Relationship Id="rId164" Type="http://schemas.openxmlformats.org/officeDocument/2006/relationships/hyperlink" Target="https://workdrive.zoho.in/file/b2sefe10c440522e74bd1be09069d7225ae7f" TargetMode="External"/><Relationship Id="rId165" Type="http://schemas.openxmlformats.org/officeDocument/2006/relationships/hyperlink" Target="https://sprints.zoho.in/workspace/zdocs#P15/itemdetails/I7480" TargetMode="External"/><Relationship Id="rId166" Type="http://schemas.openxmlformats.org/officeDocument/2006/relationships/hyperlink" Target="mailto:ea@pasarigroup.com" TargetMode="External"/><Relationship Id="rId167" Type="http://schemas.openxmlformats.org/officeDocument/2006/relationships/hyperlink" Target="https://crmplus.zoho.in/zohocorppace/index.do/cxapp/agent/zohocorp/zoho-workdrive-presales/requests/details/205219032329299195" TargetMode="External"/><Relationship Id="rId168" Type="http://schemas.openxmlformats.org/officeDocument/2006/relationships/hyperlink" Target="https://workdrive.zoho.in/file/bs2ila6b142c1f95145d0b999f87d14b9df00" TargetMode="External"/><Relationship Id="rId169" Type="http://schemas.openxmlformats.org/officeDocument/2006/relationships/hyperlink" Target="mailto:ashok_gaikar@icicipruamc.com" TargetMode="External"/><Relationship Id="rId170" Type="http://schemas.openxmlformats.org/officeDocument/2006/relationships/hyperlink" Target="https://crmplus.zoho.in/zohocorppace/index.do/cxapp/agent/zohocorp/zoho-workdrive-presales/requests/details/205219032355266388" TargetMode="External"/><Relationship Id="rId171" Type="http://schemas.openxmlformats.org/officeDocument/2006/relationships/hyperlink" Target="https://sprints.zoho.in/workspace/zdocs#P15/itemdetails/I7467/details" TargetMode="External"/><Relationship Id="rId172" Type="http://schemas.openxmlformats.org/officeDocument/2006/relationships/hyperlink" Target="mailto:hospitalityfunding@yahoo.com" TargetMode="External"/><Relationship Id="rId173" Type="http://schemas.openxmlformats.org/officeDocument/2006/relationships/hyperlink" Target="https://crmplus.zoho.in/zohocorppace/index.do/cxapp/agent/zohocorp/zoho-workdrive-presales/requests/details/205219032320530105" TargetMode="External"/><Relationship Id="rId174" Type="http://schemas.openxmlformats.org/officeDocument/2006/relationships/hyperlink" Target="mailto:ashok_gaikar@icicipruamc.com" TargetMode="External"/><Relationship Id="rId175" Type="http://schemas.openxmlformats.org/officeDocument/2006/relationships/hyperlink" Target="https://crmplus.zoho.in/zohocorppace/index.do/cxapp/agent/zohocorp/zoho-workdrive-presales/requests/details/205219032355266388" TargetMode="External"/><Relationship Id="rId176" Type="http://schemas.openxmlformats.org/officeDocument/2006/relationships/hyperlink" Target="mailto:it.admin@petiolehub.com" TargetMode="External"/><Relationship Id="rId177" Type="http://schemas.openxmlformats.org/officeDocument/2006/relationships/hyperlink" Target="https://crmplus.zoho.in/zohocorppace/index.do/cxapp/agent/zohocorp/zoho-workdrive-presales/requests/details/205219032269780038/conversation" TargetMode="External"/><Relationship Id="rId178" Type="http://schemas.openxmlformats.org/officeDocument/2006/relationships/hyperlink" Target="https://crmplus.zoho.in/crm/onezoho/tab/CustomModule3/1034361024319136780" TargetMode="External"/><Relationship Id="rId179" Type="http://schemas.openxmlformats.org/officeDocument/2006/relationships/hyperlink" Target="https://workdrive.zoho.in/file/8boq990261e54827a44a3b222612466ac8cbe" TargetMode="External"/><Relationship Id="rId180" Type="http://schemas.openxmlformats.org/officeDocument/2006/relationships/hyperlink" Target="mailto:vivek@aihifusion.com" TargetMode="External"/><Relationship Id="rId181" Type="http://schemas.openxmlformats.org/officeDocument/2006/relationships/hyperlink" Target="https://crmplus.zoho.in/zohocorppace/index.do/cxapp/agent/zohocorp/zoho-workdrive-presales/requests/details/205219032275566657" TargetMode="External"/><Relationship Id="rId182" Type="http://schemas.openxmlformats.org/officeDocument/2006/relationships/hyperlink" Target="https://workdrive.zoho.in/file/bjqb6a5a65dc946bb4afd85c0deedce0908d6" TargetMode="External"/><Relationship Id="rId183" Type="http://schemas.openxmlformats.org/officeDocument/2006/relationships/hyperlink" Target="mailto:pranil@spadesecurityservices.com" TargetMode="External"/><Relationship Id="rId184" Type="http://schemas.openxmlformats.org/officeDocument/2006/relationships/hyperlink" Target="https://crmplus.zoho.in/zohocorppace/index.do/cxapp/agent/zohocorp/zoho-workdrive-presales/requests/details/205219032371057200" TargetMode="External"/><Relationship Id="rId185" Type="http://schemas.openxmlformats.org/officeDocument/2006/relationships/hyperlink" Target="https://workdrive.zoho.in/file/bjqb67e324ddb32c6450c9fc3ef2de28ebd9c" TargetMode="External"/><Relationship Id="rId186" Type="http://schemas.openxmlformats.org/officeDocument/2006/relationships/hyperlink" Target="mailto:vivek@aihifusion.com" TargetMode="External"/><Relationship Id="rId187" Type="http://schemas.openxmlformats.org/officeDocument/2006/relationships/hyperlink" Target="https://crmplus.zoho.in/agent/zohocorp/zoho-workdrive-presales/requests/details/205219032307181590" TargetMode="External"/><Relationship Id="rId188" Type="http://schemas.openxmlformats.org/officeDocument/2006/relationships/hyperlink" Target="https://workdrive.zoho.in/file/8boq978974de924784820a365af44f89ce0c5" TargetMode="External"/><Relationship Id="rId189" Type="http://schemas.openxmlformats.org/officeDocument/2006/relationships/hyperlink" Target="mailto:vigneshdev.nagarajan@ilink-systems.com" TargetMode="External"/><Relationship Id="rId190" Type="http://schemas.openxmlformats.org/officeDocument/2006/relationships/hyperlink" Target="https://crmplus.zoho.in/zohocorppace/index.do/cxapp/agent/zohocorp/zoho-workdrive-presales/requests/details/205219032365238291" TargetMode="External"/><Relationship Id="rId191" Type="http://schemas.openxmlformats.org/officeDocument/2006/relationships/hyperlink" Target="https://crmplus.zoho.in/crm/onezoho/tab/CustomModule3/1034361024311418647" TargetMode="External"/><Relationship Id="rId192" Type="http://schemas.openxmlformats.org/officeDocument/2006/relationships/hyperlink" Target="https://workdrive.zoho.in/file/8boq9012e828f5f3e4e55893074cb7b045df8" TargetMode="External"/><Relationship Id="rId193" Type="http://schemas.openxmlformats.org/officeDocument/2006/relationships/hyperlink" Target="mailto:gomathishivabalan@gmail.com" TargetMode="External"/><Relationship Id="rId194" Type="http://schemas.openxmlformats.org/officeDocument/2006/relationships/hyperlink" Target="https://crmplus.zoho.in/zohocorppace/index.do/cxapp/agent/zohocorp/zoho-workdrive-presales/requests/details/205219032399154371" TargetMode="External"/><Relationship Id="rId195" Type="http://schemas.openxmlformats.org/officeDocument/2006/relationships/hyperlink" Target="https://workdrive.zoho.in/file/fu5rw9d8c3ae3a74e4d6f98dec71e3b496818" TargetMode="External"/><Relationship Id="rId196" Type="http://schemas.openxmlformats.org/officeDocument/2006/relationships/hyperlink" Target="https://crmplus.zoho.in/zohocorppace/index.do/cxapp/agent/zohocorp/zoho-workdrive-presales/requests/details/205219032324459509" TargetMode="External"/><Relationship Id="rId197" Type="http://schemas.openxmlformats.org/officeDocument/2006/relationships/hyperlink" Target="https://workdrive.zoho.in/file/fu5rw34414ce31f274b40b079fb75cd5fcefc" TargetMode="External"/><Relationship Id="rId198" Type="http://schemas.openxmlformats.org/officeDocument/2006/relationships/hyperlink" Target="mailto:caakashag9@gmail.com" TargetMode="External"/><Relationship Id="rId199" Type="http://schemas.openxmlformats.org/officeDocument/2006/relationships/hyperlink" Target="https://crmplus.zoho.in/zohocorppace/index.do/cxapp/agent/zohocorp/zoho-workdrive-presales/requests/details/205219031893865832/conversation" TargetMode="External"/><Relationship Id="rId200" Type="http://schemas.openxmlformats.org/officeDocument/2006/relationships/hyperlink" Target="https://crmplus.zoho.in/crm/onezoho/tab/CustomModule3/1034361023948669524" TargetMode="External"/><Relationship Id="rId201" Type="http://schemas.openxmlformats.org/officeDocument/2006/relationships/hyperlink" Target="mailto:pradeep.thakur@canarahsbclife.in" TargetMode="External"/><Relationship Id="rId202" Type="http://schemas.openxmlformats.org/officeDocument/2006/relationships/hyperlink" Target="https://crmplus.zoho.in/zohocorppace/index.do/cxapp/agent/zohocorp/zoho-workdrive-presales/requests/details/205219032426922966" TargetMode="External"/><Relationship Id="rId203" Type="http://schemas.openxmlformats.org/officeDocument/2006/relationships/hyperlink" Target="mailto:rameshg@amrutanjan.com" TargetMode="External"/><Relationship Id="rId204" Type="http://schemas.openxmlformats.org/officeDocument/2006/relationships/hyperlink" Target="https://crmplus.zoho.in/zohocorppace/index.do/cxapp/agent/zohocorp/zoho-workdrive-presales/requests/details/205219032427567385" TargetMode="External"/><Relationship Id="rId205" Type="http://schemas.openxmlformats.org/officeDocument/2006/relationships/hyperlink" Target="mailto:finance@enviro-t.in" TargetMode="External"/><Relationship Id="rId206" Type="http://schemas.openxmlformats.org/officeDocument/2006/relationships/hyperlink" Target="https://crmplus.zoho.in/agent/zohocorp/zoho-workdrive-presales/requests/details/205219032415417264" TargetMode="External"/><Relationship Id="rId207" Type="http://schemas.openxmlformats.org/officeDocument/2006/relationships/hyperlink" Target="https://workdrive.zoho.in/file/2yn4mb93a47d903b0461a82f3ea61548feeff" TargetMode="External"/><Relationship Id="rId208" Type="http://schemas.openxmlformats.org/officeDocument/2006/relationships/hyperlink" Target="mailto:s.johnsonsamuel@gmail.com" TargetMode="External"/><Relationship Id="rId209" Type="http://schemas.openxmlformats.org/officeDocument/2006/relationships/hyperlink" Target="https://crmplus.zoho.in/agent/zohocorp/zoho-workdrive-presales/requests/details/205219032381982776" TargetMode="External"/><Relationship Id="rId210" Type="http://schemas.openxmlformats.org/officeDocument/2006/relationships/hyperlink" Target="https://workdrive.zoho.in/file/2yn4mc8e68c21dbb041c2b7aba7b2cb54728f" TargetMode="External"/><Relationship Id="rId211" Type="http://schemas.openxmlformats.org/officeDocument/2006/relationships/hyperlink" Target="mailto:agnes.buyser@priorityconsultants.com" TargetMode="External"/><Relationship Id="rId212" Type="http://schemas.openxmlformats.org/officeDocument/2006/relationships/hyperlink" Target="https://crmplus.zoho.in/zohocorppace/index.do/cxapp/agent/zohocorp/zoho-workdrive-presales/requests/details/205219032308475388" TargetMode="External"/><Relationship Id="rId213" Type="http://schemas.openxmlformats.org/officeDocument/2006/relationships/hyperlink" Target="mailto:accounts@fineinstruments.in" TargetMode="External"/><Relationship Id="rId214" Type="http://schemas.openxmlformats.org/officeDocument/2006/relationships/hyperlink" Target="https://crmplus.zoho.in/zohocorppace/index.do/cxapp/agent/zohocorp/zoho-workdrive-presales/requests/details/205219032427042157/conversation" TargetMode="External"/><Relationship Id="rId215" Type="http://schemas.openxmlformats.org/officeDocument/2006/relationships/hyperlink" Target="mailto:renjith.kalathil@sofonmaritime.com" TargetMode="External"/><Relationship Id="rId216" Type="http://schemas.openxmlformats.org/officeDocument/2006/relationships/hyperlink" Target="https://crmplus.zoho.in/zohocorppace/index.do/cxapp/agent/zohocorp/zoho-workdrive-presales/requests/details/205219032430156461/conversation" TargetMode="External"/><Relationship Id="rId217" Type="http://schemas.openxmlformats.org/officeDocument/2006/relationships/hyperlink" Target="https://crmplus.zoho.in/crm/onezoho/tab/CustomModule3/1034361024454427954" TargetMode="External"/><Relationship Id="rId218" Type="http://schemas.openxmlformats.org/officeDocument/2006/relationships/hyperlink" Target="https://workdrive.zoho.in/file/1x1sbd2d1b696ecb144cdb2302b36a6360990" TargetMode="External"/><Relationship Id="rId219" Type="http://schemas.openxmlformats.org/officeDocument/2006/relationships/hyperlink" Target="mailto:darshana.t@olankatravels.com" TargetMode="External"/><Relationship Id="rId220" Type="http://schemas.openxmlformats.org/officeDocument/2006/relationships/hyperlink" Target="https://crmplus.zoho.in/agent/zohocorp/zoho-workdrive-presales/requests/details/205219032432829150" TargetMode="External"/><Relationship Id="rId221" Type="http://schemas.openxmlformats.org/officeDocument/2006/relationships/hyperlink" Target="https://workdrive.zoho.in/file/1x1sbd21f0648d2694dc08a93a19a9baa4a26" TargetMode="External"/><Relationship Id="rId222" Type="http://schemas.openxmlformats.org/officeDocument/2006/relationships/hyperlink" Target="mailto:it@raudratech.com" TargetMode="External"/><Relationship Id="rId223" Type="http://schemas.openxmlformats.org/officeDocument/2006/relationships/hyperlink" Target="https://crmplus.zoho.in/zohocorppace/index.do/cxapp/agent/zohocorp/zoho-workdrive-presales/requests/details/205219032433972443/conversation" TargetMode="External"/><Relationship Id="rId224" Type="http://schemas.openxmlformats.org/officeDocument/2006/relationships/hyperlink" Target="https://crmplus.zoho.in/crm/onezoho/tab/CustomModule3/1034361024460305178" TargetMode="External"/><Relationship Id="rId225" Type="http://schemas.openxmlformats.org/officeDocument/2006/relationships/hyperlink" Target="https://workdrive.zoho.in/file/nm45ybfa0a6bfe14443a0a4cca4a3f149adab" TargetMode="External"/><Relationship Id="rId226" Type="http://schemas.openxmlformats.org/officeDocument/2006/relationships/hyperlink" Target="mailto:it.admin@petiolehub.com" TargetMode="External"/><Relationship Id="rId227" Type="http://schemas.openxmlformats.org/officeDocument/2006/relationships/hyperlink" Target="https://crmplus.zoho.in/zohocorppace/index.do/cxapp/agent/zohocorp/zoho-workdrive-presales/requests/details/205219032269780038/conversation" TargetMode="External"/><Relationship Id="rId228" Type="http://schemas.openxmlformats.org/officeDocument/2006/relationships/hyperlink" Target="https://crmplus.zoho.in/crm/onezoho/tab/CustomModule3/1034361024451299838" TargetMode="External"/><Relationship Id="rId229" Type="http://schemas.openxmlformats.org/officeDocument/2006/relationships/hyperlink" Target="mailto:deepak.singh@fazethree.com" TargetMode="External"/><Relationship Id="rId230" Type="http://schemas.openxmlformats.org/officeDocument/2006/relationships/hyperlink" Target="https://crmplus.zoho.in/zohocorppace/index.do/cxapp/agent/zohocorp/zoho-workdrive-presales/requests/details/205219030236098027/conversation" TargetMode="External"/><Relationship Id="rId231" Type="http://schemas.openxmlformats.org/officeDocument/2006/relationships/hyperlink" Target="https://crmplus.zoho.in/crm/onezoho/tab/CustomModule3/1034361024454427274" TargetMode="External"/><Relationship Id="rId232" Type="http://schemas.openxmlformats.org/officeDocument/2006/relationships/hyperlink" Target="mailto:office@shanthibhavan.in" TargetMode="External"/><Relationship Id="rId233" Type="http://schemas.openxmlformats.org/officeDocument/2006/relationships/hyperlink" Target="https://crmplus.zoho.in/zohocorppace/index.do/cxapp/agent/zohocorp/zoho-workdrive-presales/requests/details/205219032432608547" TargetMode="External"/><Relationship Id="rId234" Type="http://schemas.openxmlformats.org/officeDocument/2006/relationships/hyperlink" Target="https://crmplus.zoho.in/crm/onezoho/tab/CustomModule3/1034361024454427371" TargetMode="External"/><Relationship Id="rId235" Type="http://schemas.openxmlformats.org/officeDocument/2006/relationships/hyperlink" Target="mailto:rahuljha@4basecare.com" TargetMode="External"/><Relationship Id="rId236" Type="http://schemas.openxmlformats.org/officeDocument/2006/relationships/hyperlink" Target="mailto:atul2goyal@gmail.com" TargetMode="External"/><Relationship Id="rId237" Type="http://schemas.openxmlformats.org/officeDocument/2006/relationships/hyperlink" Target="https://crmplus.zoho.in/agent/zohocorp/zoho-workdrive-presales/requests/details/205219032497646107" TargetMode="External"/><Relationship Id="rId238" Type="http://schemas.openxmlformats.org/officeDocument/2006/relationships/hyperlink" Target="https://workdrive.zoho.in/file/tz2iw5fdc0a5cc6b148a08a1dd7dbd667ddc9" TargetMode="External"/><Relationship Id="rId239" Type="http://schemas.openxmlformats.org/officeDocument/2006/relationships/hyperlink" Target="mailto:puru.jain@urbanmoney.co.in" TargetMode="External"/><Relationship Id="rId240" Type="http://schemas.openxmlformats.org/officeDocument/2006/relationships/hyperlink" Target="https://crmplus.zoho.in/agent/zohocorp/zoho-workdrive-presales/requests/details/205219032284109406" TargetMode="External"/><Relationship Id="rId241" Type="http://schemas.openxmlformats.org/officeDocument/2006/relationships/hyperlink" Target="https://workdrive.zoho.in/file/xww67dcd144a57f3249ff919523ad423d2fb5" TargetMode="External"/><Relationship Id="rId242" Type="http://schemas.openxmlformats.org/officeDocument/2006/relationships/hyperlink" Target="mailto:vinita.yadav@hawkinscookers.com" TargetMode="External"/><Relationship Id="rId243" Type="http://schemas.openxmlformats.org/officeDocument/2006/relationships/hyperlink" Target="https://crmplus.zoho.in/zohocorppace/index.do/cxapp/agent/zohocorp/zoho-workdrive-presales/requests/details/205219032379536157" TargetMode="External"/><Relationship Id="rId244" Type="http://schemas.openxmlformats.org/officeDocument/2006/relationships/hyperlink" Target="https://crmplus.zoho.in/crm/onezoho/tab/CustomModule3/1034361024489483937" TargetMode="External"/><Relationship Id="rId245" Type="http://schemas.openxmlformats.org/officeDocument/2006/relationships/hyperlink" Target="mailto:vedant.kasture@smartjoules.in" TargetMode="External"/><Relationship Id="rId246" Type="http://schemas.openxmlformats.org/officeDocument/2006/relationships/hyperlink" Target="https://crmplus.zoho.in/zohocorppace/index.do/cxapp/agent/zohocorp/zoho-workdrive-presales/requests/details/205219032429475793/conversation" TargetMode="External"/><Relationship Id="rId247" Type="http://schemas.openxmlformats.org/officeDocument/2006/relationships/hyperlink" Target="https://crmplus.zoho.in/crm/onezoho/tab/CustomModule3/1034361024521781635" TargetMode="External"/><Relationship Id="rId248" Type="http://schemas.openxmlformats.org/officeDocument/2006/relationships/hyperlink" Target="mailto:daminijain123@gmail.com" TargetMode="External"/><Relationship Id="rId249" Type="http://schemas.openxmlformats.org/officeDocument/2006/relationships/hyperlink" Target="https://crmplus.zoho.in/zohocorppace/index.do/cxapp/agent/zohocorp/zoho-workdrive-presales/requests/details/205219032528058456/conversation" TargetMode="External"/><Relationship Id="rId250" Type="http://schemas.openxmlformats.org/officeDocument/2006/relationships/hyperlink" Target="https://crmplus.zoho.in/crm/onezoho/tab/CustomModule3/1034361024523617957" TargetMode="External"/><Relationship Id="rId251" Type="http://schemas.openxmlformats.org/officeDocument/2006/relationships/hyperlink" Target="https://workdrive.zoho.in/file/oaggobff5c726c66c46658e466cac5c3b7e23" TargetMode="External"/><Relationship Id="rId252" Type="http://schemas.openxmlformats.org/officeDocument/2006/relationships/hyperlink" Target="mailto:jmoore@escrow321.com" TargetMode="External"/><Relationship Id="rId253" Type="http://schemas.openxmlformats.org/officeDocument/2006/relationships/hyperlink" Target="https://crmplus.zoho.in/zohocorppace/index.do/cxapp/agent/zohocorp/zoho-workdrive-presales/requests/details/205219032516942683" TargetMode="External"/><Relationship Id="rId254" Type="http://schemas.openxmlformats.org/officeDocument/2006/relationships/hyperlink" Target="https://workdrive.zoho.in/file/vt5o1a363a8fe54b34168948668789e8adff8" TargetMode="External"/><Relationship Id="rId255" Type="http://schemas.openxmlformats.org/officeDocument/2006/relationships/hyperlink" Target="https://sprints.zoho.in/workspace/zdocs#P15/itemdetails/I6334/details" TargetMode="External"/><Relationship Id="rId256" Type="http://schemas.openxmlformats.org/officeDocument/2006/relationships/hyperlink" Target="mailto:abhishek@bhagatassociates.in" TargetMode="External"/><Relationship Id="rId257" Type="http://schemas.openxmlformats.org/officeDocument/2006/relationships/hyperlink" Target="https://crmplus.zoho.in/agent/zohocorp/zoho-workdrive-presales/requests/details/205219032436458144" TargetMode="External"/><Relationship Id="rId258" Type="http://schemas.openxmlformats.org/officeDocument/2006/relationships/hyperlink" Target="mailto:p.byali@hima.com" TargetMode="External"/><Relationship Id="rId259" Type="http://schemas.openxmlformats.org/officeDocument/2006/relationships/hyperlink" Target="https://crmplus.zoho.in/agent/zohocorp/zoho-workdrive-presales/requests/details/205219032523203965" TargetMode="External"/><Relationship Id="rId260" Type="http://schemas.openxmlformats.org/officeDocument/2006/relationships/hyperlink" Target="mailto:development@greenrootsrenewable.in" TargetMode="External"/><Relationship Id="rId261" Type="http://schemas.openxmlformats.org/officeDocument/2006/relationships/hyperlink" Target="https://crmplus.zoho.in/agent/zohocorp/zoho-workdrive-presales/requests/details/205219032502148279" TargetMode="External"/><Relationship Id="rId262" Type="http://schemas.openxmlformats.org/officeDocument/2006/relationships/hyperlink" Target="mailto:creditcontroller@dhofarglobal.com" TargetMode="External"/><Relationship Id="rId263" Type="http://schemas.openxmlformats.org/officeDocument/2006/relationships/hyperlink" Target="https://crmplus.zoho.in/zohocorppace/index.do/cxapp/agent/zohocorp/zoho-workdrive-presales/requests/details/205219032526023235" TargetMode="External"/><Relationship Id="rId264" Type="http://schemas.openxmlformats.org/officeDocument/2006/relationships/hyperlink" Target="https://crmplus.zoho.in/crm/onezoho/tab/CustomModule3/1034361024525084827" TargetMode="External"/><Relationship Id="rId265" Type="http://schemas.openxmlformats.org/officeDocument/2006/relationships/hyperlink" Target="https://workdrive.zoho.in/file/oaggofc11b79bca6440538048d24b4616510c" TargetMode="External"/><Relationship Id="rId266" Type="http://schemas.openxmlformats.org/officeDocument/2006/relationships/hyperlink" Target="https://sprints.zoho.in/workspace/zdocs#P15/itemdetails/I7455/details" TargetMode="External"/><Relationship Id="rId267" Type="http://schemas.openxmlformats.org/officeDocument/2006/relationships/hyperlink" Target="mailto:vinathreshview@gmail.com" TargetMode="External"/><Relationship Id="rId268" Type="http://schemas.openxmlformats.org/officeDocument/2006/relationships/hyperlink" Target="https://crmplus.zoho.in/zohocorppace/index.do/cxapp/agent/zohocorp/zoho-workdrive-presales/requests/details/205219032554139310/conversation" TargetMode="External"/><Relationship Id="rId269" Type="http://schemas.openxmlformats.org/officeDocument/2006/relationships/hyperlink" Target="https://crmplus.zoho.in/crm/onezoho/tab/CustomModule3/1034361024530534597" TargetMode="External"/><Relationship Id="rId270" Type="http://schemas.openxmlformats.org/officeDocument/2006/relationships/hyperlink" Target="https://workdrive.zoho.in/file/zav3se462839206ef46b5b4e7106b913c7752" TargetMode="External"/><Relationship Id="rId271" Type="http://schemas.openxmlformats.org/officeDocument/2006/relationships/hyperlink" Target="mailto:jaiprakash.yadav@kotak.com" TargetMode="External"/><Relationship Id="rId272" Type="http://schemas.openxmlformats.org/officeDocument/2006/relationships/hyperlink" Target="https://crmplus.zoho.in/zohocorppace/index.do/cxapp/agent/zohocorp/zoho-workdrive-presales/requests/details/205219030252419358" TargetMode="External"/><Relationship Id="rId273" Type="http://schemas.openxmlformats.org/officeDocument/2006/relationships/hyperlink" Target="mailto:palakkhurana0000@gmail.com" TargetMode="External"/><Relationship Id="rId274" Type="http://schemas.openxmlformats.org/officeDocument/2006/relationships/hyperlink" Target="https://crmplus.zoho.in/zohocorppace/index.do/cxapp/agent/zohocorp/zoho-workdrive-presales/requests/details/205219032555932832" TargetMode="External"/><Relationship Id="rId275" Type="http://schemas.openxmlformats.org/officeDocument/2006/relationships/hyperlink" Target="https://crmplus.zoho.in/crm/onezoho/tab/CustomModule3/1034361024538285213" TargetMode="External"/><Relationship Id="rId276" Type="http://schemas.openxmlformats.org/officeDocument/2006/relationships/hyperlink" Target="https://workdrive.zoho.in/file/zav3sce8f970aadf747f3a9313ae1fd40799f" TargetMode="External"/><Relationship Id="rId277" Type="http://schemas.openxmlformats.org/officeDocument/2006/relationships/hyperlink" Target="mailto:mohit@cstarunakalra.com" TargetMode="External"/><Relationship Id="rId278" Type="http://schemas.openxmlformats.org/officeDocument/2006/relationships/hyperlink" Target="https://crmplus.zoho.in/agent/zohocorp/zoho-workdrive-presales/requests/details/205219032195847496" TargetMode="External"/><Relationship Id="rId279" Type="http://schemas.openxmlformats.org/officeDocument/2006/relationships/hyperlink" Target="https://workdrive.zoho.in/file/ocdz17f16d42b8faf4fb0be435adfe70ee4b8" TargetMode="External"/><Relationship Id="rId280" Type="http://schemas.openxmlformats.org/officeDocument/2006/relationships/hyperlink" Target="mailto:sahilnparikh@gmail.com" TargetMode="External"/><Relationship Id="rId281" Type="http://schemas.openxmlformats.org/officeDocument/2006/relationships/hyperlink" Target="https://crmplus.zoho.in/agent/zohocorp/zoho-workdrive-presales/requests/details/205219032547540748" TargetMode="External"/><Relationship Id="rId282" Type="http://schemas.openxmlformats.org/officeDocument/2006/relationships/hyperlink" Target="https://workdrive.zoho.in/file/ocdz177cb6c5d85994386935d079d16554ecf" TargetMode="External"/><Relationship Id="rId283" Type="http://schemas.openxmlformats.org/officeDocument/2006/relationships/hyperlink" Target="mailto:sagar@healthylifeinnovation.com" TargetMode="External"/><Relationship Id="rId284" Type="http://schemas.openxmlformats.org/officeDocument/2006/relationships/hyperlink" Target="mailto:bnpatel@mehsanaunion.coop" TargetMode="External"/><Relationship Id="rId285" Type="http://schemas.openxmlformats.org/officeDocument/2006/relationships/hyperlink" Target="https://crmplus.zoho.in/zohocorppace/index.do/cxapp/agent/zohocorp/zoho-workdrive-presales/requests/details/205219032526417885" TargetMode="External"/><Relationship Id="rId286" Type="http://schemas.openxmlformats.org/officeDocument/2006/relationships/hyperlink" Target="https://crmplus.zoho.in/crm/onezoho/tab/CustomModule3/1034361024713217058" TargetMode="External"/><Relationship Id="rId287" Type="http://schemas.openxmlformats.org/officeDocument/2006/relationships/hyperlink" Target="https://workdrive.zoho.in/file/78y5lfc5f30f04dae4266af7a4488e3279496" TargetMode="External"/><Relationship Id="rId288" Type="http://schemas.openxmlformats.org/officeDocument/2006/relationships/hyperlink" Target="mailto:enquiry@vaultenergy.no" TargetMode="External"/><Relationship Id="rId289" Type="http://schemas.openxmlformats.org/officeDocument/2006/relationships/hyperlink" Target="https://crmplus.zoho.in/zohocorppace/index.do/cxapp/agent/zohocorp/zoho-workdrive-presales/requests/details/205219032581981685/conversation" TargetMode="External"/><Relationship Id="rId290" Type="http://schemas.openxmlformats.org/officeDocument/2006/relationships/hyperlink" Target="https://crmplus.zoho.in/crm/onezoho/tab/CustomModule3/1034361024713217606" TargetMode="External"/><Relationship Id="rId291" Type="http://schemas.openxmlformats.org/officeDocument/2006/relationships/hyperlink" Target="mailto:parveen@pvrealtyadvisors.ca" TargetMode="External"/><Relationship Id="rId292" Type="http://schemas.openxmlformats.org/officeDocument/2006/relationships/hyperlink" Target="https://crmplus.zoho.in/zohocorppace/index.do/cxapp/agent/zohocorp/zoho-workdrive-presales/requests/details/205219032595877312" TargetMode="External"/><Relationship Id="rId293" Type="http://schemas.openxmlformats.org/officeDocument/2006/relationships/hyperlink" Target="https://workdrive.zoho.in/file/ocdz1ef819e3909ec426399f32e0f06f8e590" TargetMode="External"/><Relationship Id="rId294" Type="http://schemas.openxmlformats.org/officeDocument/2006/relationships/hyperlink" Target="mailto:george@spectra.com.my" TargetMode="External"/><Relationship Id="rId295" Type="http://schemas.openxmlformats.org/officeDocument/2006/relationships/hyperlink" Target="https://crmplus.zoho.in/agent/zohocorp/zoho-workdrive-presales/requests/details/205219032250419536" TargetMode="External"/><Relationship Id="rId296" Type="http://schemas.openxmlformats.org/officeDocument/2006/relationships/hyperlink" Target="https://workdrive.zoho.in/file/us2t75b80c2eacf5044c08b507567d19e28ac" TargetMode="External"/><Relationship Id="rId297" Type="http://schemas.openxmlformats.org/officeDocument/2006/relationships/hyperlink" Target="mailto:roshan.komaravolu@altinvest.ai" TargetMode="External"/><Relationship Id="rId298" Type="http://schemas.openxmlformats.org/officeDocument/2006/relationships/hyperlink" Target="https://crmplus.zoho.in/zohocorppace/index.do/cxapp/agent/zohocorp/zoho-workdrive-presales/requests/details/205219032587134741" TargetMode="External"/></Relationships>
</file>

<file path=xl/worksheets/_rels/sheet4.xml.rels><?xml version="1.0" encoding="UTF-8" standalone="yes"?><Relationships xmlns="http://schemas.openxmlformats.org/package/2006/relationships"><Relationship Id="rId1" Type="http://schemas.openxmlformats.org/officeDocument/2006/relationships/hyperlink" Target="mailto:enquiry@vaultenergy.no" TargetMode="External"/><Relationship Id="rId2" Type="http://schemas.openxmlformats.org/officeDocument/2006/relationships/hyperlink" Target="https://crmplus.zoho.in/zohocorppace/index.do/cxapp/agent/zohocorp/zoho-workdrive-presales/requests/details/205219032581981685" TargetMode="External"/><Relationship Id="rId3" Type="http://schemas.openxmlformats.org/officeDocument/2006/relationships/hyperlink" Target="mailto:sunil.shenoy@outlook.com" TargetMode="External"/><Relationship Id="rId4" Type="http://schemas.openxmlformats.org/officeDocument/2006/relationships/hyperlink" Target="https://sprints.zoho.in/workspace/zdocs#P15/itemdetails/I7674" TargetMode="External"/><Relationship Id="rId5" Type="http://schemas.openxmlformats.org/officeDocument/2006/relationships/hyperlink" Target="mailto:ori@crowdmaster.co.uk" TargetMode="External"/><Relationship Id="rId6" Type="http://schemas.openxmlformats.org/officeDocument/2006/relationships/hyperlink" Target="https://crmplus.zoho.in/zohocorppace/index.do/cxapp/agent/zohocorp/zoho-workdrive-presales/requests/details/205219032623940448/conversation" TargetMode="External"/><Relationship Id="rId7" Type="http://schemas.openxmlformats.org/officeDocument/2006/relationships/hyperlink" Target="https://workdrive.zoho.in/file/gnb8b797ff3212b19463c8172b1d1117f963b" TargetMode="External"/><Relationship Id="rId8" Type="http://schemas.openxmlformats.org/officeDocument/2006/relationships/hyperlink" Target="mailto:nurul.apriani@acc.co.id" TargetMode="External"/><Relationship Id="rId9" Type="http://schemas.openxmlformats.org/officeDocument/2006/relationships/hyperlink" Target="https://crmplus.zoho.in/agent/zohocorp/zoho-workdrive-presales/requests/details/205219032425290655" TargetMode="External"/><Relationship Id="rId10" Type="http://schemas.openxmlformats.org/officeDocument/2006/relationships/hyperlink" Target="https://workdrive.zoho.in/file/kkv2z048eee0cf13a43f9b94797db906a1eae" TargetMode="External"/><Relationship Id="rId11" Type="http://schemas.openxmlformats.org/officeDocument/2006/relationships/hyperlink" Target="mailto:dhiraj@playo.co" TargetMode="External"/><Relationship Id="rId12" Type="http://schemas.openxmlformats.org/officeDocument/2006/relationships/hyperlink" Target="https://crmplus.zoho.in/zohocorppace/index.do/cxapp/agent/zohocorp/zoho-workdrive-presales/requests/details/205219032628375655" TargetMode="External"/><Relationship Id="rId13" Type="http://schemas.openxmlformats.org/officeDocument/2006/relationships/hyperlink" Target="mailto:recruitment@meridiangbl.com" TargetMode="External"/><Relationship Id="rId14" Type="http://schemas.openxmlformats.org/officeDocument/2006/relationships/hyperlink" Target="https://crmplus.zoho.in/zohocorppace/index.do/cxapp/agent/zohocorp/zoho-workdrive-presales/requests/details/205219032584306368" TargetMode="External"/><Relationship Id="rId15" Type="http://schemas.openxmlformats.org/officeDocument/2006/relationships/hyperlink" Target="https://workdrive.zoho.in/file/3p8iefef86f8b99dd464abca54b22146772dd" TargetMode="External"/><Relationship Id="rId16" Type="http://schemas.openxmlformats.org/officeDocument/2006/relationships/hyperlink" Target="mailto:admin.team@neemargroup.com" TargetMode="External"/><Relationship Id="rId17" Type="http://schemas.openxmlformats.org/officeDocument/2006/relationships/hyperlink" Target="https://crmplus.zoho.in/agent/zohocorp/zoho-workdrive-presales/requests/details/205219032696463206" TargetMode="External"/><Relationship Id="rId18" Type="http://schemas.openxmlformats.org/officeDocument/2006/relationships/hyperlink" Target="https://workdrive.zoho.in/file/6j1r6dea4b57fc9404337b3d55a2de35fa86c" TargetMode="External"/><Relationship Id="rId19" Type="http://schemas.openxmlformats.org/officeDocument/2006/relationships/hyperlink" Target="mailto:abbabu@lorveninsurance.com" TargetMode="External"/><Relationship Id="rId20" Type="http://schemas.openxmlformats.org/officeDocument/2006/relationships/hyperlink" Target="https://crmplus.zoho.in/agent/zohocorp/zoho-workdrive-presales/requests/details/205219032583827199" TargetMode="External"/><Relationship Id="rId21" Type="http://schemas.openxmlformats.org/officeDocument/2006/relationships/hyperlink" Target="https://workdrive.zoho.in/file/6j1r604f45a2f569e483dbaee29f0bf7d6ecd" TargetMode="External"/><Relationship Id="rId22" Type="http://schemas.openxmlformats.org/officeDocument/2006/relationships/hyperlink" Target="mailto:deepak.joshi@insecticidesindia.com" TargetMode="External"/><Relationship Id="rId23" Type="http://schemas.openxmlformats.org/officeDocument/2006/relationships/hyperlink" Target="https://crmplus.zoho.in/agent/zohocorp/zoho-workdrive-presales/requests/details/205219032606577821" TargetMode="External"/><Relationship Id="rId24" Type="http://schemas.openxmlformats.org/officeDocument/2006/relationships/hyperlink" Target="https://workdrive.zoho.in/file/j753996ece80acf1442b5b41edc62cf53b48b" TargetMode="External"/><Relationship Id="rId25" Type="http://schemas.openxmlformats.org/officeDocument/2006/relationships/hyperlink" Target="mailto:kaldavi350@gmail.com" TargetMode="External"/><Relationship Id="rId26" Type="http://schemas.openxmlformats.org/officeDocument/2006/relationships/hyperlink" Target="https://crmplus.zoho.in/zohocorppace/index.do/cxapp/agent/zohocorp/zoho-workdrive-presales/requests/details/205219032696113189" TargetMode="External"/><Relationship Id="rId27" Type="http://schemas.openxmlformats.org/officeDocument/2006/relationships/hyperlink" Target="mailto:giordanivarenkha@gmail.com" TargetMode="External"/><Relationship Id="rId28" Type="http://schemas.openxmlformats.org/officeDocument/2006/relationships/hyperlink" Target="https://crmplus.zoho.in/agent/zohocorp/zoho-workdrive-presales/requests/details/205219032697804804" TargetMode="External"/><Relationship Id="rId29" Type="http://schemas.openxmlformats.org/officeDocument/2006/relationships/hyperlink" Target="mailto:lucie@ateliergaia.cz" TargetMode="External"/><Relationship Id="rId30" Type="http://schemas.openxmlformats.org/officeDocument/2006/relationships/hyperlink" Target="https://help.zoho.eu/agent/zcorpeu/zoho-workdrive-presales/tickets/details/63904001513477735" TargetMode="External"/><Relationship Id="rId31" Type="http://schemas.openxmlformats.org/officeDocument/2006/relationships/hyperlink" Target="https://crm.zoho.eu/crm/org20073955584/tab/CustomModule1/312051003946636798" TargetMode="External"/><Relationship Id="rId32" Type="http://schemas.openxmlformats.org/officeDocument/2006/relationships/hyperlink" Target="mailto:jijil@gsoftcomm.net" TargetMode="External"/><Relationship Id="rId33" Type="http://schemas.openxmlformats.org/officeDocument/2006/relationships/hyperlink" Target="https://crmplus.zoho.in/zohocorppace/index.do/cxapp/agent/zohocorp/zoho-workdrive-presales/requests/details/205219032034958349" TargetMode="External"/><Relationship Id="rId34" Type="http://schemas.openxmlformats.org/officeDocument/2006/relationships/hyperlink" Target="mailto:prashant.saxena@charismight.com" TargetMode="External"/><Relationship Id="rId35" Type="http://schemas.openxmlformats.org/officeDocument/2006/relationships/hyperlink" Target="https://crmplus.zoho.in/zohocorppace/index.do/cxapp/agent/zohocorp/zoho-workdrive-presales/requests/details/205219032303167970" TargetMode="External"/><Relationship Id="rId36" Type="http://schemas.openxmlformats.org/officeDocument/2006/relationships/hyperlink" Target="https://workdrive.zoho.in/file/6j1r6acd85030cfc1480e81fd8a2789478238" TargetMode="External"/><Relationship Id="rId37" Type="http://schemas.openxmlformats.org/officeDocument/2006/relationships/hyperlink" Target="mailto:alcantro@wellbeingnutrition.com" TargetMode="External"/><Relationship Id="rId38" Type="http://schemas.openxmlformats.org/officeDocument/2006/relationships/hyperlink" Target="https://crmplus.zoho.in/zohocorppace/index.do/cxapp/agent/zohocorp/zoho-workdrive-presales/requests/details/205219032609922496" TargetMode="External"/><Relationship Id="rId39" Type="http://schemas.openxmlformats.org/officeDocument/2006/relationships/hyperlink" Target="mailto:implementations@wellbeingnutrition.com" TargetMode="External"/><Relationship Id="rId40" Type="http://schemas.openxmlformats.org/officeDocument/2006/relationships/hyperlink" Target="https://sprints.zoho.in/workspace/zdocs#P15/itemdetails/I7689" TargetMode="External"/><Relationship Id="rId41" Type="http://schemas.openxmlformats.org/officeDocument/2006/relationships/hyperlink" Target="mailto:idham.zulkifli@binary-nexus.com" TargetMode="External"/><Relationship Id="rId42" Type="http://schemas.openxmlformats.org/officeDocument/2006/relationships/hyperlink" Target="https://crmplus.zoho.in/zohocorppace/index.do/cxapp/agent/zohocorp/zoho-workdrive-presales/requests/details/205219032656979160" TargetMode="External"/><Relationship Id="rId43" Type="http://schemas.openxmlformats.org/officeDocument/2006/relationships/hyperlink" Target="mailto:jmoore@escrow321.com" TargetMode="External"/><Relationship Id="rId44" Type="http://schemas.openxmlformats.org/officeDocument/2006/relationships/hyperlink" Target="https://crmplus.zoho.in/zohocorppace/index.do/cxapp/agent/zohocorp/zoho-workdrive-presales/requests/details/205219032516942683" TargetMode="External"/><Relationship Id="rId45" Type="http://schemas.openxmlformats.org/officeDocument/2006/relationships/hyperlink" Target="https://workdrive.zoho.in/file/j7539cd3c15f539c14db0a2215b56650da51a" TargetMode="External"/><Relationship Id="rId46" Type="http://schemas.openxmlformats.org/officeDocument/2006/relationships/hyperlink" Target="mailto:jerome.bruno@tejmerjerendeavours.com" TargetMode="External"/><Relationship Id="rId47" Type="http://schemas.openxmlformats.org/officeDocument/2006/relationships/hyperlink" Target="https://crmplus.zoho.in/agent/zohocorp/zoho-workdrive-presales/requests/details/205219032709972222" TargetMode="External"/><Relationship Id="rId48" Type="http://schemas.openxmlformats.org/officeDocument/2006/relationships/hyperlink" Target="https://workdrive.zoho.in/file/j7539fd154448438940859346b61a70310d26" TargetMode="External"/><Relationship Id="rId49" Type="http://schemas.openxmlformats.org/officeDocument/2006/relationships/hyperlink" Target="mailto:sahilnparikh@gmail.com" TargetMode="External"/><Relationship Id="rId50" Type="http://schemas.openxmlformats.org/officeDocument/2006/relationships/hyperlink" Target="https://crmplus.zoho.in/agent/zohocorp/zoho-workdrive-presales/requests/details/205219032547540748" TargetMode="External"/><Relationship Id="rId51" Type="http://schemas.openxmlformats.org/officeDocument/2006/relationships/hyperlink" Target="https://workdrive.zoho.in/file/j7539149f37b0835c4ca1860b66922baa51ed" TargetMode="External"/><Relationship Id="rId52" Type="http://schemas.openxmlformats.org/officeDocument/2006/relationships/hyperlink" Target="mailto:padmanabh_k@hotmail.com" TargetMode="External"/><Relationship Id="rId53" Type="http://schemas.openxmlformats.org/officeDocument/2006/relationships/hyperlink" Target="https://crmplus.zoho.in/zohocorppace/index.do/cxapp/agent/zohocorp/zoho-workdrive-presales/requests/details/205219032241090253" TargetMode="External"/><Relationship Id="rId54" Type="http://schemas.openxmlformats.org/officeDocument/2006/relationships/hyperlink" Target="mailto:jim@jimpeake.com" TargetMode="External"/><Relationship Id="rId55" Type="http://schemas.openxmlformats.org/officeDocument/2006/relationships/hyperlink" Target="https://crmplus.zoho.in/zohocorppace/index.do/cxapp/agent/zohocorp/zoho-workdrive-presales/requests/details/205219019741581432/conversation" TargetMode="External"/><Relationship Id="rId56" Type="http://schemas.openxmlformats.org/officeDocument/2006/relationships/hyperlink" Target="mailto:jayachandran.karumathil@intlreg.org" TargetMode="External"/><Relationship Id="rId57" Type="http://schemas.openxmlformats.org/officeDocument/2006/relationships/hyperlink" Target="https://crmplus.zoho.in/zohocorppace/index.do/cxapp/agent/zohocorp/zoho-workdrive-presales/requests/details/205219029308627638" TargetMode="External"/><Relationship Id="rId58" Type="http://schemas.openxmlformats.org/officeDocument/2006/relationships/hyperlink" Target="https://crmplus.zoho.in/crm/onezoho/tab/CustomModule3/1034361024966120351" TargetMode="External"/><Relationship Id="rId59" Type="http://schemas.openxmlformats.org/officeDocument/2006/relationships/hyperlink" Target="https://workdrive.zoho.in/file/z1hra53740e3081b1473a957b654820096096" TargetMode="External"/><Relationship Id="rId60" Type="http://schemas.openxmlformats.org/officeDocument/2006/relationships/hyperlink" Target="mailto:head.it@sithltd.com" TargetMode="External"/><Relationship Id="rId61" Type="http://schemas.openxmlformats.org/officeDocument/2006/relationships/hyperlink" Target="https://crmplus.zoho.in/zohocorppace/index.do/cxapp/agent/zohocorp/zoho-workdrive-presales/requests/details/205219032763672882" TargetMode="External"/><Relationship Id="rId62" Type="http://schemas.openxmlformats.org/officeDocument/2006/relationships/hyperlink" Target="https://workdrive.zoho.in/file/uhqn7c0b45a41b1f84806bef8b9e3d9a6e480" TargetMode="External"/><Relationship Id="rId63" Type="http://schemas.openxmlformats.org/officeDocument/2006/relationships/hyperlink" Target="mailto:pragneshdhage@zohomail.in" TargetMode="External"/><Relationship Id="rId64" Type="http://schemas.openxmlformats.org/officeDocument/2006/relationships/hyperlink" Target="https://crmplus.zoho.in/zohocorppace/index.do/cxapp/agent/zohocorp/zoho-workdrive-presales/requests/details/205219031376825568" TargetMode="External"/><Relationship Id="rId65" Type="http://schemas.openxmlformats.org/officeDocument/2006/relationships/hyperlink" Target="https://workdrive.zoho.in/file/uhqn77ccc817b375d49f580c6198f936eab87" TargetMode="External"/><Relationship Id="rId66" Type="http://schemas.openxmlformats.org/officeDocument/2006/relationships/hyperlink" Target="mailto:caredont473@gmail.com" TargetMode="External"/><Relationship Id="rId67" Type="http://schemas.openxmlformats.org/officeDocument/2006/relationships/hyperlink" Target="https://crmplus.zoho.in/agent/zohocorp/zoho-workdrive-presales/requests/details/205219032680665401" TargetMode="External"/><Relationship Id="rId68" Type="http://schemas.openxmlformats.org/officeDocument/2006/relationships/hyperlink" Target="mailto:tanmay.th@gmail.com" TargetMode="External"/><Relationship Id="rId69" Type="http://schemas.openxmlformats.org/officeDocument/2006/relationships/hyperlink" Target="https://crmplus.zoho.in/agent/zohocorp/zoho-workdrive-presales/requests/details/205219030014683724" TargetMode="External"/><Relationship Id="rId70" Type="http://schemas.openxmlformats.org/officeDocument/2006/relationships/hyperlink" Target="https://workdrive.zoho.in/file/j753962559477364341238cfc09e30ab36c04" TargetMode="External"/><Relationship Id="rId71" Type="http://schemas.openxmlformats.org/officeDocument/2006/relationships/hyperlink" Target="mailto:admin@bramhall1840.co.uk" TargetMode="External"/><Relationship Id="rId72" Type="http://schemas.openxmlformats.org/officeDocument/2006/relationships/hyperlink" Target="https://crmplus.zoho.in/agent/zohocorp/zoho-workdrive-presales/requests/details/205219032435945720" TargetMode="External"/><Relationship Id="rId73" Type="http://schemas.openxmlformats.org/officeDocument/2006/relationships/hyperlink" Target="https://workdrive.zoho.in/file/j7539bdd595fddc7a4adeabd366b4038064c5" TargetMode="External"/><Relationship Id="rId74" Type="http://schemas.openxmlformats.org/officeDocument/2006/relationships/hyperlink" Target="mailto:jayaprakash.h@spagofoods.com" TargetMode="External"/><Relationship Id="rId75" Type="http://schemas.openxmlformats.org/officeDocument/2006/relationships/hyperlink" Target="https://crmplus.zoho.in/agent/zohocorp/zoho-workdrive-presales/requests/details/205219032713825322" TargetMode="External"/><Relationship Id="rId76" Type="http://schemas.openxmlformats.org/officeDocument/2006/relationships/hyperlink" Target="https://workdrive.zoho.in/file/j753910a15b5d141e46638b3c5aeb5be9f141" TargetMode="External"/><Relationship Id="rId77" Type="http://schemas.openxmlformats.org/officeDocument/2006/relationships/hyperlink" Target="mailto:shayne.higino@devtac.com" TargetMode="External"/><Relationship Id="rId78" Type="http://schemas.openxmlformats.org/officeDocument/2006/relationships/hyperlink" Target="https://crmplus.zoho.in/zohocorppace/index.do/cxapp/agent/zohocorp/zoho-workdrive-presales/requests/details/205219032737870474" TargetMode="External"/><Relationship Id="rId79" Type="http://schemas.openxmlformats.org/officeDocument/2006/relationships/hyperlink" Target="https://workdrive.zoho.in/file/z1hracdfadd9dc69f4fc587b00fd885f037c2" TargetMode="External"/><Relationship Id="rId80" Type="http://schemas.openxmlformats.org/officeDocument/2006/relationships/hyperlink" Target="mailto:admin@bramhall1840.co.uk" TargetMode="External"/><Relationship Id="rId81" Type="http://schemas.openxmlformats.org/officeDocument/2006/relationships/hyperlink" Target="https://help.zoho.eu/agent/zcorpeu/zoho-workdrive-presales/tickets/details/63904001455269279" TargetMode="External"/><Relationship Id="rId82" Type="http://schemas.openxmlformats.org/officeDocument/2006/relationships/hyperlink" Target="mailto:yogesh@vara.co" TargetMode="External"/><Relationship Id="rId83" Type="http://schemas.openxmlformats.org/officeDocument/2006/relationships/hyperlink" Target="https://crmplus.zoho.in/zohocorppace/index.do/cxapp/agent/zohocorp/zoho-workdrive-presales/requests/details/205219032833199182" TargetMode="External"/><Relationship Id="rId84" Type="http://schemas.openxmlformats.org/officeDocument/2006/relationships/hyperlink" Target="https://workdrive.zoho.in/file/j75397a625a94bb9841459110c92fb9786316" TargetMode="External"/><Relationship Id="rId85" Type="http://schemas.openxmlformats.org/officeDocument/2006/relationships/hyperlink" Target="https://sprints.zoho.in/workspace/zdocs#P15/itemdetails/I7456/details" TargetMode="External"/><Relationship Id="rId86" Type="http://schemas.openxmlformats.org/officeDocument/2006/relationships/hyperlink" Target="mailto:manivelca@gmail.com" TargetMode="External"/><Relationship Id="rId87" Type="http://schemas.openxmlformats.org/officeDocument/2006/relationships/hyperlink" Target="https://crmplus.zoho.in/zohocorppace/index.do/cxapp/agent/zohocorp/zoho-workdrive-presales/requests/details/205219032813477548/conversation" TargetMode="External"/><Relationship Id="rId88" Type="http://schemas.openxmlformats.org/officeDocument/2006/relationships/hyperlink" Target="https://crmplus.zoho.in/crm/onezoho/tab/CustomModule3/1034361024934717340" TargetMode="External"/><Relationship Id="rId89" Type="http://schemas.openxmlformats.org/officeDocument/2006/relationships/hyperlink" Target="https://workdrive.zoho.in/file/j7539bbd99514d7a042eba5a30594ad2ca679" TargetMode="External"/><Relationship Id="rId90" Type="http://schemas.openxmlformats.org/officeDocument/2006/relationships/hyperlink" Target="mailto:bhavik181931@gmail.com" TargetMode="External"/><Relationship Id="rId91" Type="http://schemas.openxmlformats.org/officeDocument/2006/relationships/hyperlink" Target="https://crmplus.zoho.in/agent/zohocorp/zoho-workdrive-presales/requests/details/205219032806567370" TargetMode="External"/><Relationship Id="rId92" Type="http://schemas.openxmlformats.org/officeDocument/2006/relationships/hyperlink" Target="https://workdrive.zoho.in/file/j75395e530457887840518ded021fcc290f28" TargetMode="External"/><Relationship Id="rId93" Type="http://schemas.openxmlformats.org/officeDocument/2006/relationships/hyperlink" Target="mailto:salesinfoelecom@gmail.com" TargetMode="External"/><Relationship Id="rId94" Type="http://schemas.openxmlformats.org/officeDocument/2006/relationships/hyperlink" Target="https://crmplus.zoho.in/agent/zohocorp/zoho-workdrive-presales/requests/details/205219030028155680" TargetMode="External"/><Relationship Id="rId95" Type="http://schemas.openxmlformats.org/officeDocument/2006/relationships/hyperlink" Target="https://workdrive.zoho.in/file/j7539f5e1afc021954a8e9d1c427d63ffc986" TargetMode="External"/><Relationship Id="rId96" Type="http://schemas.openxmlformats.org/officeDocument/2006/relationships/hyperlink" Target="mailto:chris@nwids.com" TargetMode="External"/><Relationship Id="rId97" Type="http://schemas.openxmlformats.org/officeDocument/2006/relationships/hyperlink" Target="https://crmplus.zoho.in/zohocorppace/index.do/cxapp/agent/zohocorp/zoho-workdrive-presales/requests/details/205219032757209534/conversation" TargetMode="External"/><Relationship Id="rId98" Type="http://schemas.openxmlformats.org/officeDocument/2006/relationships/hyperlink" Target="https://workdrive.zoho.in/file/j75391ae6f914b67846c09456657fcc8a68e6" TargetMode="External"/><Relationship Id="rId99" Type="http://schemas.openxmlformats.org/officeDocument/2006/relationships/hyperlink" Target="mailto:stu.hunter@rbbs.com.au" TargetMode="External"/><Relationship Id="rId100" Type="http://schemas.openxmlformats.org/officeDocument/2006/relationships/hyperlink" Target="https://crmplus.zoho.in/zohocorppace/index.do/cxapp/agent/zohocorp/zoho-workdrive-presales/requests/details/205219032712972888" TargetMode="External"/><Relationship Id="rId101" Type="http://schemas.openxmlformats.org/officeDocument/2006/relationships/hyperlink" Target="https://crmplus.zoho.in/crm/onezoho/tab/CustomModule3/1034361024934717368" TargetMode="External"/><Relationship Id="rId102" Type="http://schemas.openxmlformats.org/officeDocument/2006/relationships/hyperlink" Target="https://workdrive.zoho.in/file/j75393864b76e15544396bff0a9dab75cfd54" TargetMode="External"/><Relationship Id="rId103" Type="http://schemas.openxmlformats.org/officeDocument/2006/relationships/hyperlink" Target="mailto:itsupport@linesandframesprojects.com" TargetMode="External"/><Relationship Id="rId104" Type="http://schemas.openxmlformats.org/officeDocument/2006/relationships/hyperlink" Target="https://crmplus.zoho.in/zohocorppace/index.do/cxapp/agent/zohocorp/zoho-workdrive-presales/requests/details/205219032843682754/conversation" TargetMode="External"/><Relationship Id="rId105" Type="http://schemas.openxmlformats.org/officeDocument/2006/relationships/hyperlink" Target="https://workdrive.zoho.in/file/j753926d5e2aa340848d48a31908e7f981bab" TargetMode="External"/><Relationship Id="rId106" Type="http://schemas.openxmlformats.org/officeDocument/2006/relationships/hyperlink" Target="mailto:sales@piinacle.com.sg" TargetMode="External"/><Relationship Id="rId107" Type="http://schemas.openxmlformats.org/officeDocument/2006/relationships/hyperlink" Target="https://crmplus.zoho.in/agent/zohocorp/zoho-workdrive-presales/requests/details/205219032494950629" TargetMode="External"/><Relationship Id="rId108" Type="http://schemas.openxmlformats.org/officeDocument/2006/relationships/hyperlink" Target="mailto:shaheer@shintech.co.uk" TargetMode="External"/><Relationship Id="rId109" Type="http://schemas.openxmlformats.org/officeDocument/2006/relationships/hyperlink" Target="https://crmplus.zoho.in/zohocorppace/index.do/cxapp/agent/zohocorp/zoho-workdrive-presales/requests/details/205219032825641869" TargetMode="External"/><Relationship Id="rId110" Type="http://schemas.openxmlformats.org/officeDocument/2006/relationships/hyperlink" Target="https://workdrive.zoho.in/file/bwvtoaf5a513edcb34da185495b4665d29d9a" TargetMode="External"/><Relationship Id="rId111" Type="http://schemas.openxmlformats.org/officeDocument/2006/relationships/hyperlink" Target="mailto:ashok_gaikar@icicipruamc.com" TargetMode="External"/><Relationship Id="rId112" Type="http://schemas.openxmlformats.org/officeDocument/2006/relationships/hyperlink" Target="https://crmplus.zoho.in/zohocorppace/index.do/cxapp/agent/zohocorp/zoho-workdrive-presales/requests/details/205219028827778958" TargetMode="External"/><Relationship Id="rId113" Type="http://schemas.openxmlformats.org/officeDocument/2006/relationships/hyperlink" Target="mailto:p.riesel@massbbo.org" TargetMode="External"/><Relationship Id="rId114" Type="http://schemas.openxmlformats.org/officeDocument/2006/relationships/hyperlink" Target="https://crmplus.zoho.in/zohocorppace/index.do/cxapp/agent/zohocorp/zoho-workdrive-presales/requests/details/205219032747066184/conversation" TargetMode="External"/><Relationship Id="rId115" Type="http://schemas.openxmlformats.org/officeDocument/2006/relationships/hyperlink" Target="https://workdrive.zoho.in/file/iyyxxc3b64be9b6a04845a99d956eeeb3df01" TargetMode="External"/><Relationship Id="rId116" Type="http://schemas.openxmlformats.org/officeDocument/2006/relationships/hyperlink" Target="mailto:arunav.uppal@gmail.com" TargetMode="External"/><Relationship Id="rId117" Type="http://schemas.openxmlformats.org/officeDocument/2006/relationships/hyperlink" Target="https://crmplus.zoho.in/zohocorppace/index.do/cxapp/agent/zohocorp/zoho-workdrive-presales/requests/details/205219032813167834/conversation" TargetMode="External"/><Relationship Id="rId118" Type="http://schemas.openxmlformats.org/officeDocument/2006/relationships/hyperlink" Target="https://workdrive.zoho.in/file/iyyxxb6ce4fa2352d495a87794f56e70112af" TargetMode="External"/><Relationship Id="rId119" Type="http://schemas.openxmlformats.org/officeDocument/2006/relationships/hyperlink" Target="https://sprints.zoho.in/workspace/zdocs#P15/itemdetails/I7737" TargetMode="External"/><Relationship Id="rId120" Type="http://schemas.openxmlformats.org/officeDocument/2006/relationships/hyperlink" Target="mailto:rmishra@hngil.com" TargetMode="External"/><Relationship Id="rId121" Type="http://schemas.openxmlformats.org/officeDocument/2006/relationships/hyperlink" Target="https://crmplus.zoho.in/agent/zohocorp/zoho-workdrive-presales/requests/details/205219032810460665" TargetMode="External"/><Relationship Id="rId122" Type="http://schemas.openxmlformats.org/officeDocument/2006/relationships/hyperlink" Target="mailto:docsupport@choiceorg.com" TargetMode="External"/><Relationship Id="rId123" Type="http://schemas.openxmlformats.org/officeDocument/2006/relationships/hyperlink" Target="https://crmplus.zoho.in/agent/zohocorp/zoho-workdrive-presales/requests/details/205219032838178721" TargetMode="External"/><Relationship Id="rId124" Type="http://schemas.openxmlformats.org/officeDocument/2006/relationships/hyperlink" Target="mailto:christine.sielemann@luxaviation.com" TargetMode="External"/><Relationship Id="rId125" Type="http://schemas.openxmlformats.org/officeDocument/2006/relationships/hyperlink" Target="https://crmplus.zoho.in/zohocorppace/index.do/cxapp/agent/zohocorp/zoho-workdrive-presales/requests/details/205219031976483390" TargetMode="External"/><Relationship Id="rId126" Type="http://schemas.openxmlformats.org/officeDocument/2006/relationships/hyperlink" Target="https://workdrive.zoho.in/file/77r61dc36760c40f64012ac4fadb56000e227" TargetMode="External"/><Relationship Id="rId127" Type="http://schemas.openxmlformats.org/officeDocument/2006/relationships/hyperlink" Target="mailto:ajked@ajkcas.com" TargetMode="External"/><Relationship Id="rId128" Type="http://schemas.openxmlformats.org/officeDocument/2006/relationships/hyperlink" Target="https://workdrive.zoho.in/file/77r6157747334e0874574a33c38d5de5a468b" TargetMode="External"/><Relationship Id="rId129" Type="http://schemas.openxmlformats.org/officeDocument/2006/relationships/hyperlink" Target="mailto:kvrvenkat.ca@outlook.com" TargetMode="External"/><Relationship Id="rId130" Type="http://schemas.openxmlformats.org/officeDocument/2006/relationships/hyperlink" Target="https://crmplus.zoho.in/zohocorppace/index.do/cxapp/agent/zohocorp/zoho-workdrive-presales/requests/details/205219032863076794/conversation" TargetMode="External"/><Relationship Id="rId131" Type="http://schemas.openxmlformats.org/officeDocument/2006/relationships/hyperlink" Target="https://workdrive.zoho.in/file/77r612966ee480df54a099360e1e983d4bcd3" TargetMode="External"/><Relationship Id="rId132" Type="http://schemas.openxmlformats.org/officeDocument/2006/relationships/hyperlink" Target="mailto:ben.thomas@absatellite.com" TargetMode="External"/><Relationship Id="rId133" Type="http://schemas.openxmlformats.org/officeDocument/2006/relationships/hyperlink" Target="https://crmplus.zoho.in/agent/zohocorp/zoho-workdrive-presales/requests/details/205219032809339572" TargetMode="External"/><Relationship Id="rId134" Type="http://schemas.openxmlformats.org/officeDocument/2006/relationships/hyperlink" Target="https://workdrive.zoho.in/file/ggxqxa2b3b1c1cb0c4b65b51569925fd399c2" TargetMode="External"/><Relationship Id="rId135" Type="http://schemas.openxmlformats.org/officeDocument/2006/relationships/hyperlink" Target="mailto:thoratshivraj@gmail.com" TargetMode="External"/><Relationship Id="rId136" Type="http://schemas.openxmlformats.org/officeDocument/2006/relationships/hyperlink" Target="https://crmplus.zoho.in/agent/zohocorp/zoho-workdrive-presales/requests/details/205219032411338634" TargetMode="External"/><Relationship Id="rId137" Type="http://schemas.openxmlformats.org/officeDocument/2006/relationships/hyperlink" Target="https://workdrive.zoho.in/file/ggxqxe17d54ecc3714df58faa299a743b6d9e" TargetMode="External"/><Relationship Id="rId138" Type="http://schemas.openxmlformats.org/officeDocument/2006/relationships/hyperlink" Target="mailto:charan.kumar@tattvasol.com" TargetMode="External"/><Relationship Id="rId139" Type="http://schemas.openxmlformats.org/officeDocument/2006/relationships/hyperlink" Target="https://crmplus.zoho.in/agent/zohocorp/zoho-workdrive-presales/requests/details/205219029786058153" TargetMode="External"/><Relationship Id="rId140" Type="http://schemas.openxmlformats.org/officeDocument/2006/relationships/hyperlink" Target="https://workdrive.zoho.in/file/ggxqx628403b290d04b5cbc4ad820366c5426" TargetMode="External"/><Relationship Id="rId141" Type="http://schemas.openxmlformats.org/officeDocument/2006/relationships/hyperlink" Target="mailto:infoteranovaspace026@gmail.com" TargetMode="External"/><Relationship Id="rId142" Type="http://schemas.openxmlformats.org/officeDocument/2006/relationships/hyperlink" Target="https://crmplus.zoho.in/zohocorppace/index.do/cxapp/agent/zohocorp/zoho-workdrive-presales/requests/details/205219032834354519/conversation" TargetMode="External"/><Relationship Id="rId143" Type="http://schemas.openxmlformats.org/officeDocument/2006/relationships/hyperlink" Target="https://crmplus.zoho.in/crm/onezoho/tab/CustomModule3/1034361025339707161" TargetMode="External"/><Relationship Id="rId144" Type="http://schemas.openxmlformats.org/officeDocument/2006/relationships/hyperlink" Target="https://workdrive.zoho.in/file/hcuw68b00812983db471aa94d1722504d40ab" TargetMode="External"/><Relationship Id="rId145" Type="http://schemas.openxmlformats.org/officeDocument/2006/relationships/hyperlink" Target="mailto:deepak.joshi@insecticidesindia.com" TargetMode="External"/><Relationship Id="rId146" Type="http://schemas.openxmlformats.org/officeDocument/2006/relationships/hyperlink" Target="https://crmplus.zoho.in/zohocorppace/index.do/cxapp/agent/zohocorp/zoho-workdrive-presales/requests/details/205219032606577821" TargetMode="External"/><Relationship Id="rId147" Type="http://schemas.openxmlformats.org/officeDocument/2006/relationships/hyperlink" Target="https://workdrive.zoho.in/file/h18q4cf49afb79d1f446a819e361e4a30827f" TargetMode="External"/><Relationship Id="rId148" Type="http://schemas.openxmlformats.org/officeDocument/2006/relationships/hyperlink" Target="mailto:info@kcomforttravels.com" TargetMode="External"/><Relationship Id="rId149" Type="http://schemas.openxmlformats.org/officeDocument/2006/relationships/hyperlink" Target="https://crmplus.zoho.in/zohocorppace/index.do/cxapp/agent/zohocorp/zoho-workdrive-presales/requests/details/205219032862265388" TargetMode="External"/><Relationship Id="rId150" Type="http://schemas.openxmlformats.org/officeDocument/2006/relationships/hyperlink" Target="mailto:bria@brightlittlepages.com" TargetMode="External"/><Relationship Id="rId151" Type="http://schemas.openxmlformats.org/officeDocument/2006/relationships/hyperlink" Target="https://crmplus.zoho.in/zohocorppace/index.do/cxapp/agent/zohocorp/zoho-workdrive-presales/requests/details/205219032828502127" TargetMode="External"/><Relationship Id="rId152" Type="http://schemas.openxmlformats.org/officeDocument/2006/relationships/hyperlink" Target="https://crmplus.zoho.in/crm/onezoho/tab/CustomModule3/1034361025056589913" TargetMode="External"/><Relationship Id="rId153" Type="http://schemas.openxmlformats.org/officeDocument/2006/relationships/hyperlink" Target="https://workdrive.zoho.in/file/h8u2hde72b07ea9ca4cfab2dc288f0edae7a3" TargetMode="External"/><Relationship Id="rId154" Type="http://schemas.openxmlformats.org/officeDocument/2006/relationships/hyperlink" Target="mailto:dinagaran@bvrpc.com" TargetMode="External"/><Relationship Id="rId155" Type="http://schemas.openxmlformats.org/officeDocument/2006/relationships/hyperlink" Target="https://crmplus.zoho.in/zohocorppace/index.do/cxapp/agent/zohocorp/zoho-workdrive-presales/requests/details/205219032559981182" TargetMode="External"/><Relationship Id="rId156" Type="http://schemas.openxmlformats.org/officeDocument/2006/relationships/hyperlink" Target="mailto:bharathkumar.k@cityunionbank.in" TargetMode="External"/><Relationship Id="rId157" Type="http://schemas.openxmlformats.org/officeDocument/2006/relationships/hyperlink" Target="https://crmplus.zoho.in/zohocorppace/index.do/cxapp/agent/zohocorp/zoho-workdrive-presales/requests/details/205219032944200700" TargetMode="External"/><Relationship Id="rId158" Type="http://schemas.openxmlformats.org/officeDocument/2006/relationships/hyperlink" Target="mailto:ssbglobal07@gmail.com" TargetMode="External"/><Relationship Id="rId159" Type="http://schemas.openxmlformats.org/officeDocument/2006/relationships/hyperlink" Target="https://crmplus.zoho.in/agent/zohocorp/zoho-workdrive-presales/requests/details/205219032931070168" TargetMode="External"/><Relationship Id="rId160" Type="http://schemas.openxmlformats.org/officeDocument/2006/relationships/hyperlink" Target="https://workdrive.zoho.in/file/100ge76ffc86606524f71875e40b8ac4b3b17" TargetMode="External"/><Relationship Id="rId161" Type="http://schemas.openxmlformats.org/officeDocument/2006/relationships/hyperlink" Target="mailto:design@iscaffdesigns.co.uk" TargetMode="External"/><Relationship Id="rId162" Type="http://schemas.openxmlformats.org/officeDocument/2006/relationships/hyperlink" Target="https://crmplus.zoho.in/agent/zohocorp/zoho-workdrive-presales/requests/details/205219032943462356" TargetMode="External"/><Relationship Id="rId163" Type="http://schemas.openxmlformats.org/officeDocument/2006/relationships/hyperlink" Target="mailto:akashvince.h@usam.in" TargetMode="External"/><Relationship Id="rId164" Type="http://schemas.openxmlformats.org/officeDocument/2006/relationships/hyperlink" Target="https://crmplus.zoho.in/zohocorppace/index.do/cxapp/agent/zohocorp/zoho-workdrive-presales/requests/details/205219032733272112" TargetMode="External"/><Relationship Id="rId165" Type="http://schemas.openxmlformats.org/officeDocument/2006/relationships/hyperlink" Target="https://sprints.zoho.in/workspace/zdocs#P15/itemdetails/I7462/details" TargetMode="External"/><Relationship Id="rId166" Type="http://schemas.openxmlformats.org/officeDocument/2006/relationships/hyperlink" Target="mailto:xemploy09@gmail.com" TargetMode="External"/><Relationship Id="rId167" Type="http://schemas.openxmlformats.org/officeDocument/2006/relationships/hyperlink" Target="https://crmplus.zoho.in/zohocorppace/index.do/cxapp/agent/zohocorp/zoho-workdrive-presales/requests/details/205219032952557992" TargetMode="External"/><Relationship Id="rId168" Type="http://schemas.openxmlformats.org/officeDocument/2006/relationships/hyperlink" Target="mailto:hima.haridas@whitehatvirtual.com" TargetMode="External"/><Relationship Id="rId169" Type="http://schemas.openxmlformats.org/officeDocument/2006/relationships/hyperlink" Target="https://crmplus.zoho.in/zohocorppace/index.do/cxapp/agent/zohocorp/zoho-workdrive-presales/requests/details/205219032930080407" TargetMode="External"/><Relationship Id="rId170" Type="http://schemas.openxmlformats.org/officeDocument/2006/relationships/hyperlink" Target="mailto:sudharsan0124@gmail.com" TargetMode="External"/><Relationship Id="rId171" Type="http://schemas.openxmlformats.org/officeDocument/2006/relationships/hyperlink" Target="https://crmplus.zoho.in/zohocorppace/index.do/cxapp/agent/zohocorp/zoho-workdrive-presales/requests/details/205219032892093471/conversation" TargetMode="External"/><Relationship Id="rId172" Type="http://schemas.openxmlformats.org/officeDocument/2006/relationships/hyperlink" Target="https://crmplus.zoho.in/crm/onezoho/tab/CustomModule3/1034361025208664256" TargetMode="External"/><Relationship Id="rId173" Type="http://schemas.openxmlformats.org/officeDocument/2006/relationships/hyperlink" Target="https://workdrive.zoho.in/file/pzjvw6e8f055db870443bacb31579e495ed6e" TargetMode="External"/><Relationship Id="rId174" Type="http://schemas.openxmlformats.org/officeDocument/2006/relationships/hyperlink" Target="mailto:archita.s.parikh@gmail.com" TargetMode="External"/><Relationship Id="rId175" Type="http://schemas.openxmlformats.org/officeDocument/2006/relationships/hyperlink" Target="https://crmplus.zoho.in/agent/zohocorp/zoho-workdrive-presales/requests/details/205219032956845501" TargetMode="External"/><Relationship Id="rId176" Type="http://schemas.openxmlformats.org/officeDocument/2006/relationships/hyperlink" Target="https://workdrive.zoho.in/file/100gef4ccd26f92b44bfcb68c569065a5a3e8" TargetMode="External"/><Relationship Id="rId177" Type="http://schemas.openxmlformats.org/officeDocument/2006/relationships/hyperlink" Target="mailto:enquiry@ssmasc.edu.in" TargetMode="External"/><Relationship Id="rId178" Type="http://schemas.openxmlformats.org/officeDocument/2006/relationships/hyperlink" Target="https://crmplus.zoho.in/zohocorppace/index.do/cxapp/agent/zohocorp/zoho-workdrive-presales/requests/details/205219032890287395" TargetMode="External"/><Relationship Id="rId179" Type="http://schemas.openxmlformats.org/officeDocument/2006/relationships/hyperlink" Target="https://crmplus.zoho.in/zohocorppace/index.do/cxapp/crm/onezoho/tab/Potentials/1034361024984251247/canvas/1034361021156143769" TargetMode="External"/><Relationship Id="rId180" Type="http://schemas.openxmlformats.org/officeDocument/2006/relationships/hyperlink" Target="https://workdrive.zoho.in/file/dixwue73221d9aeb24d708f809a6d8ce9b682" TargetMode="External"/><Relationship Id="rId181" Type="http://schemas.openxmlformats.org/officeDocument/2006/relationships/hyperlink" Target="mailto:director@indokrisna.com" TargetMode="External"/><Relationship Id="rId182" Type="http://schemas.openxmlformats.org/officeDocument/2006/relationships/hyperlink" Target="https://crmplus.zoho.in/zohocorppace/index.do/cxapp/agent/zohocorp/zoho-workdrive-presales/requests/details/205219032994906324" TargetMode="External"/><Relationship Id="rId183" Type="http://schemas.openxmlformats.org/officeDocument/2006/relationships/hyperlink" Target="https://workdrive.zoho.in/file/du5hqf274dc4db26c4d439e1a5bb5113512af" TargetMode="External"/><Relationship Id="rId184" Type="http://schemas.openxmlformats.org/officeDocument/2006/relationships/hyperlink" Target="https://sprints.zoho.in/workspace/zdocs#P15/itemdetails/I7425" TargetMode="External"/><Relationship Id="rId185" Type="http://schemas.openxmlformats.org/officeDocument/2006/relationships/hyperlink" Target="mailto:vishal.s@senseselec.com" TargetMode="External"/><Relationship Id="rId186" Type="http://schemas.openxmlformats.org/officeDocument/2006/relationships/hyperlink" Target="https://crmplus.zoho.in/zohocorppace/index.do/cxapp/agent/zohocorp/zoho-workdrive-presales/requests/details/205219032966336726/conversation" TargetMode="External"/><Relationship Id="rId187" Type="http://schemas.openxmlformats.org/officeDocument/2006/relationships/hyperlink" Target="https://crmplus.zoho.in/crm/onezoho/tab/CustomModule3/1034361025154054802" TargetMode="External"/><Relationship Id="rId188" Type="http://schemas.openxmlformats.org/officeDocument/2006/relationships/hyperlink" Target="https://workdrive.zoho.in/file/pzjvw973ec7ee532a40249fe16d81c405b513" TargetMode="External"/><Relationship Id="rId189" Type="http://schemas.openxmlformats.org/officeDocument/2006/relationships/hyperlink" Target="mailto:vir.singh@teri.res.in" TargetMode="External"/><Relationship Id="rId190" Type="http://schemas.openxmlformats.org/officeDocument/2006/relationships/hyperlink" Target="https://crmplus.zoho.in/zohocorppace/index.do/cxapp/agent/zohocorp/zoho-workdrive-presales/requests/details/205219032400185063" TargetMode="External"/><Relationship Id="rId191" Type="http://schemas.openxmlformats.org/officeDocument/2006/relationships/hyperlink" Target="https://workdrive.zoho.in/file/du5hqaa1ce780c7684be88414cdcbb28ae88e" TargetMode="External"/><Relationship Id="rId192" Type="http://schemas.openxmlformats.org/officeDocument/2006/relationships/hyperlink" Target="mailto:jaineel.shah@npcpl.in" TargetMode="External"/><Relationship Id="rId193" Type="http://schemas.openxmlformats.org/officeDocument/2006/relationships/hyperlink" Target="https://crmplus.zoho.in/zohocorppace/index.do/cxapp/agent/zohocorp/zoho-workdrive-presales/requests/details/205219032926118955" TargetMode="External"/><Relationship Id="rId194" Type="http://schemas.openxmlformats.org/officeDocument/2006/relationships/hyperlink" Target="https://workdrive.zoho.in/file/du5hq608203f3ffbe4194b9be1db4d19c16b4" TargetMode="External"/><Relationship Id="rId195" Type="http://schemas.openxmlformats.org/officeDocument/2006/relationships/hyperlink" Target="mailto:sumeet.sodhani@gmail.com" TargetMode="External"/><Relationship Id="rId196" Type="http://schemas.openxmlformats.org/officeDocument/2006/relationships/hyperlink" Target="https://crmplus.zoho.in/zohocorppace/index.do/cxapp/agent/zohocorp/zoho-workdrive-presales/requests/details/205219032206287721" TargetMode="External"/><Relationship Id="rId197" Type="http://schemas.openxmlformats.org/officeDocument/2006/relationships/hyperlink" Target="https://crmplus.zoho.in/crm/onezoho/tab/CustomModule3/1034361024080551615" TargetMode="External"/><Relationship Id="rId198" Type="http://schemas.openxmlformats.org/officeDocument/2006/relationships/hyperlink" Target="mailto:rvasane@amherst.com" TargetMode="External"/><Relationship Id="rId199" Type="http://schemas.openxmlformats.org/officeDocument/2006/relationships/hyperlink" Target="https://crmplus.zoho.in/agent/zohocorp/zoho-workdrive-presales/requests/details/205219032991277735" TargetMode="External"/><Relationship Id="rId200" Type="http://schemas.openxmlformats.org/officeDocument/2006/relationships/hyperlink" Target="https://workdrive.zoho.in/file/100ged37e3681e54d434c85e40ad8be672f01" TargetMode="External"/><Relationship Id="rId201" Type="http://schemas.openxmlformats.org/officeDocument/2006/relationships/hyperlink" Target="mailto:jitesh.jadhav@tyger.in" TargetMode="External"/><Relationship Id="rId202" Type="http://schemas.openxmlformats.org/officeDocument/2006/relationships/hyperlink" Target="https://crmplus.zoho.in/zohocorppace/index.do/cxapp/agent/zohocorp/zoho-workdrive-presales/requests/details/205219032865287248/conversation" TargetMode="External"/><Relationship Id="rId203" Type="http://schemas.openxmlformats.org/officeDocument/2006/relationships/hyperlink" Target="mailto:rizwan@alainfinance.ae" TargetMode="External"/><Relationship Id="rId204" Type="http://schemas.openxmlformats.org/officeDocument/2006/relationships/hyperlink" Target="https://crmplus.zoho.in/zohocorppace/index.do/cxapp/agent/zohocorp/zoho-workdrive-presales/requests/details/205219032516058115" TargetMode="External"/><Relationship Id="rId205" Type="http://schemas.openxmlformats.org/officeDocument/2006/relationships/hyperlink" Target="https://crmplus.zoho.in/crm/onezoho/tab/CustomModule3/1034361025562155943" TargetMode="External"/><Relationship Id="rId206" Type="http://schemas.openxmlformats.org/officeDocument/2006/relationships/hyperlink" Target="https://workdrive.zoho.in/file/100ge9cd034004ccf43cdbfe14909a3c0ece5" TargetMode="External"/><Relationship Id="rId207" Type="http://schemas.openxmlformats.org/officeDocument/2006/relationships/hyperlink" Target="mailto:rvasane@amherst.com" TargetMode="External"/><Relationship Id="rId208" Type="http://schemas.openxmlformats.org/officeDocument/2006/relationships/hyperlink" Target="https://crmplus.zoho.in/agent/zohocorp/zoho-workdrive-presales/requests/details/205219032991277735" TargetMode="External"/><Relationship Id="rId209" Type="http://schemas.openxmlformats.org/officeDocument/2006/relationships/hyperlink" Target="https://workdrive.zoho.in/file/100ge0c5230ccb6bc4bfd9a9da1930684d91b" TargetMode="External"/><Relationship Id="rId210" Type="http://schemas.openxmlformats.org/officeDocument/2006/relationships/hyperlink" Target="mailto:ayushdas11@gmail.com" TargetMode="External"/><Relationship Id="rId211" Type="http://schemas.openxmlformats.org/officeDocument/2006/relationships/hyperlink" Target="https://crmplus.zoho.in/agent/zohocorp/zoho-workdrive-presales/requests/details/205219033001374196" TargetMode="External"/><Relationship Id="rId212" Type="http://schemas.openxmlformats.org/officeDocument/2006/relationships/hyperlink" Target="https://workdrive.zoho.in/file/100ge4dd7f17f2dbe4e1f88b30205ac249860" TargetMode="External"/><Relationship Id="rId213" Type="http://schemas.openxmlformats.org/officeDocument/2006/relationships/hyperlink" Target="mailto:mehdi.alinejad@yhuterminal.com" TargetMode="External"/><Relationship Id="rId214" Type="http://schemas.openxmlformats.org/officeDocument/2006/relationships/hyperlink" Target="https://crmplus.zoho.in/agent/zohocorp/zoho-workdrive-presales/requests/details/205219033031474767" TargetMode="External"/><Relationship Id="rId215" Type="http://schemas.openxmlformats.org/officeDocument/2006/relationships/hyperlink" Target="mailto:schmittef@gemm.ms.de" TargetMode="External"/><Relationship Id="rId216" Type="http://schemas.openxmlformats.org/officeDocument/2006/relationships/hyperlink" Target="https://help.zoho.eu/agent/zcorpeu/zoho-workdrive-presales/tickets/details/63904001537627508" TargetMode="External"/><Relationship Id="rId217" Type="http://schemas.openxmlformats.org/officeDocument/2006/relationships/hyperlink" Target="https://crm.zoho.eu/crm/org20073955584/tab/CustomModule1/312051004032593007" TargetMode="External"/><Relationship Id="rId218" Type="http://schemas.openxmlformats.org/officeDocument/2006/relationships/hyperlink" Target="https://connect.zoho.in/portal/intranet/stream/155936001993760754" TargetMode="External"/><Relationship Id="rId219" Type="http://schemas.openxmlformats.org/officeDocument/2006/relationships/hyperlink" Target="https://workdrive.zoho.in/file/tcoml783644bce4eb45d48a27f35fb7240bc3" TargetMode="External"/><Relationship Id="rId220" Type="http://schemas.openxmlformats.org/officeDocument/2006/relationships/hyperlink" Target="mailto:slouis@ohs.uk" TargetMode="External"/><Relationship Id="rId221" Type="http://schemas.openxmlformats.org/officeDocument/2006/relationships/hyperlink" Target="https://help.zoho.eu/agent/zcorpeu/zoho-workdrive-presales/tickets/details/63904001539513488" TargetMode="External"/><Relationship Id="rId222" Type="http://schemas.openxmlformats.org/officeDocument/2006/relationships/hyperlink" Target="https://crm.zoho.eu/crm/org20073955584/tab/CustomModule1/312051004039309067" TargetMode="External"/><Relationship Id="rId223" Type="http://schemas.openxmlformats.org/officeDocument/2006/relationships/hyperlink" Target="https://workdrive.zoho.in/file/tcomla0e7767734304ba08c306d78fa19b4e5" TargetMode="External"/><Relationship Id="rId224" Type="http://schemas.openxmlformats.org/officeDocument/2006/relationships/hyperlink" Target="mailto:crandell@myedusolutions.com" TargetMode="External"/><Relationship Id="rId225" Type="http://schemas.openxmlformats.org/officeDocument/2006/relationships/hyperlink" Target="https://crmplus.zoho.in/agent/zohocorp/zoho-workdrive-presales/requests/details/205219033084134372" TargetMode="External"/><Relationship Id="rId226" Type="http://schemas.openxmlformats.org/officeDocument/2006/relationships/hyperlink" Target="mailto:adpradhan5101@gmail.com" TargetMode="External"/><Relationship Id="rId227" Type="http://schemas.openxmlformats.org/officeDocument/2006/relationships/hyperlink" Target="https://crmplus.zoho.in/agent/zohocorp/zoho-workdrive-presales/requests/details/205219033041809658" TargetMode="External"/><Relationship Id="rId228" Type="http://schemas.openxmlformats.org/officeDocument/2006/relationships/hyperlink" Target="mailto:siddharthbest@gmail.com" TargetMode="External"/><Relationship Id="rId229" Type="http://schemas.openxmlformats.org/officeDocument/2006/relationships/hyperlink" Target="https://crmplus.zoho.in/zohocorppace/index.do/cxapp/agent/zohocorp/zoho-workdrive-presales/requests/details/205219033057765224" TargetMode="External"/><Relationship Id="rId230" Type="http://schemas.openxmlformats.org/officeDocument/2006/relationships/hyperlink" Target="mailto:shivaraj@yantralive.com" TargetMode="External"/><Relationship Id="rId231" Type="http://schemas.openxmlformats.org/officeDocument/2006/relationships/hyperlink" Target="https://crmplus.zoho.in/zohocorppace/index.do/cxapp/agent/zohocorp/zoho-workdrive-presales/requests/details/205219032994798368" TargetMode="External"/><Relationship Id="rId232" Type="http://schemas.openxmlformats.org/officeDocument/2006/relationships/hyperlink" Target="https://crmplus.zoho.in/crm/onezoho/tab/CustomModule3/1034361025235837731" TargetMode="External"/><Relationship Id="rId233" Type="http://schemas.openxmlformats.org/officeDocument/2006/relationships/hyperlink" Target="https://workdrive.zoho.in/file/6fmw0d74daf6691904fbbbff084c16cca8089" TargetMode="External"/><Relationship Id="rId234" Type="http://schemas.openxmlformats.org/officeDocument/2006/relationships/hyperlink" Target="mailto:ashfaquedawre@bdo.in" TargetMode="External"/><Relationship Id="rId235" Type="http://schemas.openxmlformats.org/officeDocument/2006/relationships/hyperlink" Target="https://crmplus.zoho.in/zohocorppace/index.do/cxapp/agent/zohocorp/zoho-workdrive-presales/requests/details/205219033067171774" TargetMode="External"/><Relationship Id="rId236" Type="http://schemas.openxmlformats.org/officeDocument/2006/relationships/hyperlink" Target="mailto:sendil.kumar@varroc.com" TargetMode="External"/><Relationship Id="rId237" Type="http://schemas.openxmlformats.org/officeDocument/2006/relationships/hyperlink" Target="https://crmplus.zoho.in/zohocorppace/index.do/cxapp/agent/zohocorp/zoho-workdrive-presales/requests/details/205219033091982507" TargetMode="External"/><Relationship Id="rId238" Type="http://schemas.openxmlformats.org/officeDocument/2006/relationships/hyperlink" Target="mailto:harisha.prabakaran@laserxprts.com" TargetMode="External"/><Relationship Id="rId239" Type="http://schemas.openxmlformats.org/officeDocument/2006/relationships/hyperlink" Target="https://crmplus.zoho.in/zohocorppace/index.do/cxapp/agent/zohocorp/zoho-workdrive-presales/requests/details/205219025790933195" TargetMode="External"/><Relationship Id="rId240" Type="http://schemas.openxmlformats.org/officeDocument/2006/relationships/hyperlink" Target="https://workdrive.zoho.in/file/gsg5wcab2e71923aa472a822567a9fed751d3" TargetMode="External"/><Relationship Id="rId241" Type="http://schemas.openxmlformats.org/officeDocument/2006/relationships/hyperlink" Target="mailto:adpradhan5101@gmail.com" TargetMode="External"/><Relationship Id="rId242" Type="http://schemas.openxmlformats.org/officeDocument/2006/relationships/hyperlink" Target="https://crmplus.zoho.in/zohocorppace/index.do/cxapp/agent/zohocorp/zoho-workdrive-presales/requests/details/205219033041809658" TargetMode="External"/><Relationship Id="rId243" Type="http://schemas.openxmlformats.org/officeDocument/2006/relationships/hyperlink" Target="mailto:gayathri@energyls.in" TargetMode="External"/><Relationship Id="rId244" Type="http://schemas.openxmlformats.org/officeDocument/2006/relationships/hyperlink" Target="https://crmplus.zoho.in/zohocorppace/index.do/cxapp/agent/zohocorp/zoho-workdrive-presales/requests/details/205219032994812220" TargetMode="External"/><Relationship Id="rId245" Type="http://schemas.openxmlformats.org/officeDocument/2006/relationships/hyperlink" Target="mailto:support@qdas.net" TargetMode="External"/><Relationship Id="rId246" Type="http://schemas.openxmlformats.org/officeDocument/2006/relationships/hyperlink" Target="https://crmplus.zoho.in/zohocorppace/index.do/cxapp/agent/zohocorp/zoho-workdrive-presales/requests/details/205219033023239920" TargetMode="External"/><Relationship Id="rId247" Type="http://schemas.openxmlformats.org/officeDocument/2006/relationships/hyperlink" Target="mailto:it@sanstar.in" TargetMode="External"/><Relationship Id="rId248" Type="http://schemas.openxmlformats.org/officeDocument/2006/relationships/hyperlink" Target="https://crmplus.zoho.in/zohocorppace/index.do/cxapp/agent/zohocorp/zoho-workdrive-presales/requests/details/205219033050283385" TargetMode="External"/><Relationship Id="rId249" Type="http://schemas.openxmlformats.org/officeDocument/2006/relationships/hyperlink" Target="https://workdrive.zoho.in/file/l67vl34505d8c2aef453dac5865abafa18cca" TargetMode="External"/><Relationship Id="rId250" Type="http://schemas.openxmlformats.org/officeDocument/2006/relationships/hyperlink" Target="mailto:arck@mantrauae.com" TargetMode="External"/><Relationship Id="rId251" Type="http://schemas.openxmlformats.org/officeDocument/2006/relationships/hyperlink" Target="https://crmplus.zoho.in/agent/zohocorp/zoho-workdrive-presales/requests/details/205219033094392913" TargetMode="External"/><Relationship Id="rId252" Type="http://schemas.openxmlformats.org/officeDocument/2006/relationships/hyperlink" Target="mailto:jose@newstageroofing.com" TargetMode="External"/><Relationship Id="rId253" Type="http://schemas.openxmlformats.org/officeDocument/2006/relationships/hyperlink" Target="https://crmplus.zoho.in/agent/zohocorp/zoho-workdrive-presales/requests/details/205219033121745468" TargetMode="External"/><Relationship Id="rId254" Type="http://schemas.openxmlformats.org/officeDocument/2006/relationships/hyperlink" Target="mailto:quality@thepcatech.com" TargetMode="External"/><Relationship Id="rId255" Type="http://schemas.openxmlformats.org/officeDocument/2006/relationships/hyperlink" Target="https://crmplus.zoho.in/zohocorppace/index.do/cxapp/agent/zohocorp/zoho-workdrive-presales/requests/details/205219033107113867" TargetMode="External"/><Relationship Id="rId256" Type="http://schemas.openxmlformats.org/officeDocument/2006/relationships/hyperlink" Target="https://workdrive.zoho.in/file/7aupw629c5e9faaa947dc9ac0f63966252f08" TargetMode="External"/><Relationship Id="rId257" Type="http://schemas.openxmlformats.org/officeDocument/2006/relationships/hyperlink" Target="mailto:rajesh.r@albalagh.com" TargetMode="External"/><Relationship Id="rId258" Type="http://schemas.openxmlformats.org/officeDocument/2006/relationships/hyperlink" Target="https://crmplus.zoho.in/zohocorppace/index.do/cxapp/agent/zohocorp/zoho-workdrive-presales/requests/details/205219033024104458" TargetMode="External"/><Relationship Id="rId259" Type="http://schemas.openxmlformats.org/officeDocument/2006/relationships/hyperlink" Target="https://crmplus.zoho.in/crm/onezoho/tab/CustomModule3/1034361025336034514" TargetMode="External"/><Relationship Id="rId260" Type="http://schemas.openxmlformats.org/officeDocument/2006/relationships/hyperlink" Target="https://workdrive.zoho.in/file/hcuw60b4d1ef75ea744d8b6f5fb4000612e13" TargetMode="External"/><Relationship Id="rId261" Type="http://schemas.openxmlformats.org/officeDocument/2006/relationships/hyperlink" Target="mailto:ajked@ajkcas.com" TargetMode="External"/><Relationship Id="rId262" Type="http://schemas.openxmlformats.org/officeDocument/2006/relationships/hyperlink" Target="mailto:anvesh.rao@sufcindia.com" TargetMode="External"/><Relationship Id="rId263" Type="http://schemas.openxmlformats.org/officeDocument/2006/relationships/hyperlink" Target="https://crmplus.zoho.in/zohocorppace/index.do/cxapp/agent/zohocorp/zoho-workdrive-presales/requests/details/205219033111758631/conversation" TargetMode="External"/><Relationship Id="rId264" Type="http://schemas.openxmlformats.org/officeDocument/2006/relationships/hyperlink" Target="https://workdrive.zoho.in/file/100ge7052c960d382444b828fd747bf038a83" TargetMode="External"/><Relationship Id="rId265" Type="http://schemas.openxmlformats.org/officeDocument/2006/relationships/hyperlink" Target="mailto:edgar@tiemokgawainc.co.za" TargetMode="External"/><Relationship Id="rId266" Type="http://schemas.openxmlformats.org/officeDocument/2006/relationships/hyperlink" Target="https://crmplus.zoho.in/zohocorppace/index.do/cxapp/agent/zohocorp/zoho-workdrive-presales/requests/details/205219032991415257/conversation" TargetMode="External"/><Relationship Id="rId267" Type="http://schemas.openxmlformats.org/officeDocument/2006/relationships/hyperlink" Target="https://crmplus.zoho.in/crm/onezoho/tab/CustomModule3/1034361025350663133" TargetMode="External"/><Relationship Id="rId268" Type="http://schemas.openxmlformats.org/officeDocument/2006/relationships/hyperlink" Target="https://workdrive.zoho.in/file/100ge3b62b09b1833475198a7fc07a4dda9a5" TargetMode="External"/><Relationship Id="rId269" Type="http://schemas.openxmlformats.org/officeDocument/2006/relationships/hyperlink" Target="mailto:deal@drakeandgorham.com" TargetMode="External"/><Relationship Id="rId270" Type="http://schemas.openxmlformats.org/officeDocument/2006/relationships/hyperlink" Target="https://crmplus.zoho.in/agent/zohocorp/zoho-workdrive-presales/requests/details/205219033138833355" TargetMode="External"/><Relationship Id="rId271" Type="http://schemas.openxmlformats.org/officeDocument/2006/relationships/hyperlink" Target="https://workdrive.zoho.in/file/100ge1c3a5c9662e842939219983a57df9159" TargetMode="External"/><Relationship Id="rId272" Type="http://schemas.openxmlformats.org/officeDocument/2006/relationships/hyperlink" Target="mailto:blessy@cfaemirates.com" TargetMode="External"/><Relationship Id="rId273" Type="http://schemas.openxmlformats.org/officeDocument/2006/relationships/hyperlink" Target="https://crmplus.zoho.in/zohocorppace/index.do/cxapp/agent/zohocorp/zoho-workdrive-presales/requests/details/205219033117034490" TargetMode="External"/><Relationship Id="rId274" Type="http://schemas.openxmlformats.org/officeDocument/2006/relationships/hyperlink" Target="https://workdrive.zoho.in/file/pgrno2513eef4a8964014b41ef3496b86be0b" TargetMode="External"/><Relationship Id="rId275" Type="http://schemas.openxmlformats.org/officeDocument/2006/relationships/hyperlink" Target="mailto:mohamed.abdulla@albalagh.com" TargetMode="External"/><Relationship Id="rId276" Type="http://schemas.openxmlformats.org/officeDocument/2006/relationships/hyperlink" Target="https://crmplus.zoho.in/zohocorppace/index.do/cxapp/agent/zohocorp/zoho-workdrive-presales/requests/details/205219033024104458" TargetMode="External"/><Relationship Id="rId277" Type="http://schemas.openxmlformats.org/officeDocument/2006/relationships/hyperlink" Target="https://crmplus.zoho.in/crm/onezoho/tab/CustomModule3/1034361025336034514" TargetMode="External"/><Relationship Id="rId278" Type="http://schemas.openxmlformats.org/officeDocument/2006/relationships/hyperlink" Target="https://sprints.zoho.in/workspace/zdocs#P15/itemdetails/I7448" TargetMode="External"/><Relationship Id="rId279" Type="http://schemas.openxmlformats.org/officeDocument/2006/relationships/hyperlink" Target="mailto:nagaharikrishna@railtelindia.com" TargetMode="External"/><Relationship Id="rId280" Type="http://schemas.openxmlformats.org/officeDocument/2006/relationships/hyperlink" Target="https://crmplus.zoho.in/zohocorppace/index.do/cxapp/agent/zohocorp/zoho-workdrive-presales/requests/details/205219029870636225" TargetMode="External"/><Relationship Id="rId281" Type="http://schemas.openxmlformats.org/officeDocument/2006/relationships/hyperlink" Target="https://workdrive.zoho.in/file/v5kwj9b43c236d73c44a2a99b5e2395a04e1f" TargetMode="External"/><Relationship Id="rId282" Type="http://schemas.openxmlformats.org/officeDocument/2006/relationships/hyperlink" Target="mailto:avik.das@naukri.com" TargetMode="External"/><Relationship Id="rId283" Type="http://schemas.openxmlformats.org/officeDocument/2006/relationships/hyperlink" Target="https://crmplus.zoho.in/zohocorppace/index.do/cxapp/agent/zohocorp/zoho-workdrive-presales/requests/details/205219033133135503" TargetMode="External"/><Relationship Id="rId284" Type="http://schemas.openxmlformats.org/officeDocument/2006/relationships/hyperlink" Target="mailto:sorav@theshivra.com" TargetMode="External"/><Relationship Id="rId285" Type="http://schemas.openxmlformats.org/officeDocument/2006/relationships/hyperlink" Target="https://crmplus.zoho.in/zohocorppace/index.do/cxapp/agent/zohocorp/zoho-workdrive-presales/requests/details/205219033123558041" TargetMode="External"/><Relationship Id="rId286" Type="http://schemas.openxmlformats.org/officeDocument/2006/relationships/hyperlink" Target="https://workdrive.zoho.in/file/eo49d51a00ff80c08437ab56c169a659735a8" TargetMode="External"/><Relationship Id="rId287" Type="http://schemas.openxmlformats.org/officeDocument/2006/relationships/hyperlink" Target="mailto:mohit@cstarunakalra.com" TargetMode="External"/><Relationship Id="rId288" Type="http://schemas.openxmlformats.org/officeDocument/2006/relationships/hyperlink" Target="https://crmplus.zoho.in/agent/zohocorp/zoho-workdrive-presales/requests/details/205219032195847496" TargetMode="External"/><Relationship Id="rId289" Type="http://schemas.openxmlformats.org/officeDocument/2006/relationships/hyperlink" Target="mailto:pefinfo@poornamecovision.org" TargetMode="External"/><Relationship Id="rId290" Type="http://schemas.openxmlformats.org/officeDocument/2006/relationships/hyperlink" Target="https://crmplus.zoho.in/zohocorppace/index.do/cxapp/agent/zohocorp/zoho-workdrive-presales/requests/details/205219033196181758" TargetMode="External"/><Relationship Id="rId291" Type="http://schemas.openxmlformats.org/officeDocument/2006/relationships/hyperlink" Target="https://workdrive.zoho.in/file/jxur3142724bcbb084f09bf09f0683e33c984" TargetMode="External"/><Relationship Id="rId292" Type="http://schemas.openxmlformats.org/officeDocument/2006/relationships/hyperlink" Target="mailto:tawarventures@gmail.com" TargetMode="External"/><Relationship Id="rId293" Type="http://schemas.openxmlformats.org/officeDocument/2006/relationships/hyperlink" Target="https://crmplus.zoho.in/zohocorppace/index.do/cxapp/agent/zohocorp/zoho-workdrive-presales/requests/details/205219032182504656" TargetMode="External"/><Relationship Id="rId294" Type="http://schemas.openxmlformats.org/officeDocument/2006/relationships/hyperlink" Target="https://workdrive.zoho.in/file/bsk3pf535fc56abef48109c09dfb21b993531" TargetMode="External"/><Relationship Id="rId295" Type="http://schemas.openxmlformats.org/officeDocument/2006/relationships/hyperlink" Target="mailto:jash.sanghvi@waterfieldadvisors.com" TargetMode="External"/><Relationship Id="rId296" Type="http://schemas.openxmlformats.org/officeDocument/2006/relationships/hyperlink" Target="https://crmplus.zoho.in/zohocorppace/index.do/cxapp/agent/zohocorp/zoho-workdrive-presales/requests/details/205219033138506407" TargetMode="External"/><Relationship Id="rId297" Type="http://schemas.openxmlformats.org/officeDocument/2006/relationships/hyperlink" Target="https://sprints.zoho.in/workspace/zdocs#P15/itemdetails/I7527" TargetMode="External"/><Relationship Id="rId298" Type="http://schemas.openxmlformats.org/officeDocument/2006/relationships/hyperlink" Target="mailto:slouis@ohs.uk" TargetMode="External"/><Relationship Id="rId299" Type="http://schemas.openxmlformats.org/officeDocument/2006/relationships/hyperlink" Target="https://help.zoho.eu/agent/zcorpeu/zoho-workdrive-presales/tickets/details/63904001539513488" TargetMode="External"/><Relationship Id="rId300" Type="http://schemas.openxmlformats.org/officeDocument/2006/relationships/hyperlink" Target="https://crm.zoho.eu/crm/org20073955584/tab/CustomModule1/312051004039309067" TargetMode="External"/><Relationship Id="rId301" Type="http://schemas.openxmlformats.org/officeDocument/2006/relationships/hyperlink" Target="mailto:arjunhgowda@gmail.com" TargetMode="External"/><Relationship Id="rId302" Type="http://schemas.openxmlformats.org/officeDocument/2006/relationships/hyperlink" Target="https://crmplus.zoho.in/zohocorppace/index.do/cxapp/agent/zohocorp/zoho-workdrive-presales/requests/details/205219033247431582" TargetMode="External"/><Relationship Id="rId303" Type="http://schemas.openxmlformats.org/officeDocument/2006/relationships/hyperlink" Target="https://crmplus.zoho.in/crm/onezoho/tab/CustomModule3/1034361025512048536" TargetMode="External"/><Relationship Id="rId304" Type="http://schemas.openxmlformats.org/officeDocument/2006/relationships/hyperlink" Target="https://workdrive.zoho.in/file/82egnc225d4be86db415bb26b15e7132d73ef" TargetMode="External"/><Relationship Id="rId305" Type="http://schemas.openxmlformats.org/officeDocument/2006/relationships/hyperlink" Target="mailto:rmohan@transfurt.com" TargetMode="External"/><Relationship Id="rId306" Type="http://schemas.openxmlformats.org/officeDocument/2006/relationships/hyperlink" Target="https://crmplus.zoho.in/zohocorppace/index.do/cxapp/agent/zohocorp/zoho-workdrive-presales/requests/details/205219032969875857" TargetMode="External"/><Relationship Id="rId307" Type="http://schemas.openxmlformats.org/officeDocument/2006/relationships/hyperlink" Target="https://crmplus.zoho.in/crm/onezoho/tab/CustomModule3/1034361025524361437" TargetMode="External"/><Relationship Id="rId308" Type="http://schemas.openxmlformats.org/officeDocument/2006/relationships/hyperlink" Target="https://workdrive.zoho.in/file/pw6rd7780a25cebf54aef9f5702cb91506d37" TargetMode="External"/><Relationship Id="rId309" Type="http://schemas.openxmlformats.org/officeDocument/2006/relationships/hyperlink" Target="mailto:k@brandiantree.com" TargetMode="External"/><Relationship Id="rId310" Type="http://schemas.openxmlformats.org/officeDocument/2006/relationships/hyperlink" Target="https://crmplus.zoho.in/zohocorppace/index.do/cxapp/agent/zohocorp/zoho-workdrive-presales/requests/details/205219030727848349" TargetMode="External"/><Relationship Id="rId311" Type="http://schemas.openxmlformats.org/officeDocument/2006/relationships/hyperlink" Target="https://crmplus.zoho.in/crm/onezoho/tab/CustomModule3/1034361025570126624" TargetMode="External"/><Relationship Id="rId312" Type="http://schemas.openxmlformats.org/officeDocument/2006/relationships/hyperlink" Target="https://workdrive.zoho.in/file/65q56b776742cdc1446f38e04e529f541a8fb" TargetMode="External"/><Relationship Id="rId313" Type="http://schemas.openxmlformats.org/officeDocument/2006/relationships/hyperlink" Target="mailto:krishnanvp.79@rediffmail.com" TargetMode="External"/><Relationship Id="rId314" Type="http://schemas.openxmlformats.org/officeDocument/2006/relationships/hyperlink" Target="https://crmplus.zoho.in/zohocorppace/index.do/cxapp/agent/zohocorp/zoho-workdrive-presales/requests/details/205219033269504603" TargetMode="External"/><Relationship Id="rId315" Type="http://schemas.openxmlformats.org/officeDocument/2006/relationships/hyperlink" Target="https://crmplus.zoho.in/crm/onezoho/tab/CustomModule3/1034361025570126797" TargetMode="External"/><Relationship Id="rId316" Type="http://schemas.openxmlformats.org/officeDocument/2006/relationships/hyperlink" Target="mailto:meticulousdeconstruction@gmail.com" TargetMode="External"/><Relationship Id="rId317" Type="http://schemas.openxmlformats.org/officeDocument/2006/relationships/hyperlink" Target="https://crmplus.zoho.in/zohocorppace/index.do/cxapp/agent/zohocorp/zoho-workdrive-presales/requests/details/205219033205603238" TargetMode="External"/><Relationship Id="rId318" Type="http://schemas.openxmlformats.org/officeDocument/2006/relationships/hyperlink" Target="https://crmplus.zoho.in/crm/onezoho/tab/CustomModule3/1034361025570126967" TargetMode="External"/><Relationship Id="rId319" Type="http://schemas.openxmlformats.org/officeDocument/2006/relationships/hyperlink" Target="mailto:hr@scholarsfoundation.in" TargetMode="External"/><Relationship Id="rId320" Type="http://schemas.openxmlformats.org/officeDocument/2006/relationships/hyperlink" Target="https://crmplus.zoho.in/zohocorppace/index.do/cxapp/agent/zohocorp/zoho-workdrive-presales/requests/details/205219033210719389" TargetMode="External"/><Relationship Id="rId321" Type="http://schemas.openxmlformats.org/officeDocument/2006/relationships/hyperlink" Target="mailto:sanjeev.commercial@gmail.com" TargetMode="External"/><Relationship Id="rId322" Type="http://schemas.openxmlformats.org/officeDocument/2006/relationships/hyperlink" Target="https://crmplus.zoho.in/zohocorppace/index.do/cxapp/agent/zohocorp/zoho-workdrive-presales/requests/details/205219028451290594" TargetMode="External"/><Relationship Id="rId323" Type="http://schemas.openxmlformats.org/officeDocument/2006/relationships/hyperlink" Target="https://crmplus.zoho.in/crm/onezoho/tab/CustomModule3/1034361025559031616" TargetMode="External"/><Relationship Id="rId324" Type="http://schemas.openxmlformats.org/officeDocument/2006/relationships/hyperlink" Target="https://workdrive.zoho.in/file/ov0vya9d50cf061024969a842b660e3283072" TargetMode="External"/><Relationship Id="rId325" Type="http://schemas.openxmlformats.org/officeDocument/2006/relationships/hyperlink" Target="mailto:sunil.dass@sunbridgesolar.in" TargetMode="External"/><Relationship Id="rId326" Type="http://schemas.openxmlformats.org/officeDocument/2006/relationships/hyperlink" Target="https://crmplus.zoho.in/zohocorppace/index.do/cxapp/agent/zohocorp/zoho-workdrive-presales/requests/details/205219033271202452" TargetMode="External"/><Relationship Id="rId327" Type="http://schemas.openxmlformats.org/officeDocument/2006/relationships/hyperlink" Target="https://workdrive.zoho.in/file/4kakgb3566ed0d8f74282aa64468603f4d438" TargetMode="External"/><Relationship Id="rId328" Type="http://schemas.openxmlformats.org/officeDocument/2006/relationships/hyperlink" Target="mailto:mdo@ashishinterbuild.com" TargetMode="External"/><Relationship Id="rId329" Type="http://schemas.openxmlformats.org/officeDocument/2006/relationships/hyperlink" Target="https://crmplus.zoho.in/zohocorppace/index.do/cxapp/agent/zohocorp/zoho-workdrive-presales/requests/details/205219033291716025" TargetMode="External"/><Relationship Id="rId330" Type="http://schemas.openxmlformats.org/officeDocument/2006/relationships/hyperlink" Target="https://workdrive.zoho.in/file/qrqkvacb848e56914427ea2ba86f042e8da14" TargetMode="External"/><Relationship Id="rId331" Type="http://schemas.openxmlformats.org/officeDocument/2006/relationships/hyperlink" Target="mailto:it.admin@petiolehub.com" TargetMode="External"/><Relationship Id="rId332" Type="http://schemas.openxmlformats.org/officeDocument/2006/relationships/hyperlink" Target="https://crmplus.zoho.in/zohocorppace/index.do/cxapp/agent/zohocorp/zoho-workdrive-presales/requests/details/205219032269780038/conversation" TargetMode="External"/><Relationship Id="rId333" Type="http://schemas.openxmlformats.org/officeDocument/2006/relationships/hyperlink" Target="https://crmplus.zoho.in/crm/onezoho/tab/CustomModule3/1034361025576542250" TargetMode="External"/><Relationship Id="rId334" Type="http://schemas.openxmlformats.org/officeDocument/2006/relationships/hyperlink" Target="mailto:julian@prioryestate.com" TargetMode="External"/><Relationship Id="rId335" Type="http://schemas.openxmlformats.org/officeDocument/2006/relationships/hyperlink" Target="https://crmplus.zoho.in/zohocorppace/index.do/cxapp/agent/zohocorp/zoho-workdrive-presales/requests/details/205219033280270515/conversation" TargetMode="External"/><Relationship Id="rId336" Type="http://schemas.openxmlformats.org/officeDocument/2006/relationships/hyperlink" Target="https://workdrive.zoho.in/file/qrqkv68705f11fdde4f45b57b2b519a08de11" TargetMode="External"/><Relationship Id="rId337" Type="http://schemas.openxmlformats.org/officeDocument/2006/relationships/hyperlink" Target="mailto:antonio.lapa@vedsoft.com.br" TargetMode="External"/><Relationship Id="rId338" Type="http://schemas.openxmlformats.org/officeDocument/2006/relationships/hyperlink" Target="https://crmplus.zoho.in/zohocorppace/index.do/cxapp/agent/zohocorp/zoho-workdrive-presales/requests/details/205219033076561318/conversation" TargetMode="External"/></Relationships>
</file>

<file path=xl/worksheets/_rels/sheet5.xml.rels><?xml version="1.0" encoding="UTF-8" standalone="yes"?><Relationships xmlns="http://schemas.openxmlformats.org/package/2006/relationships"><Relationship Id="rId1" Type="http://schemas.openxmlformats.org/officeDocument/2006/relationships/hyperlink" Target="mailto:eshvarinfo@gmail.com" TargetMode="External"/><Relationship Id="rId2" Type="http://schemas.openxmlformats.org/officeDocument/2006/relationships/hyperlink" Target="https://crmplus.zoho.in/zohocorppace/index.do/cxapp/agent/zohocorp/zoho-workdrive-presales/requests/details/205219033296918693" TargetMode="External"/><Relationship Id="rId3" Type="http://schemas.openxmlformats.org/officeDocument/2006/relationships/hyperlink" Target="https://crmplus.zoho.in/crm/onezoho/tab/CustomModule3/1034361025596538015" TargetMode="External"/><Relationship Id="rId4" Type="http://schemas.openxmlformats.org/officeDocument/2006/relationships/hyperlink" Target="https://workdrive.zoho.in/file/jod1zb6e514285a78415ea94d9ab3fc4afa4a" TargetMode="External"/><Relationship Id="rId5" Type="http://schemas.openxmlformats.org/officeDocument/2006/relationships/hyperlink" Target="mailto:it_monitoring.desk@seshaasai.com" TargetMode="External"/><Relationship Id="rId6" Type="http://schemas.openxmlformats.org/officeDocument/2006/relationships/hyperlink" Target="https://crmplus.zoho.in/zohocorppace/index.do/cxapp/agent/zohocorp/zoho-workdrive-presales/requests/details/205219033274652779" TargetMode="External"/><Relationship Id="rId7" Type="http://schemas.openxmlformats.org/officeDocument/2006/relationships/hyperlink" Target="mailto:aniket@dgace.in" TargetMode="External"/><Relationship Id="rId8" Type="http://schemas.openxmlformats.org/officeDocument/2006/relationships/hyperlink" Target="https://crmplus.zoho.in/zohocorppace/index.do/cxapp/agent/zohocorp/zoho-workdrive-presales/requests/details/205219033293602275" TargetMode="External"/><Relationship Id="rId9" Type="http://schemas.openxmlformats.org/officeDocument/2006/relationships/hyperlink" Target="https://crmplus.zoho.in/crm/onezoho/tab/CustomModule3/1034361025607368127" TargetMode="External"/><Relationship Id="rId10" Type="http://schemas.openxmlformats.org/officeDocument/2006/relationships/hyperlink" Target="https://workdrive.zoho.in/file/qe7xu4e167f66fcbf45bfb91fcd0df7d23a43" TargetMode="External"/><Relationship Id="rId11" Type="http://schemas.openxmlformats.org/officeDocument/2006/relationships/hyperlink" Target="mailto:mohammad@radix.email" TargetMode="External"/><Relationship Id="rId12" Type="http://schemas.openxmlformats.org/officeDocument/2006/relationships/hyperlink" Target="https://crmplus.zoho.in/zohocorppace/index.do/cxapp/agent/zohocorp/zoho-workdrive-presales/requests/details/205219032391498507/conversation" TargetMode="External"/><Relationship Id="rId13" Type="http://schemas.openxmlformats.org/officeDocument/2006/relationships/hyperlink" Target="https://crmplus.zoho.in/crm/onezoho/tab/CustomModule3/1034361025616968617" TargetMode="External"/><Relationship Id="rId14" Type="http://schemas.openxmlformats.org/officeDocument/2006/relationships/hyperlink" Target="https://workdrive.zoho.in/file/2n8m93aad294a06b94036b08df6b8481ac448" TargetMode="External"/><Relationship Id="rId15" Type="http://schemas.openxmlformats.org/officeDocument/2006/relationships/hyperlink" Target="mailto:nikita.sai@zeta.tech" TargetMode="External"/><Relationship Id="rId16" Type="http://schemas.openxmlformats.org/officeDocument/2006/relationships/hyperlink" Target="mailto:mas@comp2i.com" TargetMode="External"/><Relationship Id="rId17" Type="http://schemas.openxmlformats.org/officeDocument/2006/relationships/hyperlink" Target="https://crmplus.zoho.in/agent/zohocorp/zoho-workdrive-presales/requests/details/205219033287351118" TargetMode="External"/><Relationship Id="rId18" Type="http://schemas.openxmlformats.org/officeDocument/2006/relationships/hyperlink" Target="https://workdrive.zoho.in/file/2n8m95979036c79d84566bb1278e852deccfe" TargetMode="External"/><Relationship Id="rId19" Type="http://schemas.openxmlformats.org/officeDocument/2006/relationships/hyperlink" Target="mailto:sumathi@dzigns.in" TargetMode="External"/><Relationship Id="rId20" Type="http://schemas.openxmlformats.org/officeDocument/2006/relationships/hyperlink" Target="https://crmplus.zoho.in/zohocorppace/index.do/cxapp/agent/zohocorp/zoho-workdrive-presales/requests/details/205219033332756171" TargetMode="External"/><Relationship Id="rId21" Type="http://schemas.openxmlformats.org/officeDocument/2006/relationships/hyperlink" Target="https://workdrive.zoho.in/file/2n8m9f046f93fd12d48cb8f343b65c057f238" TargetMode="External"/><Relationship Id="rId22" Type="http://schemas.openxmlformats.org/officeDocument/2006/relationships/hyperlink" Target="mailto:gopinathlg90@gmail.com" TargetMode="External"/><Relationship Id="rId23" Type="http://schemas.openxmlformats.org/officeDocument/2006/relationships/hyperlink" Target="https://crmplus.zoho.in/zohocorppace/index.do/cxapp/agent/zohocorp/zoho-workdrive-presales/requests/details/205219033128555641" TargetMode="External"/><Relationship Id="rId24" Type="http://schemas.openxmlformats.org/officeDocument/2006/relationships/hyperlink" Target="https://crmplus.zoho.in/crm/onezoho/tab/CustomModule3/1034361025644127390" TargetMode="External"/><Relationship Id="rId25" Type="http://schemas.openxmlformats.org/officeDocument/2006/relationships/hyperlink" Target="mailto:ali@emeraldenc.com" TargetMode="External"/><Relationship Id="rId26" Type="http://schemas.openxmlformats.org/officeDocument/2006/relationships/hyperlink" Target="https://crmplus.zoho.in/zohocorppace/index.do/cxapp/agent/zohocorp/zoho-workdrive-presales/requests/details/205219031582469823" TargetMode="External"/><Relationship Id="rId27" Type="http://schemas.openxmlformats.org/officeDocument/2006/relationships/hyperlink" Target="https://crmplus.zoho.in/crm/onezoho/tab/CustomModule3/1034361023952431271" TargetMode="External"/><Relationship Id="rId28" Type="http://schemas.openxmlformats.org/officeDocument/2006/relationships/hyperlink" Target="mailto:vedanshg@shrimaagroup.in" TargetMode="External"/><Relationship Id="rId29" Type="http://schemas.openxmlformats.org/officeDocument/2006/relationships/hyperlink" Target="https://crmplus.zoho.in/zohocorppace/index.do/cxapp/agent/zohocorp/zoho-workdrive-presales/requests/details/205219033308200529/conversation" TargetMode="External"/><Relationship Id="rId30" Type="http://schemas.openxmlformats.org/officeDocument/2006/relationships/hyperlink" Target="https://crmplus.zoho.in/crm/onezoho/tab/CustomModule3/1034361025649628525" TargetMode="External"/><Relationship Id="rId31" Type="http://schemas.openxmlformats.org/officeDocument/2006/relationships/hyperlink" Target="https://workdrive.zoho.in/file/xkzlt64e5c0752a2842a4979dd0bf399626d9" TargetMode="External"/><Relationship Id="rId32" Type="http://schemas.openxmlformats.org/officeDocument/2006/relationships/hyperlink" Target="mailto:nagaharikrishna@railtelindia.com" TargetMode="External"/><Relationship Id="rId33" Type="http://schemas.openxmlformats.org/officeDocument/2006/relationships/hyperlink" Target="https://crmplus.zoho.in/zohocorppace/index.do/cxapp/agent/zohocorp/zoho-workdrive-presales/requests/details/205219029870636225" TargetMode="External"/><Relationship Id="rId34" Type="http://schemas.openxmlformats.org/officeDocument/2006/relationships/hyperlink" Target="https://workdrive.zoho.in/file/e5w4400c7bb9592bc4e8a8fa4ea5074fc2592" TargetMode="External"/><Relationship Id="rId35" Type="http://schemas.openxmlformats.org/officeDocument/2006/relationships/hyperlink" Target="mailto:syam@ayathana.com" TargetMode="External"/><Relationship Id="rId36" Type="http://schemas.openxmlformats.org/officeDocument/2006/relationships/hyperlink" Target="https://crmplus.zoho.in/zohocorppace/index.do/cxapp/agent/zohocorp/zoho-workdrive-presales/requests/details/205219033328473326" TargetMode="External"/><Relationship Id="rId37" Type="http://schemas.openxmlformats.org/officeDocument/2006/relationships/hyperlink" Target="https://workdrive.zoho.in/file/e5w4488b6719f0b34440dadd3e23513f0c113" TargetMode="External"/><Relationship Id="rId38" Type="http://schemas.openxmlformats.org/officeDocument/2006/relationships/hyperlink" Target="mailto:vibhuti@vibhutigroup.net" TargetMode="External"/><Relationship Id="rId39" Type="http://schemas.openxmlformats.org/officeDocument/2006/relationships/hyperlink" Target="https://crmplus.zoho.in/zohocorppace/index.do/cxapp/agent/zohocorp/zoho-workdrive-presales/requests/details/205219033330279983" TargetMode="External"/><Relationship Id="rId40" Type="http://schemas.openxmlformats.org/officeDocument/2006/relationships/hyperlink" Target="mailto:carlos@alambrespa.cl" TargetMode="External"/><Relationship Id="rId41" Type="http://schemas.openxmlformats.org/officeDocument/2006/relationships/hyperlink" Target="https://crmplus.zoho.in/zohocorppace/index.do/cxapp/agent/zohocorp/zoho-workdrive-presales/requests/details/205219033279282810/conversation" TargetMode="External"/><Relationship Id="rId42" Type="http://schemas.openxmlformats.org/officeDocument/2006/relationships/hyperlink" Target="https://workdrive.zoho.in/file/hejlffaab81c9f7b84b36bbf75fa79013eff5" TargetMode="External"/><Relationship Id="rId43" Type="http://schemas.openxmlformats.org/officeDocument/2006/relationships/hyperlink" Target="mailto:slouis@ohs.uk" TargetMode="External"/><Relationship Id="rId44" Type="http://schemas.openxmlformats.org/officeDocument/2006/relationships/hyperlink" Target="https://help.zoho.eu/agent/zcorpeu/zoho-workdrive-presales/tickets/details/63904001539513488" TargetMode="External"/><Relationship Id="rId45" Type="http://schemas.openxmlformats.org/officeDocument/2006/relationships/hyperlink" Target="https://crm.zoho.eu/crm/org20073955584/tab/CustomModule1/312051004056598925" TargetMode="External"/><Relationship Id="rId46" Type="http://schemas.openxmlformats.org/officeDocument/2006/relationships/hyperlink" Target="mailto:neeraj.sharma@choicetechsystems.com" TargetMode="External"/><Relationship Id="rId47" Type="http://schemas.openxmlformats.org/officeDocument/2006/relationships/hyperlink" Target="https://crmplus.zoho.in/zohocorppace/index.do/cxapp/agent/zohocorp/zoho-workdrive-presales/requests/details/205219033349994673/conversation" TargetMode="External"/><Relationship Id="rId48" Type="http://schemas.openxmlformats.org/officeDocument/2006/relationships/hyperlink" Target="https://workdrive.zoho.in/file/rsmdyf415ec2ba2d84c7195f967a3b15bf481" TargetMode="External"/><Relationship Id="rId49" Type="http://schemas.openxmlformats.org/officeDocument/2006/relationships/hyperlink" Target="mailto:roselle@boomtown-productions.com" TargetMode="External"/><Relationship Id="rId50" Type="http://schemas.openxmlformats.org/officeDocument/2006/relationships/hyperlink" Target="https://crmplus.zoho.in/zohocorppace/index.do/cxapp/agent/zohocorp/zoho-workdrive-presales/requests/details/205219033331983144/conversation" TargetMode="External"/><Relationship Id="rId51" Type="http://schemas.openxmlformats.org/officeDocument/2006/relationships/hyperlink" Target="https://crmplus.zoho.in/crm/onezoho/tab/CustomModule3/1034361025675108336" TargetMode="External"/><Relationship Id="rId52" Type="http://schemas.openxmlformats.org/officeDocument/2006/relationships/hyperlink" Target="https://workdrive.zoho.in/file/rsmdyed236668365d45288d4011c862c7f7c7" TargetMode="External"/><Relationship Id="rId53" Type="http://schemas.openxmlformats.org/officeDocument/2006/relationships/hyperlink" Target="mailto:ajked@ajkcas.com" TargetMode="External"/><Relationship Id="rId54" Type="http://schemas.openxmlformats.org/officeDocument/2006/relationships/hyperlink" Target="https://crmplus.zoho.in/zohocorppace/index.do/cxapp/agent/zohocorp/zoho-workdrive-presales/requests/details/205219031231716972" TargetMode="External"/><Relationship Id="rId55" Type="http://schemas.openxmlformats.org/officeDocument/2006/relationships/hyperlink" Target="mailto:amarsampat@rediffmail.com" TargetMode="External"/><Relationship Id="rId56" Type="http://schemas.openxmlformats.org/officeDocument/2006/relationships/hyperlink" Target="https://crmplus.zoho.in/agent/zohocorp/zoho-workdrive-presales/requests/details/205219033349542503" TargetMode="External"/><Relationship Id="rId57" Type="http://schemas.openxmlformats.org/officeDocument/2006/relationships/hyperlink" Target="https://workdrive.zoho.in/file/8ydc6aab6f4bb15a84cb584b1d11aeb18be7e" TargetMode="External"/><Relationship Id="rId58" Type="http://schemas.openxmlformats.org/officeDocument/2006/relationships/hyperlink" Target="mailto:ajked@ajkcas.com" TargetMode="External"/><Relationship Id="rId59" Type="http://schemas.openxmlformats.org/officeDocument/2006/relationships/hyperlink" Target="https://crmplus.zoho.in/zohocorppace/index.do/cxapp/agent/zohocorp/zoho-workdrive-presales/requests/details/205219031231716972" TargetMode="External"/><Relationship Id="rId60" Type="http://schemas.openxmlformats.org/officeDocument/2006/relationships/hyperlink" Target="mailto:vijay.mhamunkar@insecticidesindia.com" TargetMode="External"/><Relationship Id="rId61" Type="http://schemas.openxmlformats.org/officeDocument/2006/relationships/hyperlink" Target="https://crmplus.zoho.in/zohocorppace/index.do/cxapp/agent/zohocorp/zoho-workdrive-presales/requests/details/205219033378635552" TargetMode="External"/><Relationship Id="rId62" Type="http://schemas.openxmlformats.org/officeDocument/2006/relationships/hyperlink" Target="https://workdrive.zoho.in/file/1j88o4b603b3d09f646b2be22d2944185f9ad" TargetMode="External"/><Relationship Id="rId63" Type="http://schemas.openxmlformats.org/officeDocument/2006/relationships/hyperlink" Target="https://crmplus.zoho.in/zohocorppace/index.do/cxapp/agent/zohocorp/zoho-workdrive-presales/requests/details/205219034123073574" TargetMode="External"/><Relationship Id="rId64" Type="http://schemas.openxmlformats.org/officeDocument/2006/relationships/hyperlink" Target="mailto:amasud@avanceon.ae" TargetMode="External"/><Relationship Id="rId65" Type="http://schemas.openxmlformats.org/officeDocument/2006/relationships/hyperlink" Target="https://crmplus.zoho.in/zohocorppace/index.do/cxapp/agent/zohocorp/zoho-workdrive-presales/requests/details/205219033360057717/conversation" TargetMode="External"/><Relationship Id="rId66" Type="http://schemas.openxmlformats.org/officeDocument/2006/relationships/hyperlink" Target="https://workdrive.zoho.in/file/wdkrcc20b8f45006641aa850c802eb11b20dc" TargetMode="External"/><Relationship Id="rId67" Type="http://schemas.openxmlformats.org/officeDocument/2006/relationships/hyperlink" Target="https://sprints.zoho.in/workspace/zdocs#P15/itemdetails/I8296" TargetMode="External"/><Relationship Id="rId68" Type="http://schemas.openxmlformats.org/officeDocument/2006/relationships/hyperlink" Target="mailto:shreyas@dpsca.in" TargetMode="External"/><Relationship Id="rId69" Type="http://schemas.openxmlformats.org/officeDocument/2006/relationships/hyperlink" Target="https://crmplus.zoho.in/zohocorppace/index.do/cxapp/agent/zohocorp/zoho-workdrive-presales/requests/details/205219033388488568" TargetMode="External"/><Relationship Id="rId70" Type="http://schemas.openxmlformats.org/officeDocument/2006/relationships/hyperlink" Target="mailto:kr@zigmaads.com" TargetMode="External"/><Relationship Id="rId71" Type="http://schemas.openxmlformats.org/officeDocument/2006/relationships/hyperlink" Target="https://crmplus.zoho.in/zohocorppace/index.do/cxapp/agent/zohocorp/zoho-workdrive-presales/requests/details/205219033378708255/conversation" TargetMode="External"/><Relationship Id="rId72" Type="http://schemas.openxmlformats.org/officeDocument/2006/relationships/hyperlink" Target="https://crmplus.zoho.in/crm/onezoho/tab/CustomModule3/1034361025785223767" TargetMode="External"/><Relationship Id="rId73" Type="http://schemas.openxmlformats.org/officeDocument/2006/relationships/hyperlink" Target="https://workdrive.zoho.in/file/wdkrc9473161ff36644c982fcebeb21e79bc6" TargetMode="External"/><Relationship Id="rId74" Type="http://schemas.openxmlformats.org/officeDocument/2006/relationships/hyperlink" Target="mailto:nithin.heeranandani@vihanthsolutions.com" TargetMode="External"/><Relationship Id="rId75" Type="http://schemas.openxmlformats.org/officeDocument/2006/relationships/hyperlink" Target="https://crmplus.zoho.in/agent/zohocorp/zoho-workdrive-presales/requests/details/205219033399530147" TargetMode="External"/><Relationship Id="rId76" Type="http://schemas.openxmlformats.org/officeDocument/2006/relationships/hyperlink" Target="mailto:ori@crowdmaster.co.uk" TargetMode="External"/><Relationship Id="rId77" Type="http://schemas.openxmlformats.org/officeDocument/2006/relationships/hyperlink" Target="https://crmplus.zoho.in/zohocorppace/index.do/cxapp/agent/zohocorp/zoho-workdrive-presales/requests/details/205219032623940448" TargetMode="External"/><Relationship Id="rId78" Type="http://schemas.openxmlformats.org/officeDocument/2006/relationships/hyperlink" Target="https://crmplus.zoho.in/zohocorppace/index.do/cxapp/agent/zohocorp/zoho-workdrive-presales/requests/details/205219033332756171" TargetMode="External"/><Relationship Id="rId79" Type="http://schemas.openxmlformats.org/officeDocument/2006/relationships/hyperlink" Target="mailto:anoop.kg@muthootcap.com" TargetMode="External"/><Relationship Id="rId80" Type="http://schemas.openxmlformats.org/officeDocument/2006/relationships/hyperlink" Target="https://crmplus.zoho.in/zohocorppace/index.do/cxapp/agent/zohocorp/zoho-workdrive-presales/requests/details/205219031781573320" TargetMode="External"/><Relationship Id="rId81" Type="http://schemas.openxmlformats.org/officeDocument/2006/relationships/hyperlink" Target="https://workdrive.zoho.in/file/n7cyy8f4e06799ad9439b89012f11121c2864" TargetMode="External"/><Relationship Id="rId82" Type="http://schemas.openxmlformats.org/officeDocument/2006/relationships/hyperlink" Target="mailto:siddharth.purandare@lendthrivefinance.com" TargetMode="External"/><Relationship Id="rId83" Type="http://schemas.openxmlformats.org/officeDocument/2006/relationships/hyperlink" Target="https://crmplus.zoho.in/zohocorppace/index.do/cxapp/agent/zohocorp/zoho-workdrive-presales/requests/details/205219033426782789" TargetMode="External"/><Relationship Id="rId84" Type="http://schemas.openxmlformats.org/officeDocument/2006/relationships/hyperlink" Target="https://crmplus.zoho.in/crm/onezoho/tab/CustomModule3/1034361025815765457" TargetMode="External"/><Relationship Id="rId85" Type="http://schemas.openxmlformats.org/officeDocument/2006/relationships/hyperlink" Target="https://workdrive.zoho.in/file/0zfnhf2d86d6a97ed48f5b22795e7d5a43280" TargetMode="External"/><Relationship Id="rId86" Type="http://schemas.openxmlformats.org/officeDocument/2006/relationships/hyperlink" Target="mailto:hegde@ahna.in" TargetMode="External"/><Relationship Id="rId87" Type="http://schemas.openxmlformats.org/officeDocument/2006/relationships/hyperlink" Target="https://crmplus.zoho.in/agent/zohocorp/zoho-workdrive-presales/requests/details/205219033452748076" TargetMode="External"/><Relationship Id="rId88" Type="http://schemas.openxmlformats.org/officeDocument/2006/relationships/hyperlink" Target="https://workdrive.zoho.in/file/n7cyyacf91869d2a14e298911a4430765405a" TargetMode="External"/><Relationship Id="rId89" Type="http://schemas.openxmlformats.org/officeDocument/2006/relationships/hyperlink" Target="mailto:keyur_g@zohomail.in" TargetMode="External"/><Relationship Id="rId90" Type="http://schemas.openxmlformats.org/officeDocument/2006/relationships/hyperlink" Target="https://crmplus.zoho.in/zohocorppace/index.do/cxapp/agent/zohocorp/zoho-workdrive-presales/requests/details/205219033464449869" TargetMode="External"/><Relationship Id="rId91" Type="http://schemas.openxmlformats.org/officeDocument/2006/relationships/hyperlink" Target="https://crmplus.zoho.in/crm/onezoho/tab/CustomModule3/1034361025807475941" TargetMode="External"/><Relationship Id="rId92" Type="http://schemas.openxmlformats.org/officeDocument/2006/relationships/hyperlink" Target="https://workdrive.zoho.in/file/n7cyyfa689cf8665e41df9f7142258945bd18" TargetMode="External"/><Relationship Id="rId93" Type="http://schemas.openxmlformats.org/officeDocument/2006/relationships/hyperlink" Target="mailto:head.it@sithltd.com" TargetMode="External"/><Relationship Id="rId94" Type="http://schemas.openxmlformats.org/officeDocument/2006/relationships/hyperlink" Target="https://crmplus.zoho.in/zohocorppace/index.do/cxapp/agent/zohocorp/zoho-workdrive-presales/requests/details/205219032763672882" TargetMode="External"/><Relationship Id="rId95" Type="http://schemas.openxmlformats.org/officeDocument/2006/relationships/hyperlink" Target="mailto:swapnil.sonawane@sodelsolutions.com" TargetMode="External"/><Relationship Id="rId96" Type="http://schemas.openxmlformats.org/officeDocument/2006/relationships/hyperlink" Target="https://crmplus.zoho.in/zohocorppace/index.do/cxapp/agent/zohocorp/zoho-workdrive-presales/requests/details/205219033459533212/conversation" TargetMode="External"/><Relationship Id="rId97" Type="http://schemas.openxmlformats.org/officeDocument/2006/relationships/hyperlink" Target="mailto:davestonepa@proton.me" TargetMode="External"/><Relationship Id="rId98" Type="http://schemas.openxmlformats.org/officeDocument/2006/relationships/hyperlink" Target="https://crmplus.zoho.in/zohocorppace/index.do/cxapp/agent/zohocorp/zoho-workdrive-presales/requests/details/205219033478776228" TargetMode="External"/><Relationship Id="rId99" Type="http://schemas.openxmlformats.org/officeDocument/2006/relationships/hyperlink" Target="mailto:dwilson@blossommedca.com" TargetMode="External"/><Relationship Id="rId100" Type="http://schemas.openxmlformats.org/officeDocument/2006/relationships/hyperlink" Target="https://crmplus.zoho.in/agent/zohocorp/zoho-workdrive-presales/requests/details/205219033422145284" TargetMode="External"/><Relationship Id="rId101" Type="http://schemas.openxmlformats.org/officeDocument/2006/relationships/hyperlink" Target="mailto:rajbeloved@hotmail.com" TargetMode="External"/><Relationship Id="rId102" Type="http://schemas.openxmlformats.org/officeDocument/2006/relationships/hyperlink" Target="https://crmplus.zoho.in/agent/zohocorp/zoho-workdrive-presales/requests/details/205219033479770658" TargetMode="External"/><Relationship Id="rId103" Type="http://schemas.openxmlformats.org/officeDocument/2006/relationships/hyperlink" Target="mailto:pd@radiantelectric.in" TargetMode="External"/><Relationship Id="rId104" Type="http://schemas.openxmlformats.org/officeDocument/2006/relationships/hyperlink" Target="https://crmplus.zoho.in/zohocorppace/index.do/cxapp/agent/zohocorp/zoho-workdrive-presales/requests/details/205219033491483345" TargetMode="External"/><Relationship Id="rId105" Type="http://schemas.openxmlformats.org/officeDocument/2006/relationships/hyperlink" Target="https://crmplus.zoho.in/crm/onezoho/tab/CustomModule3/1034361025855840524" TargetMode="External"/><Relationship Id="rId106" Type="http://schemas.openxmlformats.org/officeDocument/2006/relationships/hyperlink" Target="https://workdrive.zoho.in/file/rznjh75fa2d711aac4dfc8eaedb0c9dbddbbe" TargetMode="External"/><Relationship Id="rId107" Type="http://schemas.openxmlformats.org/officeDocument/2006/relationships/hyperlink" Target="mailto:fishermanshub.com@gmail.com" TargetMode="External"/><Relationship Id="rId108" Type="http://schemas.openxmlformats.org/officeDocument/2006/relationships/hyperlink" Target="https://crmplus.zoho.in/zohocorppace/index.do/cxapp/agent/zohocorp/zoho-workdrive-presales/requests/details/205219033460595200" TargetMode="External"/><Relationship Id="rId109" Type="http://schemas.openxmlformats.org/officeDocument/2006/relationships/hyperlink" Target="https://crmplus.zoho.in/crm/onezoho/tab/CustomModule3/1034361025855840552" TargetMode="External"/><Relationship Id="rId110" Type="http://schemas.openxmlformats.org/officeDocument/2006/relationships/hyperlink" Target="https://workdrive.zoho.in/file/1etqy9e0d84f5b71f48e49016fb18e990cdd6" TargetMode="External"/><Relationship Id="rId111" Type="http://schemas.openxmlformats.org/officeDocument/2006/relationships/hyperlink" Target="mailto:anushka.pradhan@charismight.com" TargetMode="External"/><Relationship Id="rId112" Type="http://schemas.openxmlformats.org/officeDocument/2006/relationships/hyperlink" Target="https://crmplus.zoho.in/zohocorppace/index.do/cxapp/agent/zohocorp/zoho-workdrive-presales/requests/details/205219032303167970?peekId=205219032303167970&amp;module=tickets" TargetMode="External"/><Relationship Id="rId113" Type="http://schemas.openxmlformats.org/officeDocument/2006/relationships/hyperlink" Target="mailto:wiam.alsharif@growbiom.com" TargetMode="External"/><Relationship Id="rId114" Type="http://schemas.openxmlformats.org/officeDocument/2006/relationships/hyperlink" Target="https://crmplus.zoho.in/zohocorppace/index.do/cxapp/agent/zohocorp/zoho-workdrive-presales/requests/details/205219032657824202/conversation" TargetMode="External"/><Relationship Id="rId115" Type="http://schemas.openxmlformats.org/officeDocument/2006/relationships/hyperlink" Target="https://crmplus.zoho.in/crm/onezoho/tab/CustomModule3/1034361025869397182" TargetMode="External"/><Relationship Id="rId116" Type="http://schemas.openxmlformats.org/officeDocument/2006/relationships/hyperlink" Target="https://workdrive.zoho.in/file/bwuch59428171dd5c4cbeaa4da01d91e36b54" TargetMode="External"/><Relationship Id="rId117" Type="http://schemas.openxmlformats.org/officeDocument/2006/relationships/hyperlink" Target="mailto:amanpreet.singh@rdkaushambi.com" TargetMode="External"/><Relationship Id="rId118" Type="http://schemas.openxmlformats.org/officeDocument/2006/relationships/hyperlink" Target="https://crmplus.zoho.in/zohocorppace/index.do/cxapp/agent/zohocorp/zoho-workdrive-presales/requests/details/205219033483509320/conversation" TargetMode="External"/><Relationship Id="rId119" Type="http://schemas.openxmlformats.org/officeDocument/2006/relationships/hyperlink" Target="https://workdrive.zoho.in/file/bwuch2a04c766652244dc80c483e18a46da3b" TargetMode="External"/><Relationship Id="rId120" Type="http://schemas.openxmlformats.org/officeDocument/2006/relationships/hyperlink" Target="mailto:zafar@chemorascientific.com" TargetMode="External"/><Relationship Id="rId121" Type="http://schemas.openxmlformats.org/officeDocument/2006/relationships/hyperlink" Target="https://crmplus.zoho.in/zohocorppace/index.do/cxapp/agent/zohocorp/zoho-workdrive-presales/requests/details/205219033514017057/conversation" TargetMode="External"/><Relationship Id="rId122" Type="http://schemas.openxmlformats.org/officeDocument/2006/relationships/hyperlink" Target="https://workdrive.zoho.in/file/bwuch8d9640657ddd4cedbe0573d6b218a615" TargetMode="External"/><Relationship Id="rId123" Type="http://schemas.openxmlformats.org/officeDocument/2006/relationships/hyperlink" Target="mailto:sales@piinacle.com.sg" TargetMode="External"/><Relationship Id="rId124" Type="http://schemas.openxmlformats.org/officeDocument/2006/relationships/hyperlink" Target="https://crmplus.zoho.in/zohocorppace/index.do/cxapp/agent/zohocorp/zoho-workdrive-presales/requests/details/205219033514857998" TargetMode="External"/><Relationship Id="rId125" Type="http://schemas.openxmlformats.org/officeDocument/2006/relationships/hyperlink" Target="https://workdrive.zoho.in/file/wue3rc44eb427d6ff4546bf34ac1bc6576090" TargetMode="External"/><Relationship Id="rId126" Type="http://schemas.openxmlformats.org/officeDocument/2006/relationships/hyperlink" Target="mailto:vignesh@elsciondx.com" TargetMode="External"/><Relationship Id="rId127" Type="http://schemas.openxmlformats.org/officeDocument/2006/relationships/hyperlink" Target="https://crmplus.zoho.in/zohocorppace/index.do/cxapp/agent/zohocorp/zoho-workdrive-presales/requests/details/205219033453188349" TargetMode="External"/><Relationship Id="rId128" Type="http://schemas.openxmlformats.org/officeDocument/2006/relationships/hyperlink" Target="mailto:info@elsciondx.com" TargetMode="External"/><Relationship Id="rId129" Type="http://schemas.openxmlformats.org/officeDocument/2006/relationships/hyperlink" Target="mailto:jesse.land@espire.com" TargetMode="External"/><Relationship Id="rId130" Type="http://schemas.openxmlformats.org/officeDocument/2006/relationships/hyperlink" Target="https://crmplus.zoho.in/zohocorppace/index.do/cxapp/agent/zohocorp/zoho-workdrive-presales/requests/details/205219033489963174/conversation" TargetMode="External"/><Relationship Id="rId131" Type="http://schemas.openxmlformats.org/officeDocument/2006/relationships/hyperlink" Target="https://workdrive.zoho.in/file/hzqan0cc96c9bc33b4ef8961a6cf7e2085679" TargetMode="External"/><Relationship Id="rId132" Type="http://schemas.openxmlformats.org/officeDocument/2006/relationships/hyperlink" Target="mailto:srobel@gmail.com" TargetMode="External"/><Relationship Id="rId133" Type="http://schemas.openxmlformats.org/officeDocument/2006/relationships/hyperlink" Target="https://crmplus.zoho.in/zohocorppace/index.do/cxapp/agent/zohocorp/zoho-workdrive-presales/requests/details/205219033492901084/conversation" TargetMode="External"/><Relationship Id="rId134" Type="http://schemas.openxmlformats.org/officeDocument/2006/relationships/hyperlink" Target="https://workdrive.zoho.in/file/at1bvf2b2df7b048344c3b678b722d113a193" TargetMode="External"/><Relationship Id="rId135" Type="http://schemas.openxmlformats.org/officeDocument/2006/relationships/hyperlink" Target="mailto:grayson.waldie@potato.idaho.gov" TargetMode="External"/><Relationship Id="rId136" Type="http://schemas.openxmlformats.org/officeDocument/2006/relationships/hyperlink" Target="https://crmplus.zoho.in/agent/zohocorp/zoho-workdrive-presales/requests/details/205219033506238944" TargetMode="External"/><Relationship Id="rId137" Type="http://schemas.openxmlformats.org/officeDocument/2006/relationships/hyperlink" Target="https://workdrive.zoho.in/file/xyy4k289e3a8244464660acf0585760f014b5" TargetMode="External"/><Relationship Id="rId138" Type="http://schemas.openxmlformats.org/officeDocument/2006/relationships/hyperlink" Target="mailto:info@summit-wms.com" TargetMode="External"/><Relationship Id="rId139" Type="http://schemas.openxmlformats.org/officeDocument/2006/relationships/hyperlink" Target="https://crmplus.zoho.in/agent/zohocorp/zoho-workdrive-presales/requests/details/205219033508253662" TargetMode="External"/><Relationship Id="rId140" Type="http://schemas.openxmlformats.org/officeDocument/2006/relationships/hyperlink" Target="https://workdrive.zoho.in/file/xyy4kb7257bca48f74da08779990cdb8ec77c" TargetMode="External"/><Relationship Id="rId141" Type="http://schemas.openxmlformats.org/officeDocument/2006/relationships/hyperlink" Target="mailto:cadevintaunk@zohomail.in" TargetMode="External"/><Relationship Id="rId142" Type="http://schemas.openxmlformats.org/officeDocument/2006/relationships/hyperlink" Target="https://crmplus.zoho.in/agent/zohocorp/zoho-workdrive-presales/requests/details/205219033514655922" TargetMode="External"/><Relationship Id="rId143" Type="http://schemas.openxmlformats.org/officeDocument/2006/relationships/hyperlink" Target="https://workdrive.zoho.in/file/xyy4k59eccf94891d4c209555355dd5aa6c18" TargetMode="External"/><Relationship Id="rId144" Type="http://schemas.openxmlformats.org/officeDocument/2006/relationships/hyperlink" Target="mailto:info@indiantaxshield.com" TargetMode="External"/><Relationship Id="rId145" Type="http://schemas.openxmlformats.org/officeDocument/2006/relationships/hyperlink" Target="https://crmplus.zoho.in/zohocorppace/index.do/cxapp/agent/zohocorp/zoho-workdrive-presales/requests/details/205219033588728371" TargetMode="External"/><Relationship Id="rId146" Type="http://schemas.openxmlformats.org/officeDocument/2006/relationships/hyperlink" Target="https://crmplus.zoho.in/crm/onezoho/tab/CustomModule3/1034361025996737502" TargetMode="External"/><Relationship Id="rId147" Type="http://schemas.openxmlformats.org/officeDocument/2006/relationships/hyperlink" Target="https://workdrive.zoho.in/file/lyhjv7314d904d0d542d8adc80f2c2bfb4ccb" TargetMode="External"/><Relationship Id="rId148" Type="http://schemas.openxmlformats.org/officeDocument/2006/relationships/hyperlink" Target="mailto:a.mehio@ame-consultants.com" TargetMode="External"/><Relationship Id="rId149" Type="http://schemas.openxmlformats.org/officeDocument/2006/relationships/hyperlink" Target="https://crmplus.zoho.in/zohocorppace/index.do/cxapp/agent/zohocorp/zoho-workdrive-presales/requests/details/205219033543961965" TargetMode="External"/><Relationship Id="rId150" Type="http://schemas.openxmlformats.org/officeDocument/2006/relationships/hyperlink" Target="https://workdrive.zoho.in/file/3057v06e65d5fd65f4604ba5a990644c6bbe9" TargetMode="External"/><Relationship Id="rId151" Type="http://schemas.openxmlformats.org/officeDocument/2006/relationships/hyperlink" Target="mailto:service.flo@casflosian.com" TargetMode="External"/><Relationship Id="rId152" Type="http://schemas.openxmlformats.org/officeDocument/2006/relationships/hyperlink" Target="https://crmplus.zoho.in/zohocorppace/index.do/cxapp/agent/zohocorp/zoho-workdrive-presales/requests/details/205219033545960952" TargetMode="External"/><Relationship Id="rId153" Type="http://schemas.openxmlformats.org/officeDocument/2006/relationships/hyperlink" Target="https://workdrive.zoho.in/file/3057v99a0b328a0c14efdb8b76151188f8486" TargetMode="External"/><Relationship Id="rId154" Type="http://schemas.openxmlformats.org/officeDocument/2006/relationships/hyperlink" Target="mailto:saikumar.anagam1@gmail.com" TargetMode="External"/><Relationship Id="rId155" Type="http://schemas.openxmlformats.org/officeDocument/2006/relationships/hyperlink" Target="https://crmplus.zoho.in/zohocorppace/index.do/cxapp/agent/zohocorp/zoho-workdrive-presales/requests/details/205219033599169482" TargetMode="External"/><Relationship Id="rId156" Type="http://schemas.openxmlformats.org/officeDocument/2006/relationships/hyperlink" Target="https://crmplus.zoho.in/crm/onezoho/tab/CustomModule3/1034361026005818959" TargetMode="External"/><Relationship Id="rId157" Type="http://schemas.openxmlformats.org/officeDocument/2006/relationships/hyperlink" Target="https://workdrive.zoho.in/file/3057v5c79bd5323324f38bb3e6c0d9bec0f4d" TargetMode="External"/><Relationship Id="rId158" Type="http://schemas.openxmlformats.org/officeDocument/2006/relationships/hyperlink" Target="mailto:opex@pib.ae" TargetMode="External"/><Relationship Id="rId159" Type="http://schemas.openxmlformats.org/officeDocument/2006/relationships/hyperlink" Target="https://crmplus.zoho.in/zohocorppace/index.do/cxapp/agent/zohocorp/zoho-workdrive-presales/requests/details/205219032687344342" TargetMode="External"/><Relationship Id="rId160" Type="http://schemas.openxmlformats.org/officeDocument/2006/relationships/hyperlink" Target="https://crmplus.zoho.in/crm/onezoho/tab/CustomModule3/1034361026043609259" TargetMode="External"/><Relationship Id="rId161" Type="http://schemas.openxmlformats.org/officeDocument/2006/relationships/hyperlink" Target="https://workdrive.zoho.in/file/p2y3je2166383abac41c7a9ded2b5add65044" TargetMode="External"/><Relationship Id="rId162" Type="http://schemas.openxmlformats.org/officeDocument/2006/relationships/hyperlink" Target="mailto:rsvenkat2023@gmail.com" TargetMode="External"/><Relationship Id="rId163" Type="http://schemas.openxmlformats.org/officeDocument/2006/relationships/hyperlink" Target="https://crmplus.zoho.in/agent/zohocorp/zoho-workdrive-presales/requests/details/205219033619075864" TargetMode="External"/><Relationship Id="rId164" Type="http://schemas.openxmlformats.org/officeDocument/2006/relationships/hyperlink" Target="https://workdrive.zoho.in/file/2lzjf0310970280294c3689fbb64004c79923" TargetMode="External"/><Relationship Id="rId165" Type="http://schemas.openxmlformats.org/officeDocument/2006/relationships/hyperlink" Target="mailto:hr@calisofttech.com" TargetMode="External"/><Relationship Id="rId166" Type="http://schemas.openxmlformats.org/officeDocument/2006/relationships/hyperlink" Target="https://crmplus.zoho.in/agent/zohocorp/zoho-workdrive-presales/requests/details/205219033601832454" TargetMode="External"/><Relationship Id="rId167" Type="http://schemas.openxmlformats.org/officeDocument/2006/relationships/hyperlink" Target="https://workdrive.zoho.in/file/2lzjf8126de13f08441a3a197c1ca365c9733" TargetMode="External"/><Relationship Id="rId168" Type="http://schemas.openxmlformats.org/officeDocument/2006/relationships/hyperlink" Target="mailto:jayaprakash.h@spagofoods.com" TargetMode="External"/><Relationship Id="rId169" Type="http://schemas.openxmlformats.org/officeDocument/2006/relationships/hyperlink" Target="https://crmplus.zoho.in/agent/zohocorp/zoho-workdrive-presales/requests/details/205219032713825322" TargetMode="External"/><Relationship Id="rId170" Type="http://schemas.openxmlformats.org/officeDocument/2006/relationships/hyperlink" Target="mailto:fozley.rabbi@musemind.agency" TargetMode="External"/><Relationship Id="rId171" Type="http://schemas.openxmlformats.org/officeDocument/2006/relationships/hyperlink" Target="https://crmplus.zoho.in/zohocorppace/index.do/cxapp/agent/zohocorp/zoho-workdrive-presales/requests/details/205219033652817831" TargetMode="External"/><Relationship Id="rId172" Type="http://schemas.openxmlformats.org/officeDocument/2006/relationships/hyperlink" Target="https://crmplus.zoho.in/zohocorppace/index.do/cxapp/crm/onezoho/tab/CustomModule3/1034361026054339952" TargetMode="External"/><Relationship Id="rId173" Type="http://schemas.openxmlformats.org/officeDocument/2006/relationships/hyperlink" Target="https://workdrive.zoho.in/file/u9kbrd1ca75c09d9840f18fe8ccac5e70ae08" TargetMode="External"/><Relationship Id="rId174" Type="http://schemas.openxmlformats.org/officeDocument/2006/relationships/hyperlink" Target="https://sprints.zoho.in/workspace/zdocs#P15/itemdetails/I8083" TargetMode="External"/><Relationship Id="rId175" Type="http://schemas.openxmlformats.org/officeDocument/2006/relationships/hyperlink" Target="mailto:info@kelplanet.com" TargetMode="External"/><Relationship Id="rId176" Type="http://schemas.openxmlformats.org/officeDocument/2006/relationships/hyperlink" Target="https://crmplus.zoho.in/zohocorppace/index.do/cxapp/agent/zohocorp/zoho-workdrive-presales/requests/details/205219033619941320/conversation" TargetMode="External"/><Relationship Id="rId177" Type="http://schemas.openxmlformats.org/officeDocument/2006/relationships/hyperlink" Target="mailto:saeed.dawood@sab-express.com" TargetMode="External"/><Relationship Id="rId178" Type="http://schemas.openxmlformats.org/officeDocument/2006/relationships/hyperlink" Target="https://crmplus.zoho.in/zohocorppace/index.do/cxapp/agent/zohocorp/zoho-workdrive-presales/requests/details/205219033655296368" TargetMode="External"/><Relationship Id="rId179" Type="http://schemas.openxmlformats.org/officeDocument/2006/relationships/hyperlink" Target="https://crmplus.zoho.in/crm/onezoho/tab/CustomModule3/1034361026106514618" TargetMode="External"/><Relationship Id="rId180" Type="http://schemas.openxmlformats.org/officeDocument/2006/relationships/hyperlink" Target="https://sprints.zoho.in/workspace/zdocs#P15/itemdetails/I7765" TargetMode="External"/><Relationship Id="rId181" Type="http://schemas.openxmlformats.org/officeDocument/2006/relationships/hyperlink" Target="mailto:finn.mcguirk@crosscontrol.com" TargetMode="External"/><Relationship Id="rId182" Type="http://schemas.openxmlformats.org/officeDocument/2006/relationships/hyperlink" Target="https://crmplus.zoho.in/zohocorppace/index.do/cxapp/agent/zohocorp/zoho-workdrive-presales/requests/details/205219033642342777/conversation" TargetMode="External"/><Relationship Id="rId183" Type="http://schemas.openxmlformats.org/officeDocument/2006/relationships/hyperlink" Target="mailto:meetrps@gmail.com" TargetMode="External"/><Relationship Id="rId184" Type="http://schemas.openxmlformats.org/officeDocument/2006/relationships/hyperlink" Target="https://crmplus.zoho.in/zohocorppace/index.do/cxapp/agent/zohocorp/zoho-workdrive-presales/requests/details/205219033602508012/conversation" TargetMode="External"/><Relationship Id="rId185" Type="http://schemas.openxmlformats.org/officeDocument/2006/relationships/hyperlink" Target="mailto:nagaharikrishna@railtelindia.com" TargetMode="External"/><Relationship Id="rId186" Type="http://schemas.openxmlformats.org/officeDocument/2006/relationships/hyperlink" Target="https://crmplus.zoho.in/zohocorppace/index.do/cxapp/agent/zohocorp/zoho-workdrive-presales/requests/details/205219029870636225" TargetMode="External"/><Relationship Id="rId187" Type="http://schemas.openxmlformats.org/officeDocument/2006/relationships/hyperlink" Target="https://sprints.zoho.in/workspace/zdocs#P15/itemdetails/I8297" TargetMode="External"/><Relationship Id="rId188" Type="http://schemas.openxmlformats.org/officeDocument/2006/relationships/hyperlink" Target="mailto:b0208936@airtelpayments.bank.in" TargetMode="External"/><Relationship Id="rId189" Type="http://schemas.openxmlformats.org/officeDocument/2006/relationships/hyperlink" Target="mailto:atul@truthread.com" TargetMode="External"/><Relationship Id="rId190" Type="http://schemas.openxmlformats.org/officeDocument/2006/relationships/hyperlink" Target="https://crmplus.zoho.in/zohocorppace/index.do/cxapp/agent/zohocorp/zoho-workdrive-presales/requests/details/205219033673805821/conversation" TargetMode="External"/><Relationship Id="rId191" Type="http://schemas.openxmlformats.org/officeDocument/2006/relationships/hyperlink" Target="https://crmplus.zoho.in/crm/onezoho/tab/CustomModule3/1034361026125940935" TargetMode="External"/><Relationship Id="rId192" Type="http://schemas.openxmlformats.org/officeDocument/2006/relationships/hyperlink" Target="https://workdrive.zoho.in/file/bvye66f273bbc0a8644f2b09e15ead9658990" TargetMode="External"/><Relationship Id="rId193" Type="http://schemas.openxmlformats.org/officeDocument/2006/relationships/hyperlink" Target="mailto:srikanth@samgmt.co.in" TargetMode="External"/><Relationship Id="rId194" Type="http://schemas.openxmlformats.org/officeDocument/2006/relationships/hyperlink" Target="https://crmplus.zoho.in/zohocorppace/index.do/cxapp/agent/zohocorp/zoho-workdrive-presales/requests/details/205219033387034113/conversation" TargetMode="External"/><Relationship Id="rId195" Type="http://schemas.openxmlformats.org/officeDocument/2006/relationships/hyperlink" Target="https://workdrive.zoho.in/file/ydzjae4362b07d24d40cf9423f0f4bc66f0df" TargetMode="External"/><Relationship Id="rId196" Type="http://schemas.openxmlformats.org/officeDocument/2006/relationships/hyperlink" Target="mailto:rushabh@rmra.co.in" TargetMode="External"/><Relationship Id="rId197" Type="http://schemas.openxmlformats.org/officeDocument/2006/relationships/hyperlink" Target="https://crmplus.zoho.in/zohocorppace/index.do/cxapp/agent/zohocorp/zoho-workdrive-presales/requests/details/205219033703980563" TargetMode="External"/><Relationship Id="rId198" Type="http://schemas.openxmlformats.org/officeDocument/2006/relationships/hyperlink" Target="https://crmplus.zoho.in/crm/onezoho/tab/CustomModule3/1034361026189563165" TargetMode="External"/><Relationship Id="rId199" Type="http://schemas.openxmlformats.org/officeDocument/2006/relationships/hyperlink" Target="https://workdrive.zoho.in/file/i9w2z4ea54dcfd2ab41cf9b00b9a2f96acff2" TargetMode="External"/><Relationship Id="rId200" Type="http://schemas.openxmlformats.org/officeDocument/2006/relationships/hyperlink" Target="mailto:phil@thepotionscauldron.com" TargetMode="External"/><Relationship Id="rId201" Type="http://schemas.openxmlformats.org/officeDocument/2006/relationships/hyperlink" Target="https://help.zoho.eu/agent/zcorpeu/zoho-workdrive-presales/tickets/details/63904001586553207" TargetMode="External"/><Relationship Id="rId202" Type="http://schemas.openxmlformats.org/officeDocument/2006/relationships/hyperlink" Target="mailto:shivaraj@yantralive.com" TargetMode="External"/><Relationship Id="rId203" Type="http://schemas.openxmlformats.org/officeDocument/2006/relationships/hyperlink" Target="https://crmplus.zoho.in/zohocorppace/index.do/cxapp/agent/zohocorp/zoho-workdrive-presales/requests/details/205219032994798368" TargetMode="External"/><Relationship Id="rId204" Type="http://schemas.openxmlformats.org/officeDocument/2006/relationships/hyperlink" Target="https://crmplus.zoho.in/crm/onezoho/tab/CustomModule3/1034361025235837731" TargetMode="External"/><Relationship Id="rId205" Type="http://schemas.openxmlformats.org/officeDocument/2006/relationships/hyperlink" Target="mailto:mohammad@radix.email" TargetMode="External"/><Relationship Id="rId206" Type="http://schemas.openxmlformats.org/officeDocument/2006/relationships/hyperlink" Target="https://crmplus.zoho.in/zohocorppace/index.do/cxapp/agent/zohocorp/zoho-workdrive-presales/requests/details/205219032391498507" TargetMode="External"/><Relationship Id="rId207" Type="http://schemas.openxmlformats.org/officeDocument/2006/relationships/hyperlink" Target="https://crmplus.zoho.in/crm/onezoho/tab/CustomModule3/1034361026195907990" TargetMode="External"/><Relationship Id="rId208" Type="http://schemas.openxmlformats.org/officeDocument/2006/relationships/hyperlink" Target="https://workdrive.zoho.in/file/2ta2q85df5889997c432891274b010e6c4ff8" TargetMode="External"/><Relationship Id="rId209" Type="http://schemas.openxmlformats.org/officeDocument/2006/relationships/hyperlink" Target="mailto:saikumar.anagam1@gmail.com" TargetMode="External"/><Relationship Id="rId210" Type="http://schemas.openxmlformats.org/officeDocument/2006/relationships/hyperlink" Target="https://crmplus.zoho.in/zohocorppace/index.do/cxapp/agent/zohocorp/zoho-workdrive-presales/requests/details/205219033599169482/conversation" TargetMode="External"/><Relationship Id="rId211" Type="http://schemas.openxmlformats.org/officeDocument/2006/relationships/hyperlink" Target="https://crmplus.zoho.in/crm/onezoho/tab/CustomModule3/1034361026197546156" TargetMode="External"/><Relationship Id="rId212" Type="http://schemas.openxmlformats.org/officeDocument/2006/relationships/hyperlink" Target="mailto:siva14509255@gmail.com" TargetMode="External"/><Relationship Id="rId213" Type="http://schemas.openxmlformats.org/officeDocument/2006/relationships/hyperlink" Target="https://crmplus.zoho.in/zohocorppace/index.do/cxapp/agent/zohocorp/zoho-workdrive-presales/requests/details/205219033702632366/conversation" TargetMode="External"/><Relationship Id="rId214" Type="http://schemas.openxmlformats.org/officeDocument/2006/relationships/hyperlink" Target="https://crmplus.zoho.in/crm/onezoho/tab/CustomModule3/1034361026223172734" TargetMode="External"/><Relationship Id="rId215" Type="http://schemas.openxmlformats.org/officeDocument/2006/relationships/hyperlink" Target="https://workdrive.zoho.in/file/k3ygk4617205496bc43428cc79a3617970f0d" TargetMode="External"/><Relationship Id="rId216" Type="http://schemas.openxmlformats.org/officeDocument/2006/relationships/hyperlink" Target="mailto:it.admin@petiolehub.com" TargetMode="External"/><Relationship Id="rId217" Type="http://schemas.openxmlformats.org/officeDocument/2006/relationships/hyperlink" Target="https://crmplus.zoho.in/zohocorppace/index.do/cxapp/agent/zohocorp/zoho-workdrive-presales/requests/details/205219032269780038/conversation" TargetMode="External"/><Relationship Id="rId218" Type="http://schemas.openxmlformats.org/officeDocument/2006/relationships/hyperlink" Target="mailto:helpdesk@areca.in" TargetMode="External"/><Relationship Id="rId219" Type="http://schemas.openxmlformats.org/officeDocument/2006/relationships/hyperlink" Target="https://crmplus.zoho.in/zohocorppace/index.do/cxapp/agent/zohocorp/zoho-workdrive-presales/requests/details/205219033771599974" TargetMode="External"/><Relationship Id="rId220" Type="http://schemas.openxmlformats.org/officeDocument/2006/relationships/hyperlink" Target="https://workdrive.zoho.in/file/egcqkd693ce69276b4b38ab73e9613c542391" TargetMode="External"/><Relationship Id="rId221" Type="http://schemas.openxmlformats.org/officeDocument/2006/relationships/hyperlink" Target="https://crmplus.zoho.in/zohocorppace/index.do/cxapp/agent/zohocorp/zoho-workdrive-presales/requests/details/205219034359779306" TargetMode="External"/><Relationship Id="rId222" Type="http://schemas.openxmlformats.org/officeDocument/2006/relationships/hyperlink" Target="mailto:suneelk@scaleupcentre.com" TargetMode="External"/><Relationship Id="rId223" Type="http://schemas.openxmlformats.org/officeDocument/2006/relationships/hyperlink" Target="https://crmplus.zoho.in/zohocorppace/index.do/cxapp/agent/zohocorp/zoho-workdrive-presales/requests/details/205219033746683658" TargetMode="External"/><Relationship Id="rId224" Type="http://schemas.openxmlformats.org/officeDocument/2006/relationships/hyperlink" Target="https://crmplus.zoho.in/crm/onezoho/tab/CustomModule3/1034361026292794387" TargetMode="External"/><Relationship Id="rId225" Type="http://schemas.openxmlformats.org/officeDocument/2006/relationships/hyperlink" Target="https://workdrive.zoho.in/file/b5ezscdee3d48446847a6990fd2334a585314" TargetMode="External"/><Relationship Id="rId226" Type="http://schemas.openxmlformats.org/officeDocument/2006/relationships/hyperlink" Target="mailto:didrik.etholm@gmail.com" TargetMode="External"/><Relationship Id="rId227" Type="http://schemas.openxmlformats.org/officeDocument/2006/relationships/hyperlink" Target="https://crmplus.zoho.in/zohocorppace/index.do/cxapp/agent/zohocorp/zoho-workdrive-presales/requests/details/205219033762002721" TargetMode="External"/><Relationship Id="rId228" Type="http://schemas.openxmlformats.org/officeDocument/2006/relationships/hyperlink" Target="https://sprints.zoho.in/workspace/zdocs#P15/itemdetails/I7850" TargetMode="External"/><Relationship Id="rId229" Type="http://schemas.openxmlformats.org/officeDocument/2006/relationships/hyperlink" Target="mailto:murali.chappidi@gspann.com" TargetMode="External"/><Relationship Id="rId230" Type="http://schemas.openxmlformats.org/officeDocument/2006/relationships/hyperlink" Target="https://crmplus.zoho.in/zohocorppace/index.do/cxapp/agent/zohocorp/zoho-workdrive-presales/requests/details/205219033800465232" TargetMode="External"/><Relationship Id="rId231" Type="http://schemas.openxmlformats.org/officeDocument/2006/relationships/hyperlink" Target="https://workdrive.zoho.in/file/flcw2073c5284f6d246f19517f761e1125236" TargetMode="External"/><Relationship Id="rId232" Type="http://schemas.openxmlformats.org/officeDocument/2006/relationships/hyperlink" Target="mailto:pbevilacqua@crohnsandcolitis.ca" TargetMode="External"/><Relationship Id="rId233" Type="http://schemas.openxmlformats.org/officeDocument/2006/relationships/hyperlink" Target="https://crmplus.zoho.in/zohocorppace/index.do/cxapp/agent/zohocorp/zoho-workdrive-presales/requests/details/205219033823905102" TargetMode="External"/><Relationship Id="rId234" Type="http://schemas.openxmlformats.org/officeDocument/2006/relationships/hyperlink" Target="https://workdrive.zoho.in/file/1ladq58320ce4e1dc4762af7b35cb1ca6eff5" TargetMode="External"/><Relationship Id="rId235" Type="http://schemas.openxmlformats.org/officeDocument/2006/relationships/hyperlink" Target="mailto:wl.mfins3@gmail.com" TargetMode="External"/><Relationship Id="rId236" Type="http://schemas.openxmlformats.org/officeDocument/2006/relationships/hyperlink" Target="https://crmplus.zoho.in/zohocorppace/index.do/cxapp/agent/zohocorp/zoho-workdrive-presales/requests/details/205219033800716702" TargetMode="External"/><Relationship Id="rId237" Type="http://schemas.openxmlformats.org/officeDocument/2006/relationships/hyperlink" Target="https://workdrive.zoho.in/file/1ladqfa53382c230c46ccbd568db1cc5dc3fb" TargetMode="External"/><Relationship Id="rId238" Type="http://schemas.openxmlformats.org/officeDocument/2006/relationships/hyperlink" Target="https://sprints.zoho.in/workspace/zdocs#P15/itemdetails/I7858" TargetMode="External"/><Relationship Id="rId239" Type="http://schemas.openxmlformats.org/officeDocument/2006/relationships/hyperlink" Target="mailto:info@overseashealthcare.co.in" TargetMode="External"/><Relationship Id="rId240" Type="http://schemas.openxmlformats.org/officeDocument/2006/relationships/hyperlink" Target="https://crmplus.zoho.in/zohocorppace/index.do/cxapp/agent/zohocorp/zoho-workdrive-presales/requests/details/205219033677009485" TargetMode="External"/><Relationship Id="rId241" Type="http://schemas.openxmlformats.org/officeDocument/2006/relationships/hyperlink" Target="https://crmplus.zoho.in/crm/onezoho/tab/CustomModule3/1034361026332998108" TargetMode="External"/><Relationship Id="rId242" Type="http://schemas.openxmlformats.org/officeDocument/2006/relationships/hyperlink" Target="https://workdrive.zoho.in/file/1ladq6d33c3aaab6a407088c3cb7906681817" TargetMode="External"/><Relationship Id="rId243" Type="http://schemas.openxmlformats.org/officeDocument/2006/relationships/hyperlink" Target="mailto:yashascp11@gmail.com" TargetMode="External"/><Relationship Id="rId244" Type="http://schemas.openxmlformats.org/officeDocument/2006/relationships/hyperlink" Target="https://crmplus.zoho.in/zohocorppace/index.do/cxapp/agent/zohocorp/zoho-workdrive-presales/requests/details/205219022405248349" TargetMode="External"/><Relationship Id="rId245" Type="http://schemas.openxmlformats.org/officeDocument/2006/relationships/hyperlink" Target="https://workdrive.zoho.in/file/tomgua32bda5e56a34c1cb1056c59d5056d11" TargetMode="External"/><Relationship Id="rId246" Type="http://schemas.openxmlformats.org/officeDocument/2006/relationships/hyperlink" Target="https://sprints.zoho.in/workspace/zdocs#P15/itemdetails/I7875" TargetMode="External"/><Relationship Id="rId247" Type="http://schemas.openxmlformats.org/officeDocument/2006/relationships/hyperlink" Target="mailto:nithin@purplerock.com" TargetMode="External"/><Relationship Id="rId248" Type="http://schemas.openxmlformats.org/officeDocument/2006/relationships/hyperlink" Target="https://crmplus.zoho.in/zohocorppace/index.do/cxapp/agent/zohocorp/zoho-workdrive-presales/requests/details/205219031916568499" TargetMode="External"/><Relationship Id="rId249" Type="http://schemas.openxmlformats.org/officeDocument/2006/relationships/hyperlink" Target="https://crmplus.zoho.in/crm/onezoho/tab/CustomModule3/1034361026397090708" TargetMode="External"/><Relationship Id="rId250" Type="http://schemas.openxmlformats.org/officeDocument/2006/relationships/hyperlink" Target="https://workdrive.zoho.in/file/tomguff57bded2e6c462cb56a9851319d166d" TargetMode="External"/><Relationship Id="rId251" Type="http://schemas.openxmlformats.org/officeDocument/2006/relationships/hyperlink" Target="mailto:slouis@ohs.uk" TargetMode="External"/><Relationship Id="rId252" Type="http://schemas.openxmlformats.org/officeDocument/2006/relationships/hyperlink" Target="https://help.zoho.eu/agent/zcorpeu/zoho-workdrive-presales/tickets/details/63904001539513488" TargetMode="External"/><Relationship Id="rId253" Type="http://schemas.openxmlformats.org/officeDocument/2006/relationships/hyperlink" Target="mailto:raja@tamaspro.com" TargetMode="External"/><Relationship Id="rId254" Type="http://schemas.openxmlformats.org/officeDocument/2006/relationships/hyperlink" Target="https://crmplus.zoho.in/zohocorppace/index.do/cxapp/agent/zohocorp/zoho-workdrive-presales/requests/details/205219033914491239" TargetMode="External"/><Relationship Id="rId255" Type="http://schemas.openxmlformats.org/officeDocument/2006/relationships/hyperlink" Target="https://crmplus.zoho.in/crm/onezoho/tab/CustomModule3/1034361026440218243" TargetMode="External"/><Relationship Id="rId256" Type="http://schemas.openxmlformats.org/officeDocument/2006/relationships/hyperlink" Target="https://workdrive.zoho.in/file/sr50s4eaaf2027dd84341a533d8b6d216401c" TargetMode="External"/><Relationship Id="rId257" Type="http://schemas.openxmlformats.org/officeDocument/2006/relationships/hyperlink" Target="mailto:jmyers@inthedoornow.com" TargetMode="External"/><Relationship Id="rId258" Type="http://schemas.openxmlformats.org/officeDocument/2006/relationships/hyperlink" Target="https://crmplus.zoho.in/agent/zohocorp/zoho-workdrive-presales/requests/details/205219021086982209" TargetMode="External"/><Relationship Id="rId259" Type="http://schemas.openxmlformats.org/officeDocument/2006/relationships/hyperlink" Target="https://workdrive.zoho.in/file/jro4ue5685e49f04749c4bde100e5a28bada0" TargetMode="External"/><Relationship Id="rId260" Type="http://schemas.openxmlformats.org/officeDocument/2006/relationships/hyperlink" Target="mailto:k.mau@reservebank.to" TargetMode="External"/><Relationship Id="rId261" Type="http://schemas.openxmlformats.org/officeDocument/2006/relationships/hyperlink" Target="https://crmplus.zoho.in/agent/zohocorp/zoho-workdrive-presales/requests/details/205219033908613033" TargetMode="External"/><Relationship Id="rId262" Type="http://schemas.openxmlformats.org/officeDocument/2006/relationships/hyperlink" Target="https://workdrive.zoho.in/file/jro4u1c4f2de79098418aa5248469e7f84e77" TargetMode="External"/><Relationship Id="rId263" Type="http://schemas.openxmlformats.org/officeDocument/2006/relationships/hyperlink" Target="mailto:fatimanaz.shaikh@anikaindustries.com" TargetMode="External"/><Relationship Id="rId264" Type="http://schemas.openxmlformats.org/officeDocument/2006/relationships/hyperlink" Target="https://crmplus.zoho.in/zohocorppace/index.do/cxapp/agent/zohocorp/zoho-workdrive-presales/requests/details/205219033924453561" TargetMode="External"/><Relationship Id="rId265" Type="http://schemas.openxmlformats.org/officeDocument/2006/relationships/hyperlink" Target="https://crmplus.zoho.in/crm/onezoho/tab/CustomModule3/1034361026430306634" TargetMode="External"/><Relationship Id="rId266" Type="http://schemas.openxmlformats.org/officeDocument/2006/relationships/hyperlink" Target="https://workdrive.zoho.in/file/jro4ub12c149c53ab4cb2a764ba390d1ea853" TargetMode="External"/><Relationship Id="rId267" Type="http://schemas.openxmlformats.org/officeDocument/2006/relationships/hyperlink" Target="https://sprints.zoho.in/workspace/zdocs#P15/itemdetails/I7885" TargetMode="External"/><Relationship Id="rId268" Type="http://schemas.openxmlformats.org/officeDocument/2006/relationships/hyperlink" Target="mailto:sanand7@icloud.com" TargetMode="External"/><Relationship Id="rId269" Type="http://schemas.openxmlformats.org/officeDocument/2006/relationships/hyperlink" Target="https://crmplus.zoho.in/zohocorppace/index.do/cxapp/agent/zohocorp/zoho-workdrive-presales/requests/details/205219033904250367" TargetMode="External"/><Relationship Id="rId270" Type="http://schemas.openxmlformats.org/officeDocument/2006/relationships/hyperlink" Target="mailto:siva@athenaglobalsystems.com" TargetMode="External"/><Relationship Id="rId271" Type="http://schemas.openxmlformats.org/officeDocument/2006/relationships/hyperlink" Target="https://crmplus.zoho.in/zohocorppace/index.do/cxapp/agent/zohocorp/zoho-workdrive-presales/requests/details/205219033885989166" TargetMode="External"/><Relationship Id="rId272" Type="http://schemas.openxmlformats.org/officeDocument/2006/relationships/hyperlink" Target="mailto:vinita.singh@sbimf.com" TargetMode="External"/><Relationship Id="rId273" Type="http://schemas.openxmlformats.org/officeDocument/2006/relationships/hyperlink" Target="mailto:finance@tbicorn.com" TargetMode="External"/><Relationship Id="rId274" Type="http://schemas.openxmlformats.org/officeDocument/2006/relationships/hyperlink" Target="https://crmplus.zoho.in/zohocorppace/index.do/cxapp/agent/zohocorp/zoho-workdrive-presales/requests/details/205219033920517428/conversation" TargetMode="External"/><Relationship Id="rId275" Type="http://schemas.openxmlformats.org/officeDocument/2006/relationships/hyperlink" Target="https://workdrive.zoho.in/file/sr50s936bf663676149d48a422559533229d5" TargetMode="External"/><Relationship Id="rId276" Type="http://schemas.openxmlformats.org/officeDocument/2006/relationships/hyperlink" Target="mailto:head.it@sithltd.com" TargetMode="External"/><Relationship Id="rId277" Type="http://schemas.openxmlformats.org/officeDocument/2006/relationships/hyperlink" Target="https://crmplus.zoho.in/zohocorppace/index.do/cxapp/agent/zohocorp/zoho-workdrive-presales/requests/details/205219032763672882" TargetMode="External"/><Relationship Id="rId278" Type="http://schemas.openxmlformats.org/officeDocument/2006/relationships/hyperlink" Target="mailto:tarun.n@pentableu.in" TargetMode="External"/><Relationship Id="rId279" Type="http://schemas.openxmlformats.org/officeDocument/2006/relationships/hyperlink" Target="https://crmplus.zoho.in/zohocorppace/index.do/cxapp/agent/zohocorp/zoho-workdrive-presales/requests/details/205219033678082195" TargetMode="External"/><Relationship Id="rId280" Type="http://schemas.openxmlformats.org/officeDocument/2006/relationships/hyperlink" Target="https://workdrive.zoho.in/file/i40yn8a02693111ea40d4911403e66211fa8e" TargetMode="External"/><Relationship Id="rId281" Type="http://schemas.openxmlformats.org/officeDocument/2006/relationships/hyperlink" Target="mailto:manivelca@gmail.com" TargetMode="External"/><Relationship Id="rId282" Type="http://schemas.openxmlformats.org/officeDocument/2006/relationships/hyperlink" Target="https://crmplus.zoho.in/agent/zohocorp/zoho-workdrive-presales/requests/details/205219032813477548" TargetMode="External"/><Relationship Id="rId283" Type="http://schemas.openxmlformats.org/officeDocument/2006/relationships/hyperlink" Target="mailto:swarnalakshmi17@mtabtechnology.com" TargetMode="External"/><Relationship Id="rId284" Type="http://schemas.openxmlformats.org/officeDocument/2006/relationships/hyperlink" Target="https://crmplus.zoho.in/zohocorppace/index.do/cxapp/agent/zohocorp/zoho-workdrive-presales/requests/details/205219033522378299" TargetMode="External"/><Relationship Id="rId285" Type="http://schemas.openxmlformats.org/officeDocument/2006/relationships/hyperlink" Target="mailto:info@actsfs.com" TargetMode="External"/><Relationship Id="rId286" Type="http://schemas.openxmlformats.org/officeDocument/2006/relationships/hyperlink" Target="https://crmplus.zoho.in/zohocorppace/index.do/cxapp/agent/zohocorp/zoho-workdrive-presales/requests/details/205219033921134446" TargetMode="External"/><Relationship Id="rId287" Type="http://schemas.openxmlformats.org/officeDocument/2006/relationships/hyperlink" Target="https://crmplus.zoho.in/crm/onezoho/tab/CustomModule3/1034361026479123035" TargetMode="External"/><Relationship Id="rId288" Type="http://schemas.openxmlformats.org/officeDocument/2006/relationships/hyperlink" Target="https://workdrive.zoho.in/file/ksvuqd56fd198a06b46c299caeb8e0a90ab41" TargetMode="External"/><Relationship Id="rId289" Type="http://schemas.openxmlformats.org/officeDocument/2006/relationships/hyperlink" Target="mailto:info@rehabgroupksa.com" TargetMode="External"/><Relationship Id="rId290" Type="http://schemas.openxmlformats.org/officeDocument/2006/relationships/hyperlink" Target="https://crmplus.zoho.in/zohocorppace/index.do/cxapp/agent/zohocorp/zoho-workdrive-presales/requests/details/205219033898674582" TargetMode="External"/><Relationship Id="rId291" Type="http://schemas.openxmlformats.org/officeDocument/2006/relationships/hyperlink" Target="https://workdrive.zoho.in/file/ksvuqdfa0accc2bb5445da7f2b871cac0bfa1" TargetMode="External"/><Relationship Id="rId292" Type="http://schemas.openxmlformats.org/officeDocument/2006/relationships/hyperlink" Target="mailto:ashish.navre@adani.com" TargetMode="External"/><Relationship Id="rId293" Type="http://schemas.openxmlformats.org/officeDocument/2006/relationships/hyperlink" Target="https://crmplus.zoho.in/zohocorppace/index.do/cxapp/agent/zohocorp/zoho-workdrive-presales/requests/details/205219034359779306" TargetMode="External"/><Relationship Id="rId294" Type="http://schemas.openxmlformats.org/officeDocument/2006/relationships/hyperlink" Target="https://workdrive.zoho.in/file/kwvxh367fd0c229be4c44970076fbc8211b9f" TargetMode="External"/><Relationship Id="rId295" Type="http://schemas.openxmlformats.org/officeDocument/2006/relationships/hyperlink" Target="https://crmplus.zoho.in/zohocorppace/index.do/cxapp/agent/zohocorp/zoho-workdrive-presales/requests/details/205219033832567356" TargetMode="External"/><Relationship Id="rId296" Type="http://schemas.openxmlformats.org/officeDocument/2006/relationships/hyperlink" Target="https://workdrive.zoho.in/file/clrmu149b9673c4aa49eda3c5e70e40d4d7c9" TargetMode="External"/><Relationship Id="rId297" Type="http://schemas.openxmlformats.org/officeDocument/2006/relationships/hyperlink" Target="mailto:arnavjain0999@gmail.com" TargetMode="External"/><Relationship Id="rId298" Type="http://schemas.openxmlformats.org/officeDocument/2006/relationships/hyperlink" Target="https://crmplus.zoho.in/zohocorppace/index.do/cxapp/agent/zohocorp/zoho-workdrive-presales/requests/details/205219033977173847" TargetMode="External"/><Relationship Id="rId299" Type="http://schemas.openxmlformats.org/officeDocument/2006/relationships/hyperlink" Target="https://workdrive.zoho.in/file/gxogn459f02bd61814c4f995c3f4356c0ef74" TargetMode="External"/><Relationship Id="rId300" Type="http://schemas.openxmlformats.org/officeDocument/2006/relationships/hyperlink" Target="mailto:supreetha@citoinfotech.com" TargetMode="External"/><Relationship Id="rId301" Type="http://schemas.openxmlformats.org/officeDocument/2006/relationships/hyperlink" Target="https://crmplus.zoho.in/zohocorppace/index.do/cxapp/agent/zohocorp/zoho-workdrive-presales/requests/details/205219033955974222" TargetMode="External"/><Relationship Id="rId302" Type="http://schemas.openxmlformats.org/officeDocument/2006/relationships/hyperlink" Target="mailto:adityagoel0009@gmail.com" TargetMode="External"/><Relationship Id="rId303" Type="http://schemas.openxmlformats.org/officeDocument/2006/relationships/hyperlink" Target="https://crmplus.zoho.in/zohocorppace/index.do/cxapp/agent/zohocorp/zoho-workdrive-presales/requests/details/205219033954188060" TargetMode="External"/><Relationship Id="rId304" Type="http://schemas.openxmlformats.org/officeDocument/2006/relationships/hyperlink" Target="https://workdrive.zoho.in/file/rht95c2281dcdc15e408e987419bdb3e5cea9" TargetMode="External"/><Relationship Id="rId305" Type="http://schemas.openxmlformats.org/officeDocument/2006/relationships/hyperlink" Target="mailto:jesse.land@espire.com" TargetMode="External"/><Relationship Id="rId306" Type="http://schemas.openxmlformats.org/officeDocument/2006/relationships/hyperlink" Target="https://crmplus.zoho.in/zohocorppace/index.do/cxapp/agent/zohocorp/zoho-workdrive-presales/requests/details/205219033489963174" TargetMode="External"/></Relationships>
</file>

<file path=xl/worksheets/_rels/sheet6.xml.rels><?xml version="1.0" encoding="UTF-8" standalone="yes"?><Relationships xmlns="http://schemas.openxmlformats.org/package/2006/relationships"><Relationship Id="rId1" Type="http://schemas.openxmlformats.org/officeDocument/2006/relationships/hyperlink" Target="mailto:geetha@success-alchemists.com" TargetMode="External"/><Relationship Id="rId2" Type="http://schemas.openxmlformats.org/officeDocument/2006/relationships/hyperlink" Target="https://crmplus.zoho.in/zohocorppace/index.do/cxapp/agent/zohocorp/zoho-workdrive-presales/requests/details/205219034013849940" TargetMode="External"/><Relationship Id="rId3" Type="http://schemas.openxmlformats.org/officeDocument/2006/relationships/hyperlink" Target="mailto:hr@ayavin.com" TargetMode="External"/><Relationship Id="rId4" Type="http://schemas.openxmlformats.org/officeDocument/2006/relationships/hyperlink" Target="https://crmplus.zoho.in/zohocorppace/index.do/cxapp/agent/zohocorp/zoho-workdrive-presales/requests/details/205219034010296305" TargetMode="External"/><Relationship Id="rId5" Type="http://schemas.openxmlformats.org/officeDocument/2006/relationships/hyperlink" Target="https://workdrive.zoho.in/file/90c9p59ad817af6534acaabd2a1c8c2fc8864" TargetMode="External"/><Relationship Id="rId6" Type="http://schemas.openxmlformats.org/officeDocument/2006/relationships/hyperlink" Target="mailto:raja@tamaspro.com" TargetMode="External"/><Relationship Id="rId7" Type="http://schemas.openxmlformats.org/officeDocument/2006/relationships/hyperlink" Target="https://crmplus.zoho.in/zohocorppace/index.do/cxapp/agent/zohocorp/zoho-workdrive-presales/requests/details/205219033914491239" TargetMode="External"/><Relationship Id="rId8" Type="http://schemas.openxmlformats.org/officeDocument/2006/relationships/hyperlink" Target="https://crmplus.zoho.in/crm/onezoho/tab/CustomModule3/1034361026440218243" TargetMode="External"/><Relationship Id="rId9" Type="http://schemas.openxmlformats.org/officeDocument/2006/relationships/hyperlink" Target="mailto:iqbalchanna@chms.co.in" TargetMode="External"/><Relationship Id="rId10" Type="http://schemas.openxmlformats.org/officeDocument/2006/relationships/hyperlink" Target="https://crmplus.zoho.in/agent/zohocorp/zoho-workdrive-presales/requests/details/205219034043624712" TargetMode="External"/><Relationship Id="rId11" Type="http://schemas.openxmlformats.org/officeDocument/2006/relationships/hyperlink" Target="https://workdrive.zoho.in/file/ovykk83b6178f225e414a806374b507faf41b" TargetMode="External"/><Relationship Id="rId12" Type="http://schemas.openxmlformats.org/officeDocument/2006/relationships/hyperlink" Target="mailto:contactus@seyontours.com" TargetMode="External"/><Relationship Id="rId13" Type="http://schemas.openxmlformats.org/officeDocument/2006/relationships/hyperlink" Target="https://crmplus.zoho.in/zohocorppace/index.do/cxapp/agent/zohocorp/zoho-workdrive-presales/requests/details/205219034076365896" TargetMode="External"/><Relationship Id="rId14" Type="http://schemas.openxmlformats.org/officeDocument/2006/relationships/hyperlink" Target="https://workdrive.zoho.in/file/a5rv6a4aff25be297420c8684924a6e7f7272" TargetMode="External"/><Relationship Id="rId15" Type="http://schemas.openxmlformats.org/officeDocument/2006/relationships/hyperlink" Target="mailto:jk@capanion.de" TargetMode="External"/><Relationship Id="rId16" Type="http://schemas.openxmlformats.org/officeDocument/2006/relationships/hyperlink" Target="https://crmplus.zoho.in/zohocorppace/index.do/cxapp/agent/zohocorp/zoho-workdrive-presales/requests/details/205219034091508539" TargetMode="External"/><Relationship Id="rId17" Type="http://schemas.openxmlformats.org/officeDocument/2006/relationships/hyperlink" Target="https://workdrive.zoho.in/file/wkjwh611e97d4b6994a6bb5ce1221428e3c16" TargetMode="External"/><Relationship Id="rId18" Type="http://schemas.openxmlformats.org/officeDocument/2006/relationships/hyperlink" Target="mailto:eric@waltztech.com" TargetMode="External"/><Relationship Id="rId19" Type="http://schemas.openxmlformats.org/officeDocument/2006/relationships/hyperlink" Target="https://crmplus.zoho.in/zohocorppace/index.do/cxapp/agent/zohocorp/zoho-workdrive-presales/requests/details/205219033971327372" TargetMode="External"/><Relationship Id="rId20" Type="http://schemas.openxmlformats.org/officeDocument/2006/relationships/hyperlink" Target="https://workdrive.zoho.in/file/pko4442788b52d0bb45358a217a0725741351" TargetMode="External"/><Relationship Id="rId21" Type="http://schemas.openxmlformats.org/officeDocument/2006/relationships/hyperlink" Target="mailto:pankajramol@almamet.com" TargetMode="External"/><Relationship Id="rId22" Type="http://schemas.openxmlformats.org/officeDocument/2006/relationships/hyperlink" Target="https://crmplus.zoho.in/agent/zohocorp/zoho-workdrive-presales/requests/details/205219028979870585" TargetMode="External"/><Relationship Id="rId23" Type="http://schemas.openxmlformats.org/officeDocument/2006/relationships/hyperlink" Target="mailto:ksp@bimabro.com" TargetMode="External"/><Relationship Id="rId24" Type="http://schemas.openxmlformats.org/officeDocument/2006/relationships/hyperlink" Target="https://crmplus.zoho.in/zohocorppace/index.do/cxapp/agent/zohocorp/zoho-workdrive-presales/requests/details/205219034092674786" TargetMode="External"/><Relationship Id="rId25" Type="http://schemas.openxmlformats.org/officeDocument/2006/relationships/hyperlink" Target="mailto:sunil.nayak@uco.bank.in" TargetMode="External"/><Relationship Id="rId26" Type="http://schemas.openxmlformats.org/officeDocument/2006/relationships/hyperlink" Target="https://crmplus.zoho.in/zohocorppace/index.do/cxapp/agent/zohocorp/zoho-workdrive-presales/requests/details/205219034134499258" TargetMode="External"/><Relationship Id="rId27" Type="http://schemas.openxmlformats.org/officeDocument/2006/relationships/hyperlink" Target="https://crmplus.zoho.in/crm/onezoho/tab/CustomModule3/1034361026569987747" TargetMode="External"/><Relationship Id="rId28" Type="http://schemas.openxmlformats.org/officeDocument/2006/relationships/hyperlink" Target="mailto:nandeesh@fintaxadvisors.com" TargetMode="External"/><Relationship Id="rId29" Type="http://schemas.openxmlformats.org/officeDocument/2006/relationships/hyperlink" Target="https://crmplus.zoho.in/zohocorppace/index.do/cxapp/agent/zohocorp/zoho-workdrive-presales/requests/details/205219034120890306" TargetMode="External"/><Relationship Id="rId30" Type="http://schemas.openxmlformats.org/officeDocument/2006/relationships/hyperlink" Target="https://workdrive.zoho.in/file/vvbch08a2bd769d59439485aba928698c7d43" TargetMode="External"/><Relationship Id="rId31" Type="http://schemas.openxmlformats.org/officeDocument/2006/relationships/hyperlink" Target="mailto:saniati.suib@nie.edu.sg" TargetMode="External"/><Relationship Id="rId32" Type="http://schemas.openxmlformats.org/officeDocument/2006/relationships/hyperlink" Target="https://crmplus.zoho.in/zohocorppace/index.do/cxapp/agent/zohocorp/zoho-workdrive-presales/requests/details/205219034118206059" TargetMode="External"/><Relationship Id="rId33" Type="http://schemas.openxmlformats.org/officeDocument/2006/relationships/hyperlink" Target="https://workdrive.zoho.in/file/1aqxr57b4dd5b84344157adf8a187040ae38a" TargetMode="External"/><Relationship Id="rId34" Type="http://schemas.openxmlformats.org/officeDocument/2006/relationships/hyperlink" Target="mailto:kishor@diversedomain.in" TargetMode="External"/><Relationship Id="rId35" Type="http://schemas.openxmlformats.org/officeDocument/2006/relationships/hyperlink" Target="https://crmplus.zoho.in/zohocorppace/index.do/cxapp/agent/zohocorp/zoho-workdrive-presales/requests/details/205219034140815097" TargetMode="External"/><Relationship Id="rId36" Type="http://schemas.openxmlformats.org/officeDocument/2006/relationships/hyperlink" Target="https://sprints.zoho.in/workspace/zdocs#P15/itemdetails/I7969" TargetMode="External"/><Relationship Id="rId37" Type="http://schemas.openxmlformats.org/officeDocument/2006/relationships/hyperlink" Target="mailto:e.dumand@coperbee.fr" TargetMode="External"/><Relationship Id="rId38" Type="http://schemas.openxmlformats.org/officeDocument/2006/relationships/hyperlink" Target="https://help.zoho.eu/agent/zcorpeu/zoho-workdrive-presales/tickets/details/63904001528006813" TargetMode="External"/><Relationship Id="rId39" Type="http://schemas.openxmlformats.org/officeDocument/2006/relationships/hyperlink" Target="https://connect.zoho.in/portal/intranet/stream/155936002027001209" TargetMode="External"/><Relationship Id="rId40" Type="http://schemas.openxmlformats.org/officeDocument/2006/relationships/hyperlink" Target="https://workdrive.zoho.in/file/vvbchbed7accfb7e0415681ed713369e90ea5" TargetMode="External"/><Relationship Id="rId41" Type="http://schemas.openxmlformats.org/officeDocument/2006/relationships/hyperlink" Target="mailto:manoj.joshi@b2r.in" TargetMode="External"/><Relationship Id="rId42" Type="http://schemas.openxmlformats.org/officeDocument/2006/relationships/hyperlink" Target="https://crmplus.zoho.in/zohocorppace/index.do/cxapp/agent/zohocorp/zoho-workdrive-presales/requests/details/205219034150189310" TargetMode="External"/><Relationship Id="rId43" Type="http://schemas.openxmlformats.org/officeDocument/2006/relationships/hyperlink" Target="https://crmplus.zoho.in/crm/onezoho/tab/CustomModule3/1034361026598339623" TargetMode="External"/><Relationship Id="rId44" Type="http://schemas.openxmlformats.org/officeDocument/2006/relationships/hyperlink" Target="https://workdrive.zoho.in/file/5oq1bfeb281007c3948cf952ed561c423747b" TargetMode="External"/><Relationship Id="rId45" Type="http://schemas.openxmlformats.org/officeDocument/2006/relationships/hyperlink" Target="mailto:teamcollectiveoverlap@gmail.com" TargetMode="External"/><Relationship Id="rId46" Type="http://schemas.openxmlformats.org/officeDocument/2006/relationships/hyperlink" Target="https://crmplus.zoho.in/zohocorppace/index.do/cxapp/agent/zohocorp/zoho-workdrive-presales/requests/details/205219034017306330" TargetMode="External"/><Relationship Id="rId47" Type="http://schemas.openxmlformats.org/officeDocument/2006/relationships/hyperlink" Target="https://workdrive.zoho.in/file/5oq1b0446a6f2150e458ab2b130e712b99e8d" TargetMode="External"/><Relationship Id="rId48" Type="http://schemas.openxmlformats.org/officeDocument/2006/relationships/hyperlink" Target="mailto:anitha@supertroninfotech.com" TargetMode="External"/><Relationship Id="rId49" Type="http://schemas.openxmlformats.org/officeDocument/2006/relationships/hyperlink" Target="https://crmplus.zoho.in/zohocorppace/index.do/cxapp/agent/zohocorp/zoho-workdrive-presales/requests/details/205219034151940904/conversation" TargetMode="External"/><Relationship Id="rId50" Type="http://schemas.openxmlformats.org/officeDocument/2006/relationships/hyperlink" Target="https://workdrive.zoho.in/file/5oq1ba8d4a2e52b8b477786aa78bc01492440" TargetMode="External"/><Relationship Id="rId51" Type="http://schemas.openxmlformats.org/officeDocument/2006/relationships/hyperlink" Target="mailto:krishnankutty.nair@gammonengineers.com" TargetMode="External"/><Relationship Id="rId52" Type="http://schemas.openxmlformats.org/officeDocument/2006/relationships/hyperlink" Target="https://crmplus.zoho.in/zohocorppace/index.do/cxapp/agent/zohocorp/zoho-workdrive-presales/requests/details/205219025505090682" TargetMode="External"/><Relationship Id="rId53" Type="http://schemas.openxmlformats.org/officeDocument/2006/relationships/hyperlink" Target="https://crmplus.zoho.in/crm/onezoho/tab/CustomModule3/1034361026603126149" TargetMode="External"/><Relationship Id="rId54" Type="http://schemas.openxmlformats.org/officeDocument/2006/relationships/hyperlink" Target="https://workdrive.zoho.in/file/5oq1bb51e8e9f62bc44da8d46fd051eccb09a" TargetMode="External"/><Relationship Id="rId55" Type="http://schemas.openxmlformats.org/officeDocument/2006/relationships/hyperlink" Target="mailto:techsupport@captaintractors.com" TargetMode="External"/><Relationship Id="rId56" Type="http://schemas.openxmlformats.org/officeDocument/2006/relationships/hyperlink" Target="https://crmplus.zoho.in/zohocorppace/index.do/cxapp/agent/zohocorp/zoho-workdrive-presales/requests/details/205219033947296161/conversation" TargetMode="External"/><Relationship Id="rId57" Type="http://schemas.openxmlformats.org/officeDocument/2006/relationships/hyperlink" Target="https://workdrive.zoho.in/file/4eoj5eda87f3cf28a4629804c7f5529475fc3" TargetMode="External"/><Relationship Id="rId58" Type="http://schemas.openxmlformats.org/officeDocument/2006/relationships/hyperlink" Target="mailto:pradip.paul@maheshwaree.com" TargetMode="External"/><Relationship Id="rId59" Type="http://schemas.openxmlformats.org/officeDocument/2006/relationships/hyperlink" Target="https://crmplus.zoho.in/zohocorppace/index.do/cxapp/agent/zohocorp/zoho-workdrive-presales/requests/details/205219034165268077" TargetMode="External"/><Relationship Id="rId60" Type="http://schemas.openxmlformats.org/officeDocument/2006/relationships/hyperlink" Target="https://workdrive.zoho.in/file/4eoj50ab79a05941845e9a5e9c2e0c94d7f26" TargetMode="External"/><Relationship Id="rId61" Type="http://schemas.openxmlformats.org/officeDocument/2006/relationships/hyperlink" Target="mailto:iam4lorunsho@gmail.com" TargetMode="External"/><Relationship Id="rId62" Type="http://schemas.openxmlformats.org/officeDocument/2006/relationships/hyperlink" Target="https://crmplus.zoho.in/zohocorppace/index.do/cxapp/agent/zohocorp/zoho-workdrive-presales/requests/details/205219034164459868" TargetMode="External"/><Relationship Id="rId63" Type="http://schemas.openxmlformats.org/officeDocument/2006/relationships/hyperlink" Target="https://workdrive.zoho.in/file/ou32bb22264fe57864d5691e7ba42347186a7" TargetMode="External"/><Relationship Id="rId64" Type="http://schemas.openxmlformats.org/officeDocument/2006/relationships/hyperlink" Target="mailto:bill@aperiondx.com" TargetMode="External"/><Relationship Id="rId65" Type="http://schemas.openxmlformats.org/officeDocument/2006/relationships/hyperlink" Target="https://crmplus.zoho.in/agent/zohocorp/zoho-workdrive-presales/requests/details/205219034180600547" TargetMode="External"/><Relationship Id="rId66" Type="http://schemas.openxmlformats.org/officeDocument/2006/relationships/hyperlink" Target="mailto:it@jupiter-clamps.com" TargetMode="External"/><Relationship Id="rId67" Type="http://schemas.openxmlformats.org/officeDocument/2006/relationships/hyperlink" Target="https://crmplus.zoho.in/zohocorppace/index.do/cxapp/agent/zohocorp/zoho-workdrive-presales/requests/details/205219034183189554" TargetMode="External"/><Relationship Id="rId68" Type="http://schemas.openxmlformats.org/officeDocument/2006/relationships/hyperlink" Target="mailto:buiiltarch.ghy@gmail.com" TargetMode="External"/><Relationship Id="rId69" Type="http://schemas.openxmlformats.org/officeDocument/2006/relationships/hyperlink" Target="https://crmplus.zoho.in/zohocorppace/index.do/cxapp/agent/zohocorp/zoho-workdrive-presales/requests/details/205219034202830435" TargetMode="External"/><Relationship Id="rId70" Type="http://schemas.openxmlformats.org/officeDocument/2006/relationships/hyperlink" Target="https://workdrive.zoho.in/file/3z4wjdd042aec0d5540fc8f7a8565e43dbb4e" TargetMode="External"/><Relationship Id="rId71" Type="http://schemas.openxmlformats.org/officeDocument/2006/relationships/hyperlink" Target="mailto:ankita.ms@yantralive.com" TargetMode="External"/><Relationship Id="rId72" Type="http://schemas.openxmlformats.org/officeDocument/2006/relationships/hyperlink" Target="https://crmplus.zoho.in/zohocorppace/index.do/cxapp/agent/zohocorp/zoho-workdrive-presales/requests/details/205219032994798368" TargetMode="External"/><Relationship Id="rId73" Type="http://schemas.openxmlformats.org/officeDocument/2006/relationships/hyperlink" Target="https://workdrive.zoho.in/file/9qp6m32a78dc7b1a44089b07c6b290b8f0489" TargetMode="External"/><Relationship Id="rId74" Type="http://schemas.openxmlformats.org/officeDocument/2006/relationships/hyperlink" Target="mailto:CAARINDAM2012@GMAIL.COM" TargetMode="External"/><Relationship Id="rId75" Type="http://schemas.openxmlformats.org/officeDocument/2006/relationships/hyperlink" Target="https://crmplus.zoho.in/zohocorppace/index.do/cxapp/agent/zohocorp/zoho-workdrive-presales/requests/details/205219033858437676" TargetMode="External"/><Relationship Id="rId76" Type="http://schemas.openxmlformats.org/officeDocument/2006/relationships/hyperlink" Target="https://workdrive.zoho.in/file/9qp6mc306562c8a5f45759714938b7eab88f9" TargetMode="External"/><Relationship Id="rId77" Type="http://schemas.openxmlformats.org/officeDocument/2006/relationships/hyperlink" Target="mailto:arnavjain0999@gmail.com" TargetMode="External"/><Relationship Id="rId78" Type="http://schemas.openxmlformats.org/officeDocument/2006/relationships/hyperlink" Target="https://crmplus.zoho.in/zohocorppace/index.do/cxapp/agent/zohocorp/zoho-workdrive-presales/requests/details/205219033977173847" TargetMode="External"/><Relationship Id="rId79" Type="http://schemas.openxmlformats.org/officeDocument/2006/relationships/hyperlink" Target="mailto:info@itcpllab.com" TargetMode="External"/><Relationship Id="rId80" Type="http://schemas.openxmlformats.org/officeDocument/2006/relationships/hyperlink" Target="https://crmplus.zoho.in/zohocorppace/index.do/cxapp/agent/zohocorp/zoho-workdrive-presales/requests/details/205219034225291544" TargetMode="External"/><Relationship Id="rId81" Type="http://schemas.openxmlformats.org/officeDocument/2006/relationships/hyperlink" Target="https://workdrive.zoho.in/file/jya2s97e17a465a164e07930fcd7bfb74ffa0" TargetMode="External"/><Relationship Id="rId82" Type="http://schemas.openxmlformats.org/officeDocument/2006/relationships/hyperlink" Target="mailto:healthtechmasteryacademy@gmail.com" TargetMode="External"/><Relationship Id="rId83" Type="http://schemas.openxmlformats.org/officeDocument/2006/relationships/hyperlink" Target="https://crmplus.zoho.in/zohocorppace/index.do/cxapp/agent/zohocorp/zoho-workdrive-presales/requests/details/205219034229993819" TargetMode="External"/><Relationship Id="rId84" Type="http://schemas.openxmlformats.org/officeDocument/2006/relationships/hyperlink" Target="mailto:raj.kumar@sealthedeal.co.in" TargetMode="External"/><Relationship Id="rId85" Type="http://schemas.openxmlformats.org/officeDocument/2006/relationships/hyperlink" Target="https://crmplus.zoho.in/zohocorppace/index.do/cxapp/agent/zohocorp/zoho-workdrive-presales/requests/details/205219034238879269/conversation" TargetMode="External"/><Relationship Id="rId86" Type="http://schemas.openxmlformats.org/officeDocument/2006/relationships/hyperlink" Target="mailto:kr@zigmaads.com" TargetMode="External"/><Relationship Id="rId87" Type="http://schemas.openxmlformats.org/officeDocument/2006/relationships/hyperlink" Target="https://crmplus.zoho.in/zohocorppace/index.do/cxapp/agent/zohocorp/zoho-workdrive-presales/requests/details/205219033378708255/conversation" TargetMode="External"/><Relationship Id="rId88" Type="http://schemas.openxmlformats.org/officeDocument/2006/relationships/hyperlink" Target="https://crmplus.zoho.in/crm/onezoho/tab/CustomModule3/1034361025785223767" TargetMode="External"/><Relationship Id="rId89" Type="http://schemas.openxmlformats.org/officeDocument/2006/relationships/hyperlink" Target="mailto:regupathi.g@jockeyindia.com" TargetMode="External"/><Relationship Id="rId90" Type="http://schemas.openxmlformats.org/officeDocument/2006/relationships/hyperlink" Target="https://crmplus.zoho.in/zohocorppace/index.do/cxapp/agent/zohocorp/zoho-workdrive-presales/requests/details/205219034263227457" TargetMode="External"/><Relationship Id="rId91" Type="http://schemas.openxmlformats.org/officeDocument/2006/relationships/hyperlink" Target="mailto:nithin.k@adventz.com" TargetMode="External"/><Relationship Id="rId92" Type="http://schemas.openxmlformats.org/officeDocument/2006/relationships/hyperlink" Target="https://crmplus.zoho.in/zohocorppace/index.do/cxapp/agent/zohocorp/zoho-workdrive-presales/requests/details/205219034245018292" TargetMode="External"/><Relationship Id="rId93" Type="http://schemas.openxmlformats.org/officeDocument/2006/relationships/hyperlink" Target="mailto:j.kuriakose@aximedsupply.com" TargetMode="External"/><Relationship Id="rId94" Type="http://schemas.openxmlformats.org/officeDocument/2006/relationships/hyperlink" Target="https://crmplus.zoho.in/zohocorppace/index.do/cxapp/agent/zohocorp/zoho-workdrive-presales/requests/details/205219034232229142" TargetMode="External"/><Relationship Id="rId95" Type="http://schemas.openxmlformats.org/officeDocument/2006/relationships/hyperlink" Target="https://workdrive.zoho.in/file/h4btre40f04db9acb4fa8b997f3d75f4451b0" TargetMode="External"/><Relationship Id="rId96" Type="http://schemas.openxmlformats.org/officeDocument/2006/relationships/hyperlink" Target="mailto:systems.corp@shalby.in" TargetMode="External"/><Relationship Id="rId97" Type="http://schemas.openxmlformats.org/officeDocument/2006/relationships/hyperlink" Target="https://crmplus.zoho.in/zohocorppace/index.do/cxapp/agent/zohocorp/zoho-workdrive-presales/requests/details/205219034258102342" TargetMode="External"/><Relationship Id="rId98" Type="http://schemas.openxmlformats.org/officeDocument/2006/relationships/hyperlink" Target="https://crmplus.zoho.in/crm/onezoho/tab/CustomModule3/1034361026690265764" TargetMode="External"/><Relationship Id="rId99" Type="http://schemas.openxmlformats.org/officeDocument/2006/relationships/hyperlink" Target="https://workdrive.zoho.in/file/9225p523302144384441f82b544ddad2941d7" TargetMode="External"/><Relationship Id="rId100" Type="http://schemas.openxmlformats.org/officeDocument/2006/relationships/hyperlink" Target="mailto:pankajramol@almamet.com" TargetMode="External"/><Relationship Id="rId101" Type="http://schemas.openxmlformats.org/officeDocument/2006/relationships/hyperlink" Target="https://crmplus.zoho.in/zohocorppace/index.do/cxapp/agent/zohocorp/zoho-workdrive-presales/requests/details/205219034259141830" TargetMode="External"/><Relationship Id="rId102" Type="http://schemas.openxmlformats.org/officeDocument/2006/relationships/hyperlink" Target="https://crmplus.zoho.in/crm/onezoho/tab/CustomModule3/1034361026669303048" TargetMode="External"/><Relationship Id="rId103" Type="http://schemas.openxmlformats.org/officeDocument/2006/relationships/hyperlink" Target="https://workdrive.zoho.in/file/h4btrfb52c625adf54ce3877aead5258f49a2" TargetMode="External"/><Relationship Id="rId104" Type="http://schemas.openxmlformats.org/officeDocument/2006/relationships/hyperlink" Target="mailto:omkar.chavan@sapparts.com" TargetMode="External"/><Relationship Id="rId105" Type="http://schemas.openxmlformats.org/officeDocument/2006/relationships/hyperlink" Target="https://crmplus.zoho.in/zohocorppace/index.do/cxapp/agent/zohocorp/zoho-workdrive-presales/requests/details/205219034257466774" TargetMode="External"/><Relationship Id="rId106" Type="http://schemas.openxmlformats.org/officeDocument/2006/relationships/hyperlink" Target="https://crmplus.zoho.in/crm/onezoho/tab/CustomModule3/1034361026672612340" TargetMode="External"/><Relationship Id="rId107" Type="http://schemas.openxmlformats.org/officeDocument/2006/relationships/hyperlink" Target="https://workdrive.zoho.in/file/7l3lx62e03bc6898c470c8cce9a602eaf1730" TargetMode="External"/><Relationship Id="rId108" Type="http://schemas.openxmlformats.org/officeDocument/2006/relationships/hyperlink" Target="mailto:rana.putta@kreoninfra.com" TargetMode="External"/><Relationship Id="rId109" Type="http://schemas.openxmlformats.org/officeDocument/2006/relationships/hyperlink" Target="https://crmplus.zoho.in/zohocorppace/index.do/cxapp/agent/zohocorp/zoho-workdrive-presales/requests/details/205219034258737642" TargetMode="External"/><Relationship Id="rId110" Type="http://schemas.openxmlformats.org/officeDocument/2006/relationships/hyperlink" Target="https://workdrive.zoho.in/file/8zurz8f3937ddb94241e98b97b739d69d7bf4" TargetMode="External"/><Relationship Id="rId111" Type="http://schemas.openxmlformats.org/officeDocument/2006/relationships/hyperlink" Target="mailto:bishow@sherpahospitality.com" TargetMode="External"/><Relationship Id="rId112" Type="http://schemas.openxmlformats.org/officeDocument/2006/relationships/hyperlink" Target="https://crmplus.zoho.in/zohocorppace/index.do/cxapp/agent/zohocorp/zoho-workdrive-presales/requests/details/205219034256584692" TargetMode="External"/><Relationship Id="rId113" Type="http://schemas.openxmlformats.org/officeDocument/2006/relationships/hyperlink" Target="https://workdrive.zoho.in/file/8zurzd356bcf3036145b38d28f7ce9c64c29f" TargetMode="External"/><Relationship Id="rId114" Type="http://schemas.openxmlformats.org/officeDocument/2006/relationships/hyperlink" Target="mailto:ankita.ms@yantralive.com" TargetMode="External"/><Relationship Id="rId115" Type="http://schemas.openxmlformats.org/officeDocument/2006/relationships/hyperlink" Target="https://crmplus.zoho.in/zohocorppace/index.do/cxapp/agent/zohocorp/zoho-workdrive-presales/requests/details/205219032994798368" TargetMode="External"/><Relationship Id="rId116" Type="http://schemas.openxmlformats.org/officeDocument/2006/relationships/hyperlink" Target="https://workdrive.zoho.in/file/8zurz3bed7dfdffa5427986744f64dab4c118" TargetMode="External"/><Relationship Id="rId117" Type="http://schemas.openxmlformats.org/officeDocument/2006/relationships/hyperlink" Target="mailto:hello@gmatos.pt" TargetMode="External"/><Relationship Id="rId118" Type="http://schemas.openxmlformats.org/officeDocument/2006/relationships/hyperlink" Target="https://crmplus.zoho.in/zohocorppace/index.do/cxapp/agent/zohocorp/zoho-workdrive-presales/requests/details/205219034268278195" TargetMode="External"/><Relationship Id="rId119" Type="http://schemas.openxmlformats.org/officeDocument/2006/relationships/hyperlink" Target="mailto:jason_yu@karney.net" TargetMode="External"/><Relationship Id="rId120" Type="http://schemas.openxmlformats.org/officeDocument/2006/relationships/hyperlink" Target="https://crmplus.zoho.in/agent/zohocorp/zoho-workdrive-presales/requests/details/205219034259452305" TargetMode="External"/><Relationship Id="rId121" Type="http://schemas.openxmlformats.org/officeDocument/2006/relationships/hyperlink" Target="https://workdrive.zoho.in/file/l7q148af9a438117e4d61b4ead99837d1e95b" TargetMode="External"/><Relationship Id="rId122" Type="http://schemas.openxmlformats.org/officeDocument/2006/relationships/hyperlink" Target="mailto:payments@indoorrestore.com" TargetMode="External"/><Relationship Id="rId123" Type="http://schemas.openxmlformats.org/officeDocument/2006/relationships/hyperlink" Target="https://crmplus.zoho.in/agent/zohocorp/zoho-workdrive-presales/requests/details/205219034285207691" TargetMode="External"/><Relationship Id="rId124" Type="http://schemas.openxmlformats.org/officeDocument/2006/relationships/hyperlink" Target="mailto:lvsakthibala@gmail.com" TargetMode="External"/><Relationship Id="rId125" Type="http://schemas.openxmlformats.org/officeDocument/2006/relationships/hyperlink" Target="https://crmplus.zoho.in/zohocorppace/index.do/cxapp/agent/zohocorp/zoho-workdrive-presales/requests/details/205219034277411194" TargetMode="External"/><Relationship Id="rId126" Type="http://schemas.openxmlformats.org/officeDocument/2006/relationships/hyperlink" Target="mailto:siva.kumar@ku.ac.ae" TargetMode="External"/><Relationship Id="rId127" Type="http://schemas.openxmlformats.org/officeDocument/2006/relationships/hyperlink" Target="mailto:sadiq@mellonsecureremit.com" TargetMode="External"/><Relationship Id="rId128" Type="http://schemas.openxmlformats.org/officeDocument/2006/relationships/hyperlink" Target="https://crmplus.zoho.in/zohocorppace/index.do/cxapp/agent/zohocorp/zoho-workdrive-presales/requests/details/205219034286406856/conversation" TargetMode="External"/><Relationship Id="rId129" Type="http://schemas.openxmlformats.org/officeDocument/2006/relationships/hyperlink" Target="mailto:oowoade@accionmfb.com" TargetMode="External"/><Relationship Id="rId130" Type="http://schemas.openxmlformats.org/officeDocument/2006/relationships/hyperlink" Target="https://crmplus.zoho.in/zohocorppace/index.do/cxapp/agent/zohocorp/zoho-workdrive-presales/requests/details/205219034246300839" TargetMode="External"/><Relationship Id="rId131" Type="http://schemas.openxmlformats.org/officeDocument/2006/relationships/hyperlink" Target="https://workdrive.zoho.in/file/6n2nq32686817acdf4b9ab28cd0bf686310f9" TargetMode="External"/><Relationship Id="rId132" Type="http://schemas.openxmlformats.org/officeDocument/2006/relationships/hyperlink" Target="mailto:laddhalic@gmail.com" TargetMode="External"/><Relationship Id="rId133" Type="http://schemas.openxmlformats.org/officeDocument/2006/relationships/hyperlink" Target="https://crmplus.zoho.in/zohocorppace/index.do/cxapp/agent/zohocorp/zoho-workdrive-presales/requests/details/205219034296135802" TargetMode="External"/><Relationship Id="rId134" Type="http://schemas.openxmlformats.org/officeDocument/2006/relationships/hyperlink" Target="https://crmplus.zoho.in/crm/onezoho/tab/CustomModule3/1034361026704955145" TargetMode="External"/><Relationship Id="rId135" Type="http://schemas.openxmlformats.org/officeDocument/2006/relationships/hyperlink" Target="https://workdrive.zoho.in/file/6n2nqacc4d980f96944868e40f6b3f1fdd199" TargetMode="External"/><Relationship Id="rId136" Type="http://schemas.openxmlformats.org/officeDocument/2006/relationships/hyperlink" Target="mailto:anil_baheti@yahoo.com" TargetMode="External"/><Relationship Id="rId137" Type="http://schemas.openxmlformats.org/officeDocument/2006/relationships/hyperlink" Target="https://crmplus.zoho.in/zohocorppace/index.do/cxapp/agent/zohocorp/zoho-workdrive-presales/requests/details/205219031552799850/conversation" TargetMode="External"/><Relationship Id="rId138" Type="http://schemas.openxmlformats.org/officeDocument/2006/relationships/hyperlink" Target="https://crmplus.zoho.in/crm/onezoho/tab/CustomModule3/1034361023221540525" TargetMode="External"/><Relationship Id="rId139" Type="http://schemas.openxmlformats.org/officeDocument/2006/relationships/hyperlink" Target="https://workdrive.zoho.in/file/sxt59a78d85db2972446aa16f714560addb8e" TargetMode="External"/><Relationship Id="rId140" Type="http://schemas.openxmlformats.org/officeDocument/2006/relationships/hyperlink" Target="mailto:ktejwani@jktco.com" TargetMode="External"/><Relationship Id="rId141" Type="http://schemas.openxmlformats.org/officeDocument/2006/relationships/hyperlink" Target="https://crmplus.zoho.com/agent/zohocorp/zoho-workdrive-presales/requests/details/4025505325368" TargetMode="External"/><Relationship Id="rId142" Type="http://schemas.openxmlformats.org/officeDocument/2006/relationships/hyperlink" Target="mailto:aalok.somani@emcure.com" TargetMode="External"/><Relationship Id="rId143" Type="http://schemas.openxmlformats.org/officeDocument/2006/relationships/hyperlink" Target="https://crmplus.zoho.in/zohocorppace/index.do/cxapp/agent/zohocorp/zoho-workdrive-presales/requests/details/205219033578918320" TargetMode="External"/><Relationship Id="rId144" Type="http://schemas.openxmlformats.org/officeDocument/2006/relationships/hyperlink" Target="mailto:jennifer.ocarroll@bluedropmedical.com" TargetMode="External"/><Relationship Id="rId145" Type="http://schemas.openxmlformats.org/officeDocument/2006/relationships/hyperlink" Target="https://crmplus.zoho.in/zohocorppace/index.do/cxapp/agent/zohocorp/zoho-workdrive-presales/requests/details/205219034298254971" TargetMode="External"/><Relationship Id="rId146" Type="http://schemas.openxmlformats.org/officeDocument/2006/relationships/hyperlink" Target="https://workdrive.zoho.in/file/hzp8jea25453a5cad416f83357caa829d4db9" TargetMode="External"/><Relationship Id="rId147" Type="http://schemas.openxmlformats.org/officeDocument/2006/relationships/hyperlink" Target="mailto:susheel.mishra@ymcindia.com" TargetMode="External"/><Relationship Id="rId148" Type="http://schemas.openxmlformats.org/officeDocument/2006/relationships/hyperlink" Target="https://crmplus.zoho.in/zohocorppace/index.do/cxapp/agent/zohocorp/zoho-workdrive-presales/requests/details/205219034292820737" TargetMode="External"/><Relationship Id="rId149" Type="http://schemas.openxmlformats.org/officeDocument/2006/relationships/hyperlink" Target="https://workdrive.zoho.in/file/eh15p45cb9889bb2c43fe8d9d18bcbafc66ff" TargetMode="External"/><Relationship Id="rId150" Type="http://schemas.openxmlformats.org/officeDocument/2006/relationships/hyperlink" Target="mailto:vyomus.in@gmail.com" TargetMode="External"/><Relationship Id="rId151" Type="http://schemas.openxmlformats.org/officeDocument/2006/relationships/hyperlink" Target="https://crmplus.zoho.in/zohocorppace/index.do/cxapp/agent/zohocorp/zoho-workdrive-presales/requests/details/205219034309312630" TargetMode="External"/><Relationship Id="rId152" Type="http://schemas.openxmlformats.org/officeDocument/2006/relationships/hyperlink" Target="mailto:anupj@crescatfinserv.com" TargetMode="External"/><Relationship Id="rId153" Type="http://schemas.openxmlformats.org/officeDocument/2006/relationships/hyperlink" Target="https://crmplus.zoho.in/zohocorppace/index.do/cxapp/agent/zohocorp/zoho-workdrive-presales/requests/details/205219034297310745" TargetMode="External"/><Relationship Id="rId154" Type="http://schemas.openxmlformats.org/officeDocument/2006/relationships/hyperlink" Target="mailto:wilson@maadtech.ai" TargetMode="External"/><Relationship Id="rId155" Type="http://schemas.openxmlformats.org/officeDocument/2006/relationships/hyperlink" Target="https://crmplus.zoho.in/zohocorppace/index.do/cxapp/agent/zohocorp/zoho-workdrive-presales/requests/details/205219034305545159" TargetMode="External"/><Relationship Id="rId156" Type="http://schemas.openxmlformats.org/officeDocument/2006/relationships/hyperlink" Target="mailto:operations@occusure.co.za" TargetMode="External"/><Relationship Id="rId157" Type="http://schemas.openxmlformats.org/officeDocument/2006/relationships/hyperlink" Target="https://crmplus.zoho.in/zohocorppace/index.do/cxapp/agent/zohocorp/zoho-workdrive-presales/requests/details/205219034320725325" TargetMode="External"/><Relationship Id="rId158" Type="http://schemas.openxmlformats.org/officeDocument/2006/relationships/hyperlink" Target="mailto:tal@trpig.co.za" TargetMode="External"/><Relationship Id="rId159" Type="http://schemas.openxmlformats.org/officeDocument/2006/relationships/hyperlink" Target="https://crmplus.zoho.in/agent/zohocorp/zoho-workdrive-presales/requests/details/205219034313653729" TargetMode="External"/><Relationship Id="rId160" Type="http://schemas.openxmlformats.org/officeDocument/2006/relationships/hyperlink" Target="https://workdrive.zoho.in/file/6cqxo566ca616e80f40a79a10e74cee7a4b37" TargetMode="External"/><Relationship Id="rId161" Type="http://schemas.openxmlformats.org/officeDocument/2006/relationships/hyperlink" Target="mailto:bilalnadeem1009@gmail.com" TargetMode="External"/><Relationship Id="rId162" Type="http://schemas.openxmlformats.org/officeDocument/2006/relationships/hyperlink" Target="https://crmplus.zoho.in/agent/zohocorp/zoho-workdrive-presales/requests/details/205219034307855289" TargetMode="External"/><Relationship Id="rId163" Type="http://schemas.openxmlformats.org/officeDocument/2006/relationships/hyperlink" Target="https://workdrive.zoho.in/file/6cqxo1a91b60442d1474d9307d978b1f30fb2" TargetMode="External"/><Relationship Id="rId164" Type="http://schemas.openxmlformats.org/officeDocument/2006/relationships/hyperlink" Target="mailto:magizhnirai.hr@hashira-fintech.com" TargetMode="External"/><Relationship Id="rId165" Type="http://schemas.openxmlformats.org/officeDocument/2006/relationships/hyperlink" Target="https://crmplus.zoho.in/zohocorppace/index.do/cxapp/agent/zohocorp/zoho-workdrive-presales/requests/details/205219030238744440" TargetMode="External"/><Relationship Id="rId166" Type="http://schemas.openxmlformats.org/officeDocument/2006/relationships/hyperlink" Target="https://crmplus.zoho.in/crm/onezoho/tab/CustomModule3/1034361026743852719" TargetMode="External"/><Relationship Id="rId167" Type="http://schemas.openxmlformats.org/officeDocument/2006/relationships/hyperlink" Target="https://workdrive.zoho.in/file/6cqxo44622471757047e4b7174ac8b5717246" TargetMode="External"/><Relationship Id="rId168" Type="http://schemas.openxmlformats.org/officeDocument/2006/relationships/hyperlink" Target="mailto:info@bhasinmotors.com" TargetMode="External"/><Relationship Id="rId169" Type="http://schemas.openxmlformats.org/officeDocument/2006/relationships/hyperlink" Target="https://crmplus.zoho.in/zohocorppace/index.do/cxapp/agent/zohocorp/zoho-workdrive-presales/requests/details/205219034345793152" TargetMode="External"/><Relationship Id="rId170" Type="http://schemas.openxmlformats.org/officeDocument/2006/relationships/hyperlink" Target="https://crmplus.zoho.in/crm/onezoho/tab/CustomModule3/1034361026752976733" TargetMode="External"/><Relationship Id="rId171" Type="http://schemas.openxmlformats.org/officeDocument/2006/relationships/hyperlink" Target="https://workdrive.zoho.in/file/eh15p1129e6c87f6048e58d4b906018a80d03" TargetMode="External"/><Relationship Id="rId172" Type="http://schemas.openxmlformats.org/officeDocument/2006/relationships/hyperlink" Target="mailto:quality@siex.sa" TargetMode="External"/><Relationship Id="rId173" Type="http://schemas.openxmlformats.org/officeDocument/2006/relationships/hyperlink" Target="https://crmplus.zoho.in/zohocorppace/index.do/cxapp/agent/zohocorp/zoho-workdrive-presales/requests/details/205219034337160305/conversation" TargetMode="External"/><Relationship Id="rId174" Type="http://schemas.openxmlformats.org/officeDocument/2006/relationships/hyperlink" Target="https://workdrive.zoho.in/file/5xofre0cf0e21251c471c8342927a709b3d2b" TargetMode="External"/><Relationship Id="rId175" Type="http://schemas.openxmlformats.org/officeDocument/2006/relationships/hyperlink" Target="mailto:warunrathi@gmail.com" TargetMode="External"/><Relationship Id="rId176" Type="http://schemas.openxmlformats.org/officeDocument/2006/relationships/hyperlink" Target="https://crmplus.zoho.in/zohocorppace/index.do/cxapp/agent/zohocorp/zoho-workdrive-presales/requests/details/205219034343264737" TargetMode="External"/><Relationship Id="rId177" Type="http://schemas.openxmlformats.org/officeDocument/2006/relationships/hyperlink" Target="https://workdrive.zoho.in/file/5xofrff02c0cf498d4ecdbd41abb96e0c16e5" TargetMode="External"/><Relationship Id="rId178" Type="http://schemas.openxmlformats.org/officeDocument/2006/relationships/hyperlink" Target="mailto:it@rsbconsultants.in" TargetMode="External"/><Relationship Id="rId179" Type="http://schemas.openxmlformats.org/officeDocument/2006/relationships/hyperlink" Target="https://crmplus.zoho.in/zohocorppace/index.do/cxapp/agent/zohocorp/zoho-workdrive-presales/requests/details/205219034364679726" TargetMode="External"/><Relationship Id="rId180" Type="http://schemas.openxmlformats.org/officeDocument/2006/relationships/hyperlink" Target="mailto:iam4lorunsho@gmail.com" TargetMode="External"/><Relationship Id="rId181" Type="http://schemas.openxmlformats.org/officeDocument/2006/relationships/hyperlink" Target="https://crmplus.zoho.in/zohocorppace/index.do/cxapp/agent/zohocorp/zoho-workdrive-presales/requests/details/205219034164459868" TargetMode="External"/><Relationship Id="rId182" Type="http://schemas.openxmlformats.org/officeDocument/2006/relationships/hyperlink" Target="mailto:omkarwalavalkar23@gmail.com" TargetMode="External"/><Relationship Id="rId183" Type="http://schemas.openxmlformats.org/officeDocument/2006/relationships/hyperlink" Target="https://crmplus.zoho.in/zohocorppace/index.do/cxapp/agent/zohocorp/zoho-workdrive-presales/requests/details/205219034347741988" TargetMode="External"/><Relationship Id="rId184" Type="http://schemas.openxmlformats.org/officeDocument/2006/relationships/hyperlink" Target="mailto:hr@sunrisenaturals.in" TargetMode="External"/><Relationship Id="rId185" Type="http://schemas.openxmlformats.org/officeDocument/2006/relationships/hyperlink" Target="https://crmplus.zoho.in/zohocorppace/index.do/cxapp/agent/zohocorp/zoho-workdrive-presales/requests/details/205219034198093132" TargetMode="External"/><Relationship Id="rId186" Type="http://schemas.openxmlformats.org/officeDocument/2006/relationships/hyperlink" Target="https://workdrive.zoho.in/file/vsxpw93057179859d4d00972c9eb24e0e0d56" TargetMode="External"/><Relationship Id="rId187" Type="http://schemas.openxmlformats.org/officeDocument/2006/relationships/hyperlink" Target="mailto:saloneevasistha99@gmail.com" TargetMode="External"/><Relationship Id="rId188" Type="http://schemas.openxmlformats.org/officeDocument/2006/relationships/hyperlink" Target="https://crmplus.zoho.in/zohocorppace/index.do/cxapp/agent/zohocorp/zoho-workdrive-presales/requests/details/205219034393142464" TargetMode="External"/><Relationship Id="rId189" Type="http://schemas.openxmlformats.org/officeDocument/2006/relationships/hyperlink" Target="https://workdrive.zoho.in/file/5au62336ef644518046c6aafa81b42db54b1a" TargetMode="External"/><Relationship Id="rId190" Type="http://schemas.openxmlformats.org/officeDocument/2006/relationships/hyperlink" Target="mailto:rohan@tartanhq.com" TargetMode="External"/><Relationship Id="rId191" Type="http://schemas.openxmlformats.org/officeDocument/2006/relationships/hyperlink" Target="https://crmplus.zoho.in/zohocorppace/index.do/cxapp/agent/zohocorp/zoho-workdrive-presales/requests/details/205219034394353518" TargetMode="External"/><Relationship Id="rId192" Type="http://schemas.openxmlformats.org/officeDocument/2006/relationships/hyperlink" Target="https://workdrive.zoho.in/file/kna4id64d5c1b5c164b03ac1e471e0d3b3b68" TargetMode="External"/><Relationship Id="rId193" Type="http://schemas.openxmlformats.org/officeDocument/2006/relationships/hyperlink" Target="mailto:head.it@sithltd.com" TargetMode="External"/><Relationship Id="rId194" Type="http://schemas.openxmlformats.org/officeDocument/2006/relationships/hyperlink" Target="https://crmplus.zoho.in/zohocorppace/index.do/cxapp/agent/zohocorp/zoho-workdrive-presales/requests/details/205219032763672882" TargetMode="External"/><Relationship Id="rId195" Type="http://schemas.openxmlformats.org/officeDocument/2006/relationships/hyperlink" Target="mailto:brendon@3dom.agency" TargetMode="External"/><Relationship Id="rId196" Type="http://schemas.openxmlformats.org/officeDocument/2006/relationships/hyperlink" Target="https://crmplus.zoho.in/zohocorppace/index.do/cxapp/agent/zohocorp/zoho-workdrive-presales/requests/details/205219034382571310" TargetMode="External"/><Relationship Id="rId197" Type="http://schemas.openxmlformats.org/officeDocument/2006/relationships/hyperlink" Target="https://workdrive.zoho.in/file/kna4i136c1f57d442463ea968779164fed329" TargetMode="External"/><Relationship Id="rId198" Type="http://schemas.openxmlformats.org/officeDocument/2006/relationships/hyperlink" Target="mailto:info@speculate.co.ke" TargetMode="External"/><Relationship Id="rId199" Type="http://schemas.openxmlformats.org/officeDocument/2006/relationships/hyperlink" Target="https://crmplus.zoho.in/agent/zohocorp/zoho-workdrive-presales/requests/details/205219032025481215" TargetMode="External"/><Relationship Id="rId200" Type="http://schemas.openxmlformats.org/officeDocument/2006/relationships/hyperlink" Target="https://workdrive.zoho.in/file/5pgkwaaef02c7adca486fadd5b5521027b553" TargetMode="External"/><Relationship Id="rId201" Type="http://schemas.openxmlformats.org/officeDocument/2006/relationships/hyperlink" Target="mailto:cs.rvsassociates@gmail.com" TargetMode="External"/><Relationship Id="rId202" Type="http://schemas.openxmlformats.org/officeDocument/2006/relationships/hyperlink" Target="https://crmplus.zoho.in/zohocorppace/index.do/cxapp/agent/zohocorp/zoho-workdrive-presales/requests/details/205219034098790494" TargetMode="External"/><Relationship Id="rId203" Type="http://schemas.openxmlformats.org/officeDocument/2006/relationships/hyperlink" Target="mailto:rajagopalana@csb.bank.in" TargetMode="External"/><Relationship Id="rId204" Type="http://schemas.openxmlformats.org/officeDocument/2006/relationships/hyperlink" Target="https://crmplus.zoho.in/zohocorppace/index.do/cxapp/agent/zohocorp/zoho-workdrive-presales/requests/details/205219034395505125/conversation" TargetMode="External"/><Relationship Id="rId205" Type="http://schemas.openxmlformats.org/officeDocument/2006/relationships/hyperlink" Target="https://workdrive.zoho.in/file/arhmqf2174664f39e4834acbbfa02489ab6b7" TargetMode="External"/><Relationship Id="rId206" Type="http://schemas.openxmlformats.org/officeDocument/2006/relationships/hyperlink" Target="mailto:geetha@success-alchemists.com" TargetMode="External"/><Relationship Id="rId207" Type="http://schemas.openxmlformats.org/officeDocument/2006/relationships/hyperlink" Target="https://crmplus.zoho.in/zohocorppace/index.do/cxapp/agent/zohocorp/zoho-workdrive-presales/requests/details/205219034013849940/conversation" TargetMode="External"/><Relationship Id="rId208" Type="http://schemas.openxmlformats.org/officeDocument/2006/relationships/hyperlink" Target="mailto:tyler.vanderwees@birchwood.ca" TargetMode="External"/><Relationship Id="rId209" Type="http://schemas.openxmlformats.org/officeDocument/2006/relationships/hyperlink" Target="https://crmplus.zoho.in/agent/zohocorp/zoho-workdrive-presales/requests/details/205219034403785473" TargetMode="External"/><Relationship Id="rId210" Type="http://schemas.openxmlformats.org/officeDocument/2006/relationships/hyperlink" Target="https://workdrive.zoho.in/file/uqmp18a6e0083fb9e4b12b95abd251929cce3" TargetMode="External"/><Relationship Id="rId211" Type="http://schemas.openxmlformats.org/officeDocument/2006/relationships/hyperlink" Target="mailto:reagan.perumal@starhealth.in" TargetMode="External"/><Relationship Id="rId212" Type="http://schemas.openxmlformats.org/officeDocument/2006/relationships/hyperlink" Target="https://crmplus.zoho.in/zohocorppace/index.do/cxapp/agent/zohocorp/zoho-workdrive-presales/requests/details/205219034280022718" TargetMode="External"/><Relationship Id="rId213" Type="http://schemas.openxmlformats.org/officeDocument/2006/relationships/hyperlink" Target="https://crmplus.zoho.in/crm/onezoho/tab/CustomModule3/1034361026848002751" TargetMode="External"/><Relationship Id="rId214" Type="http://schemas.openxmlformats.org/officeDocument/2006/relationships/hyperlink" Target="https://workdrive.zoho.in/file/zipcr046bc7f3e6ee4469a810780021348309" TargetMode="External"/><Relationship Id="rId215" Type="http://schemas.openxmlformats.org/officeDocument/2006/relationships/hyperlink" Target="mailto:ashrith.g@sonata-software.com" TargetMode="External"/><Relationship Id="rId216" Type="http://schemas.openxmlformats.org/officeDocument/2006/relationships/hyperlink" Target="https://crmplus.zoho.in/zohocorppace/index.do/cxapp/agent/zohocorp/zoho-workdrive-presales/requests/details/205219034400223555" TargetMode="External"/><Relationship Id="rId217" Type="http://schemas.openxmlformats.org/officeDocument/2006/relationships/hyperlink" Target="https://workdrive.zoho.in/file/bnmqhbe9eef87ef164840afcc7006d3debd5f" TargetMode="External"/><Relationship Id="rId218" Type="http://schemas.openxmlformats.org/officeDocument/2006/relationships/hyperlink" Target="mailto:geetha@success-alchemists.com" TargetMode="External"/><Relationship Id="rId219" Type="http://schemas.openxmlformats.org/officeDocument/2006/relationships/hyperlink" Target="https://crmplus.zoho.in/zohocorppace/index.do/cxapp/agent/zohocorp/zoho-workdrive-presales/requests/details/205219034013849940/conversation" TargetMode="External"/><Relationship Id="rId220" Type="http://schemas.openxmlformats.org/officeDocument/2006/relationships/hyperlink" Target="mailto:shrishti@saadaa.in" TargetMode="External"/><Relationship Id="rId221" Type="http://schemas.openxmlformats.org/officeDocument/2006/relationships/hyperlink" Target="https://crmplus.zoho.in/zohocorppace/index.do/cxapp/agent/zohocorp/zoho-workdrive-presales/requests/details/205219034413534654" TargetMode="External"/><Relationship Id="rId222" Type="http://schemas.openxmlformats.org/officeDocument/2006/relationships/hyperlink" Target="https://workdrive.zoho.in/file/s5oz3ee7b9a6d4c4d47959067d567173967f8" TargetMode="External"/><Relationship Id="rId223" Type="http://schemas.openxmlformats.org/officeDocument/2006/relationships/hyperlink" Target="mailto:fernandes.a.allan@gmail.com" TargetMode="External"/><Relationship Id="rId224" Type="http://schemas.openxmlformats.org/officeDocument/2006/relationships/hyperlink" Target="https://crmplus.zoho.in/zohocorppace/index.do/cxapp/agent/zohocorp/zoho-workdrive-presales/requests/details/205219031022699485" TargetMode="External"/><Relationship Id="rId225" Type="http://schemas.openxmlformats.org/officeDocument/2006/relationships/hyperlink" Target="mailto:jobs@shieldglobal.in" TargetMode="External"/><Relationship Id="rId226" Type="http://schemas.openxmlformats.org/officeDocument/2006/relationships/hyperlink" Target="https://crmplus.zoho.in/zohocorppace/index.do/cxapp/agent/zohocorp/zoho-workdrive-presales/requests/details/205219034349411519" TargetMode="External"/><Relationship Id="rId227" Type="http://schemas.openxmlformats.org/officeDocument/2006/relationships/hyperlink" Target="https://crmplus.zoho.in/crm/onezoho/tab/CustomModule3/1034361026851860462" TargetMode="External"/><Relationship Id="rId228" Type="http://schemas.openxmlformats.org/officeDocument/2006/relationships/hyperlink" Target="https://workdrive.zoho.in/file/61nm10bfa9f4c3fb6402d805f2870d301568c" TargetMode="External"/><Relationship Id="rId229" Type="http://schemas.openxmlformats.org/officeDocument/2006/relationships/hyperlink" Target="mailto:tyler.vanderwees@birchwood.ca" TargetMode="External"/><Relationship Id="rId230" Type="http://schemas.openxmlformats.org/officeDocument/2006/relationships/hyperlink" Target="https://crmplus.zoho.in/agent/zohocorp/zoho-workdrive-presales/requests/details/205219034403785473" TargetMode="External"/><Relationship Id="rId231" Type="http://schemas.openxmlformats.org/officeDocument/2006/relationships/hyperlink" Target="mailto:contact@skillsourceaustralia.com.au" TargetMode="External"/><Relationship Id="rId232" Type="http://schemas.openxmlformats.org/officeDocument/2006/relationships/hyperlink" Target="https://crmplus.zoho.in/zohocorppace/index.do/cxapp/agent/zohocorp/zoho-workdrive-presales/requests/details/205219034463250739" TargetMode="External"/><Relationship Id="rId233" Type="http://schemas.openxmlformats.org/officeDocument/2006/relationships/hyperlink" Target="mailto:myexpressiveself1@gmail.com" TargetMode="External"/><Relationship Id="rId234" Type="http://schemas.openxmlformats.org/officeDocument/2006/relationships/hyperlink" Target="https://crmplus.zoho.in/agent/zohocorp/zoho-workdrive-presales/requests/details/205219034432352648" TargetMode="External"/><Relationship Id="rId235" Type="http://schemas.openxmlformats.org/officeDocument/2006/relationships/hyperlink" Target="mailto:consult@agmassociates.co.in" TargetMode="External"/><Relationship Id="rId236" Type="http://schemas.openxmlformats.org/officeDocument/2006/relationships/hyperlink" Target="https://crmplus.zoho.in/zohocorppace/index.do/cxapp/agent/zohocorp/zoho-workdrive-presales/requests/details/205219034463880908" TargetMode="External"/><Relationship Id="rId237" Type="http://schemas.openxmlformats.org/officeDocument/2006/relationships/hyperlink" Target="https://workdrive.zoho.in/file/lekev9c9db9e4b35d43dca174ee7829263213" TargetMode="External"/><Relationship Id="rId238" Type="http://schemas.openxmlformats.org/officeDocument/2006/relationships/hyperlink" Target="mailto:jakerussell@experins.com" TargetMode="External"/><Relationship Id="rId239" Type="http://schemas.openxmlformats.org/officeDocument/2006/relationships/hyperlink" Target="https://crmplus.zoho.in/agent/zohocorp/zoho-workdrive-presales/requests/details/205219034468520000" TargetMode="External"/><Relationship Id="rId240" Type="http://schemas.openxmlformats.org/officeDocument/2006/relationships/hyperlink" Target="mailto:jns@computech1.com" TargetMode="External"/><Relationship Id="rId241" Type="http://schemas.openxmlformats.org/officeDocument/2006/relationships/hyperlink" Target="https://crmplus.zoho.in/agent/zohocorp/zoho-workdrive-presales/requests/details/205219034438295041" TargetMode="External"/><Relationship Id="rId242" Type="http://schemas.openxmlformats.org/officeDocument/2006/relationships/hyperlink" Target="https://workdrive.zoho.in/file/l7q148af9a438117e4d61b4ead99837d1e95b" TargetMode="External"/><Relationship Id="rId243" Type="http://schemas.openxmlformats.org/officeDocument/2006/relationships/hyperlink" Target="mailto:kr@zigmaads.com" TargetMode="External"/><Relationship Id="rId244" Type="http://schemas.openxmlformats.org/officeDocument/2006/relationships/hyperlink" Target="https://crmplus.zoho.in/agent/zohocorp/zoho-workdrive-presales/requests/details/205219033378708255" TargetMode="External"/><Relationship Id="rId245" Type="http://schemas.openxmlformats.org/officeDocument/2006/relationships/hyperlink" Target="mailto:ketaki@sunriseengg.co.in" TargetMode="External"/><Relationship Id="rId246" Type="http://schemas.openxmlformats.org/officeDocument/2006/relationships/hyperlink" Target="https://crmplus.zoho.in/zohocorppace/index.do/cxapp/agent/zohocorp/zoho-workdrive-presales/requests/details/205219034493864508" TargetMode="External"/><Relationship Id="rId247" Type="http://schemas.openxmlformats.org/officeDocument/2006/relationships/hyperlink" Target="https://workdrive.zoho.in/file/y78hu01867b999742413a9f06b02f7bb612e9" TargetMode="External"/><Relationship Id="rId248" Type="http://schemas.openxmlformats.org/officeDocument/2006/relationships/hyperlink" Target="mailto:shashank.sharma@khatabook.com" TargetMode="External"/><Relationship Id="rId249" Type="http://schemas.openxmlformats.org/officeDocument/2006/relationships/hyperlink" Target="https://crmplus.zoho.in/zohocorppace/index.do/cxapp/agent/zohocorp/zoho-workdrive-presales/requests/details/205219034460963453" TargetMode="External"/><Relationship Id="rId250" Type="http://schemas.openxmlformats.org/officeDocument/2006/relationships/hyperlink" Target="https://workdrive.zoho.in/file/9w9q5a4a667f627b144b5ac0d41fe378a1de2" TargetMode="External"/><Relationship Id="rId251" Type="http://schemas.openxmlformats.org/officeDocument/2006/relationships/hyperlink" Target="mailto:apurv6728@gmail.com" TargetMode="External"/><Relationship Id="rId252" Type="http://schemas.openxmlformats.org/officeDocument/2006/relationships/hyperlink" Target="https://crmplus.zoho.in/zohocorppace/index.do/cxapp/agent/zohocorp/zoho-workdrive-presales/requests/details/205219034488009363" TargetMode="External"/><Relationship Id="rId253" Type="http://schemas.openxmlformats.org/officeDocument/2006/relationships/hyperlink" Target="https://crmplus.zoho.in/crm/onezoho/tab/CustomModule3/1034361026930274102" TargetMode="External"/><Relationship Id="rId254" Type="http://schemas.openxmlformats.org/officeDocument/2006/relationships/hyperlink" Target="https://sprints.zoho.in/workspace/zdocs#P15/itemdetails/I8333" TargetMode="External"/><Relationship Id="rId255" Type="http://schemas.openxmlformats.org/officeDocument/2006/relationships/hyperlink" Target="mailto:avinash.tiwari@spandanasphoorty.com" TargetMode="External"/><Relationship Id="rId256" Type="http://schemas.openxmlformats.org/officeDocument/2006/relationships/hyperlink" Target="https://crmplus.zoho.in/zohocorppace/index.do/cxapp/agent/zohocorp/zoho-workdrive-presales/requests/details/205219034506309858" TargetMode="External"/><Relationship Id="rId257" Type="http://schemas.openxmlformats.org/officeDocument/2006/relationships/hyperlink" Target="mailto:jagadeesane@csb.bank.in" TargetMode="External"/><Relationship Id="rId258" Type="http://schemas.openxmlformats.org/officeDocument/2006/relationships/hyperlink" Target="https://crmplus.zoho.in/zohocorppace/index.do/cxapp/agent/zohocorp/zoho-workdrive-presales/requests/details/205219034501959652" TargetMode="External"/><Relationship Id="rId259" Type="http://schemas.openxmlformats.org/officeDocument/2006/relationships/hyperlink" Target="mailto:it.pampearlhospital@gmail.com" TargetMode="External"/><Relationship Id="rId260" Type="http://schemas.openxmlformats.org/officeDocument/2006/relationships/hyperlink" Target="https://crmplus.zoho.in/zohocorppace/index.do/cxapp/agent/zohocorp/zoho-workdrive-presales/requests/details/205219034441348010" TargetMode="External"/><Relationship Id="rId261" Type="http://schemas.openxmlformats.org/officeDocument/2006/relationships/hyperlink" Target="https://workdrive.zoho.in/file/k3vbk4a5d1c9ed4b3471689d24f7bc82d5fdc" TargetMode="External"/><Relationship Id="rId262" Type="http://schemas.openxmlformats.org/officeDocument/2006/relationships/hyperlink" Target="mailto:nikhil@anandpara.com" TargetMode="External"/><Relationship Id="rId263" Type="http://schemas.openxmlformats.org/officeDocument/2006/relationships/hyperlink" Target="https://crmplus.zoho.in/agent/zohocorp/zoho-workdrive-presales/requests/details/205219034504263557" TargetMode="External"/><Relationship Id="rId264" Type="http://schemas.openxmlformats.org/officeDocument/2006/relationships/hyperlink" Target="https://workdrive.zoho.in/file/k3vbk1859e4d3d6334880bf370e1acbdd3ce1" TargetMode="External"/></Relationships>
</file>

<file path=xl/worksheets/_rels/sheet7.xml.rels><?xml version="1.0" encoding="UTF-8" standalone="yes"?><Relationships xmlns="http://schemas.openxmlformats.org/package/2006/relationships"><Relationship Id="rId1" Type="http://schemas.openxmlformats.org/officeDocument/2006/relationships/hyperlink" Target="mailto:ease1@iba.org.in" TargetMode="External"/><Relationship Id="rId2" Type="http://schemas.openxmlformats.org/officeDocument/2006/relationships/hyperlink" Target="https://crmplus.zoho.in/zohocorppace/index.do/cxapp/agent/zohocorp/zoho-workdrive-presales/requests/details/205219034502311138" TargetMode="External"/><Relationship Id="rId3" Type="http://schemas.openxmlformats.org/officeDocument/2006/relationships/hyperlink" Target="mailto:sachin.mane1@godrejproperties.com" TargetMode="External"/><Relationship Id="rId4" Type="http://schemas.openxmlformats.org/officeDocument/2006/relationships/hyperlink" Target="https://crmplus.zoho.in/zohocorppace/index.do/cxapp/agent/zohocorp/zoho-workdrive-presales/requests/details/205219033495367230" TargetMode="External"/><Relationship Id="rId5" Type="http://schemas.openxmlformats.org/officeDocument/2006/relationships/hyperlink" Target="https://workdrive.zoho.in/file/ci0u6b44999cfbf844e6bbb2639fd7f539913" TargetMode="External"/><Relationship Id="rId6" Type="http://schemas.openxmlformats.org/officeDocument/2006/relationships/hyperlink" Target="mailto:gihan@infoconnect.com.au" TargetMode="External"/><Relationship Id="rId7" Type="http://schemas.openxmlformats.org/officeDocument/2006/relationships/hyperlink" Target="https://crmplus.zoho.in/zohocorppace/index.do/cxapp/agent/zohocorp/zoho-workdrive-presales/requests/details/205219034500106133" TargetMode="External"/><Relationship Id="rId8" Type="http://schemas.openxmlformats.org/officeDocument/2006/relationships/hyperlink" Target="https://crmplus.zoho.in/crm/onezoho/tab/CustomModule3/1034361026950639206" TargetMode="External"/><Relationship Id="rId9" Type="http://schemas.openxmlformats.org/officeDocument/2006/relationships/hyperlink" Target="https://workdrive.zoho.in/file/c6e77859b48881d8340758ad22dc776f66113" TargetMode="External"/><Relationship Id="rId10" Type="http://schemas.openxmlformats.org/officeDocument/2006/relationships/hyperlink" Target="mailto:fso@kits.co.ke" TargetMode="External"/><Relationship Id="rId11" Type="http://schemas.openxmlformats.org/officeDocument/2006/relationships/hyperlink" Target="https://crmplus.zoho.in/agent/zohocorp/zoho-workdrive-presales/requests/details/205219034522259391" TargetMode="External"/><Relationship Id="rId12" Type="http://schemas.openxmlformats.org/officeDocument/2006/relationships/hyperlink" Target="mailto:abhishek.30647@lpu.co.in" TargetMode="External"/><Relationship Id="rId13" Type="http://schemas.openxmlformats.org/officeDocument/2006/relationships/hyperlink" Target="https://crmplus.zoho.in/zohocorppace/index.do/cxapp/agent/zohocorp/zoho-workdrive-presales/requests/details/205219034531722629" TargetMode="External"/><Relationship Id="rId14" Type="http://schemas.openxmlformats.org/officeDocument/2006/relationships/hyperlink" Target="https://workdrive.zoho.in/file/2sb1i7fcde393bb6e411787a3fd1618dec302" TargetMode="External"/><Relationship Id="rId15" Type="http://schemas.openxmlformats.org/officeDocument/2006/relationships/hyperlink" Target="mailto:geetha@success-alchemists.com" TargetMode="External"/><Relationship Id="rId16" Type="http://schemas.openxmlformats.org/officeDocument/2006/relationships/hyperlink" Target="https://crmplus.zoho.in/zohocorppace/index.do/cxapp/agent/zohocorp/zoho-workdrive-presales/requests/details/205219034013849940/conversation" TargetMode="External"/><Relationship Id="rId17" Type="http://schemas.openxmlformats.org/officeDocument/2006/relationships/hyperlink" Target="mailto:senthilkumar.rs@starhealth.in" TargetMode="External"/><Relationship Id="rId18" Type="http://schemas.openxmlformats.org/officeDocument/2006/relationships/hyperlink" Target="https://crmplus.zoho.in/zohocorppace/index.do/cxapp/agent/zohocorp/zoho-workdrive-presales/requests/details/205219034280022718" TargetMode="External"/><Relationship Id="rId19" Type="http://schemas.openxmlformats.org/officeDocument/2006/relationships/hyperlink" Target="https://crmplus.zoho.in/crm/onezoho/tab/CustomModule3/1034361026937731241" TargetMode="External"/><Relationship Id="rId20" Type="http://schemas.openxmlformats.org/officeDocument/2006/relationships/hyperlink" Target="https://workdrive.zoho.in/file/mpa0af3f3b61627f241c2a0f6c287bd0c36cf" TargetMode="External"/><Relationship Id="rId21" Type="http://schemas.openxmlformats.org/officeDocument/2006/relationships/hyperlink" Target="mailto:sourabh.s@aquacorp.in" TargetMode="External"/><Relationship Id="rId22" Type="http://schemas.openxmlformats.org/officeDocument/2006/relationships/hyperlink" Target="https://crmplus.zoho.in/zohocorppace/index.do/cxapp/agent/zohocorp/zoho-workdrive-presales/requests/details/205219034509487034" TargetMode="External"/><Relationship Id="rId23" Type="http://schemas.openxmlformats.org/officeDocument/2006/relationships/hyperlink" Target="https://crmplus.zoho.in/crm/onezoho/tab/CustomModule3/1034361026945543433" TargetMode="External"/><Relationship Id="rId24" Type="http://schemas.openxmlformats.org/officeDocument/2006/relationships/hyperlink" Target="https://workdrive.zoho.in/file/l5qmoadb5c686fdfd424eb1af421f8e5d3226" TargetMode="External"/><Relationship Id="rId25" Type="http://schemas.openxmlformats.org/officeDocument/2006/relationships/hyperlink" Target="mailto:gopukumartydas@gmail.com" TargetMode="External"/><Relationship Id="rId26" Type="http://schemas.openxmlformats.org/officeDocument/2006/relationships/hyperlink" Target="https://crmplus.zoho.in/zohocorppace/index.do/cxapp/agent/zohocorp/zoho-workdrive-presales/requests/details/205219034517134431/conversation" TargetMode="External"/><Relationship Id="rId27" Type="http://schemas.openxmlformats.org/officeDocument/2006/relationships/hyperlink" Target="https://crmplus.zoho.in/crm/onezoho/tab/CustomModule3/1034361026945543534" TargetMode="External"/><Relationship Id="rId28" Type="http://schemas.openxmlformats.org/officeDocument/2006/relationships/hyperlink" Target="https://workdrive.zoho.in/file/l5qmo81c34bdd3fce41e2a624a2ffee27db87" TargetMode="External"/><Relationship Id="rId29" Type="http://schemas.openxmlformats.org/officeDocument/2006/relationships/hyperlink" Target="mailto:swati@avyentraconsulting.com" TargetMode="External"/><Relationship Id="rId30" Type="http://schemas.openxmlformats.org/officeDocument/2006/relationships/hyperlink" Target="https://crmplus.zoho.in/zohocorppace/index.do/cxapp/agent/zohocorp/zoho-workdrive-presales/requests/details/205219034292796766/conversation" TargetMode="External"/><Relationship Id="rId31" Type="http://schemas.openxmlformats.org/officeDocument/2006/relationships/hyperlink" Target="https://crmplus.zoho.in/crm/onezoho/tab/CustomModule3/1034361026945543630" TargetMode="External"/><Relationship Id="rId32" Type="http://schemas.openxmlformats.org/officeDocument/2006/relationships/hyperlink" Target="mailto:gmoperations@questxl.co.in" TargetMode="External"/><Relationship Id="rId33" Type="http://schemas.openxmlformats.org/officeDocument/2006/relationships/hyperlink" Target="https://crmplus.zoho.in/zohocorppace/index.do/cxapp/agent/zohocorp/zoho-workdrive-presales/requests/details/205219034532076558" TargetMode="External"/><Relationship Id="rId34" Type="http://schemas.openxmlformats.org/officeDocument/2006/relationships/hyperlink" Target="https://workdrive.zoho.in/file/mpa0a4b273d326f9148568e209f457625f6ee" TargetMode="External"/><Relationship Id="rId35" Type="http://schemas.openxmlformats.org/officeDocument/2006/relationships/hyperlink" Target="mailto:naveen.tyagi@shivnadarfoundation.org" TargetMode="External"/><Relationship Id="rId36" Type="http://schemas.openxmlformats.org/officeDocument/2006/relationships/hyperlink" Target="https://crmplus.zoho.in/zohocorppace/index.do/cxapp/agent/zohocorp/zoho-workdrive-presales/requests/details/205219030865432211" TargetMode="External"/><Relationship Id="rId37" Type="http://schemas.openxmlformats.org/officeDocument/2006/relationships/hyperlink" Target="https://workdrive.zoho.in/file/4zebga2d2e4c253ca4f12b21f573933aea27f" TargetMode="External"/><Relationship Id="rId38" Type="http://schemas.openxmlformats.org/officeDocument/2006/relationships/hyperlink" Target="mailto:researchscientist2@ucms.ac.in" TargetMode="External"/><Relationship Id="rId39" Type="http://schemas.openxmlformats.org/officeDocument/2006/relationships/hyperlink" Target="https://crmplus.zoho.in/zohocorppace/index.do/cxapp/agent/zohocorp/zoho-workdrive-presales/requests/details/205219034213895654" TargetMode="External"/><Relationship Id="rId40" Type="http://schemas.openxmlformats.org/officeDocument/2006/relationships/hyperlink" Target="mailto:santosh.mishra@knma.org" TargetMode="External"/><Relationship Id="rId41" Type="http://schemas.openxmlformats.org/officeDocument/2006/relationships/hyperlink" Target="https://crmplus.zoho.in/zohocorppace/index.do/cxapp/agent/zohocorp/zoho-workdrive-presales/requests/details/205219034539945920" TargetMode="External"/><Relationship Id="rId42" Type="http://schemas.openxmlformats.org/officeDocument/2006/relationships/hyperlink" Target="https://workdrive.zoho.in/file/4zebg8fbf86ec7cd148b1913efa51ee2f62e6" TargetMode="External"/><Relationship Id="rId43" Type="http://schemas.openxmlformats.org/officeDocument/2006/relationships/hyperlink" Target="mailto:rajeshk.k@indo-mim.com" TargetMode="External"/><Relationship Id="rId44" Type="http://schemas.openxmlformats.org/officeDocument/2006/relationships/hyperlink" Target="https://crmplus.zoho.in/zohocorppace/index.do/cxapp/agent/zohocorp/zoho-workdrive-presales/requests/details/205219034560294548" TargetMode="External"/><Relationship Id="rId45" Type="http://schemas.openxmlformats.org/officeDocument/2006/relationships/hyperlink" Target="https://workdrive.zoho.in/file/tgwh5e8dc74ad087e4d269e6b6878bebbc4a4" TargetMode="External"/><Relationship Id="rId46" Type="http://schemas.openxmlformats.org/officeDocument/2006/relationships/hyperlink" Target="mailto:hr@rudraum.com" TargetMode="External"/><Relationship Id="rId47" Type="http://schemas.openxmlformats.org/officeDocument/2006/relationships/hyperlink" Target="https://crmplus.zoho.in/zohocorppace/index.do/cxapp/agent/zohocorp/zoho-workdrive-presales/requests/details/205219034477063335" TargetMode="External"/><Relationship Id="rId48" Type="http://schemas.openxmlformats.org/officeDocument/2006/relationships/hyperlink" Target="https://workdrive.zoho.in/file/tgwh596d924337f9a41c2a9717caaa6f2ec0f" TargetMode="External"/><Relationship Id="rId49" Type="http://schemas.openxmlformats.org/officeDocument/2006/relationships/hyperlink" Target="mailto:caniralsaboo@srdhariwalco.in" TargetMode="External"/><Relationship Id="rId50" Type="http://schemas.openxmlformats.org/officeDocument/2006/relationships/hyperlink" Target="https://crmplus.zoho.in/zohocorppace/index.do/cxapp/agent/zohocorp/zoho-workdrive-presales/requests/details/205219034548112581" TargetMode="External"/><Relationship Id="rId51" Type="http://schemas.openxmlformats.org/officeDocument/2006/relationships/hyperlink" Target="mailto:dy.am@wingsaviation.in" TargetMode="External"/><Relationship Id="rId52" Type="http://schemas.openxmlformats.org/officeDocument/2006/relationships/hyperlink" Target="https://crmplus.zoho.in/zohocorppace/index.do/cxapp/agent/zohocorp/zoho-workdrive-presales/requests/details/205219034460316745/conversation" TargetMode="External"/><Relationship Id="rId53" Type="http://schemas.openxmlformats.org/officeDocument/2006/relationships/hyperlink" Target="https://workdrive.zoho.in/file/tgwh59a3fb6f4fdd048a0a42e6a312df7ed59" TargetMode="External"/><Relationship Id="rId54" Type="http://schemas.openxmlformats.org/officeDocument/2006/relationships/hyperlink" Target="mailto:ron@pergocentro.com" TargetMode="External"/><Relationship Id="rId55" Type="http://schemas.openxmlformats.org/officeDocument/2006/relationships/hyperlink" Target="https://crmplus.zoho.in/zohocorppace/index.do/cxapp/agent/zohocorp/zoho-workdrive-presales/requests/details/205219034569143682" TargetMode="External"/><Relationship Id="rId56" Type="http://schemas.openxmlformats.org/officeDocument/2006/relationships/hyperlink" Target="https://workdrive.zoho.in/file/tgwh59bd5072b2bfd479ea6a162444b6b0a52" TargetMode="External"/><Relationship Id="rId57" Type="http://schemas.openxmlformats.org/officeDocument/2006/relationships/hyperlink" Target="mailto:Karunakar.gubbala@allegiancehiring.com" TargetMode="External"/><Relationship Id="rId58" Type="http://schemas.openxmlformats.org/officeDocument/2006/relationships/hyperlink" Target="https://crmplus.zoho.in/agent/zohocorp/zoho-workdrive-presales/requests/details/205219034576400019" TargetMode="External"/><Relationship Id="rId59" Type="http://schemas.openxmlformats.org/officeDocument/2006/relationships/hyperlink" Target="https://workdrive.zoho.in/file/jbeipc8bc4efc5e564146a15dc10e801b28b3" TargetMode="External"/><Relationship Id="rId60" Type="http://schemas.openxmlformats.org/officeDocument/2006/relationships/hyperlink" Target="mailto:nibaldor@econobytes.cl" TargetMode="External"/><Relationship Id="rId61" Type="http://schemas.openxmlformats.org/officeDocument/2006/relationships/hyperlink" Target="https://crmplus.zoho.in/agent/zohocorp/zoho-workdrive-presales/requests/details/205219034586748609" TargetMode="External"/><Relationship Id="rId62" Type="http://schemas.openxmlformats.org/officeDocument/2006/relationships/hyperlink" Target="mailto:hr.strucrite1@gmail.com" TargetMode="External"/><Relationship Id="rId63" Type="http://schemas.openxmlformats.org/officeDocument/2006/relationships/hyperlink" Target="https://crmplus.zoho.in/agent/zohocorp/zoho-workdrive-presales/requests/details/205219034552457197" TargetMode="External"/><Relationship Id="rId64" Type="http://schemas.openxmlformats.org/officeDocument/2006/relationships/hyperlink" Target="https://workdrive.zoho.in/file/jbeip6c97582f10bb40a896bea82a3b9a81d7" TargetMode="External"/><Relationship Id="rId65" Type="http://schemas.openxmlformats.org/officeDocument/2006/relationships/hyperlink" Target="mailto:itdesk@goldsun.in" TargetMode="External"/><Relationship Id="rId66" Type="http://schemas.openxmlformats.org/officeDocument/2006/relationships/hyperlink" Target="https://crmplus.zoho.in/zohocorppace/index.do/cxapp/agent/zohocorp/zoho-workdrive-presales/requests/details/205219034545838176" TargetMode="External"/><Relationship Id="rId67" Type="http://schemas.openxmlformats.org/officeDocument/2006/relationships/hyperlink" Target="https://workdrive.zoho.in/file/bm4z5ef94d0abcfbc4ddd83fee8c0dbc4d5bb" TargetMode="External"/><Relationship Id="rId68" Type="http://schemas.openxmlformats.org/officeDocument/2006/relationships/hyperlink" Target="mailto:sharad_kothari@mckinsey.com" TargetMode="External"/><Relationship Id="rId69" Type="http://schemas.openxmlformats.org/officeDocument/2006/relationships/hyperlink" Target="https://crmplus.zoho.in/zohocorppace/index.do/cxapp/agent/zohocorp/zoho-workdrive-presales/requests/details/205219034567225916" TargetMode="External"/><Relationship Id="rId70" Type="http://schemas.openxmlformats.org/officeDocument/2006/relationships/hyperlink" Target="https://crmplus.zoho.in/crm/onezoho/tab/CustomModule3/1034361026982479232" TargetMode="External"/><Relationship Id="rId71" Type="http://schemas.openxmlformats.org/officeDocument/2006/relationships/hyperlink" Target="https://workdrive.zoho.in/file/bm4z5405990a230e44b25a460eff5009f3985" TargetMode="External"/><Relationship Id="rId72" Type="http://schemas.openxmlformats.org/officeDocument/2006/relationships/hyperlink" Target="mailto:sumankumar.jha@meilanparapower.com" TargetMode="External"/><Relationship Id="rId73" Type="http://schemas.openxmlformats.org/officeDocument/2006/relationships/hyperlink" Target="https://crmplus.zoho.in/zohocorppace/index.do/cxapp/agent/zohocorp/zoho-workdrive-presales/requests/details/205219034578407060/conversation" TargetMode="External"/><Relationship Id="rId74" Type="http://schemas.openxmlformats.org/officeDocument/2006/relationships/hyperlink" Target="https://crmplus.zoho.in/crm/onezoho/tab/CustomModule3/1034361026982479563" TargetMode="External"/><Relationship Id="rId75" Type="http://schemas.openxmlformats.org/officeDocument/2006/relationships/hyperlink" Target="https://workdrive.zoho.in/file/bm4z59975c87d8acc477cb96616ec5136ca84" TargetMode="External"/><Relationship Id="rId76" Type="http://schemas.openxmlformats.org/officeDocument/2006/relationships/hyperlink" Target="mailto:itsupport@rockwell.co.in" TargetMode="External"/><Relationship Id="rId77" Type="http://schemas.openxmlformats.org/officeDocument/2006/relationships/hyperlink" Target="https://crmplus.zoho.in/zohocorppace/index.do/cxapp/agent/zohocorp/zoho-workdrive-presales/requests/details/205219034609208187" TargetMode="External"/><Relationship Id="rId78" Type="http://schemas.openxmlformats.org/officeDocument/2006/relationships/hyperlink" Target="https://workdrive.zoho.in/file/tv3cgc32ff28b6be94d1a83aca5654aa54429" TargetMode="External"/><Relationship Id="rId79" Type="http://schemas.openxmlformats.org/officeDocument/2006/relationships/hyperlink" Target="mailto:riyaz@aglaccounts.ae" TargetMode="External"/><Relationship Id="rId80" Type="http://schemas.openxmlformats.org/officeDocument/2006/relationships/hyperlink" Target="https://crmplus.zoho.in/zohocorppace/index.do/cxapp/agent/zohocorp/zoho-workdrive-presales/requests/details/205219034552864275" TargetMode="External"/><Relationship Id="rId81" Type="http://schemas.openxmlformats.org/officeDocument/2006/relationships/hyperlink" Target="mailto:mansi.panchal@avsavla.com" TargetMode="External"/><Relationship Id="rId82" Type="http://schemas.openxmlformats.org/officeDocument/2006/relationships/hyperlink" Target="https://crmplus.zoho.in/zohocorppace/index.do/cxapp/agent/zohocorp/zoho-workdrive-presales/requests/details/205219034134721458" TargetMode="External"/><Relationship Id="rId83" Type="http://schemas.openxmlformats.org/officeDocument/2006/relationships/hyperlink" Target="mailto:deepika@srishigroup.com" TargetMode="External"/><Relationship Id="rId84" Type="http://schemas.openxmlformats.org/officeDocument/2006/relationships/hyperlink" Target="https://crmplus.zoho.in/zohocorppace/index.do/cxapp/agent/zohocorp/zoho-workdrive-presales/requests/details/205219034607465534" TargetMode="External"/><Relationship Id="rId85" Type="http://schemas.openxmlformats.org/officeDocument/2006/relationships/hyperlink" Target="https://crmplus.zoho.in/crm/onezoho/tab/CustomModule3/1034361027016947997" TargetMode="External"/><Relationship Id="rId86" Type="http://schemas.openxmlformats.org/officeDocument/2006/relationships/hyperlink" Target="https://workdrive.zoho.in/file/jw0cw7cd6d9c5968c4e1a870bc5357b55113a" TargetMode="External"/><Relationship Id="rId87" Type="http://schemas.openxmlformats.org/officeDocument/2006/relationships/hyperlink" Target="mailto:sales@fashion-identity.com" TargetMode="External"/><Relationship Id="rId88" Type="http://schemas.openxmlformats.org/officeDocument/2006/relationships/hyperlink" Target="https://crmplus.zoho.in/zohocorppace/index.do/cxapp/agent/zohocorp/zoho-workdrive-presales/requests/details/205219034607173885" TargetMode="External"/><Relationship Id="rId89" Type="http://schemas.openxmlformats.org/officeDocument/2006/relationships/hyperlink" Target="https://workdrive.zoho.in/file/9vjst68383e9fae7b46e884fae6269d77be92" TargetMode="External"/><Relationship Id="rId90" Type="http://schemas.openxmlformats.org/officeDocument/2006/relationships/hyperlink" Target="mailto:visal.kron@luxelitegroup.com" TargetMode="External"/><Relationship Id="rId91" Type="http://schemas.openxmlformats.org/officeDocument/2006/relationships/hyperlink" Target="https://crmplus.zoho.in/zohocorppace/index.do/cxapp/agent/zohocorp/zoho-workdrive-presales/requests/details/205219034593075635" TargetMode="External"/><Relationship Id="rId92" Type="http://schemas.openxmlformats.org/officeDocument/2006/relationships/hyperlink" Target="mailto:shankar@cnt.co.in" TargetMode="External"/><Relationship Id="rId93" Type="http://schemas.openxmlformats.org/officeDocument/2006/relationships/hyperlink" Target="https://crmplus.zoho.in/zohocorppace/index.do/cxapp/agent/zohocorp/zoho-workdrive-presales/requests/details/205219034599440467" TargetMode="External"/><Relationship Id="rId94" Type="http://schemas.openxmlformats.org/officeDocument/2006/relationships/hyperlink" Target="mailto:baldaniyanitesh2003@gmail.com" TargetMode="External"/><Relationship Id="rId95" Type="http://schemas.openxmlformats.org/officeDocument/2006/relationships/hyperlink" Target="https://crmplus.zoho.in/agent/zohocorp/zoho-workdrive-presales/requests/details/205219034531289696" TargetMode="External"/><Relationship Id="rId96" Type="http://schemas.openxmlformats.org/officeDocument/2006/relationships/hyperlink" Target="mailto:acc.hbhc@gmail.com" TargetMode="External"/><Relationship Id="rId97" Type="http://schemas.openxmlformats.org/officeDocument/2006/relationships/hyperlink" Target="https://crmplus.zoho.in/agent/zohocorp/zoho-workdrive-presales/requests/details/205219034626502073" TargetMode="External"/><Relationship Id="rId98" Type="http://schemas.openxmlformats.org/officeDocument/2006/relationships/hyperlink" Target="mailto:dev@jivamed.co.uk" TargetMode="External"/><Relationship Id="rId99" Type="http://schemas.openxmlformats.org/officeDocument/2006/relationships/hyperlink" Target="https://crmplus.zoho.in/agent/zohocorp/zoho-workdrive-presales/requests/details/205219034646146067" TargetMode="External"/><Relationship Id="rId100" Type="http://schemas.openxmlformats.org/officeDocument/2006/relationships/hyperlink" Target="https://workdrive.zoho.in/file/jbeipabd06c54f74a49f0ae755c8ffecabe60" TargetMode="External"/><Relationship Id="rId101" Type="http://schemas.openxmlformats.org/officeDocument/2006/relationships/hyperlink" Target="mailto:reggie.musonza@gmail.com" TargetMode="External"/><Relationship Id="rId102" Type="http://schemas.openxmlformats.org/officeDocument/2006/relationships/hyperlink" Target="https://crmplus.zoho.in/zohocorppace/index.do/cxapp/agent/zohocorp/zoho-workdrive-presales/requests/details/205219034494233036" TargetMode="External"/><Relationship Id="rId103" Type="http://schemas.openxmlformats.org/officeDocument/2006/relationships/hyperlink" Target="mailto:it.support3@plasmagen.in" TargetMode="External"/><Relationship Id="rId104" Type="http://schemas.openxmlformats.org/officeDocument/2006/relationships/hyperlink" Target="https://crmplus.zoho.in/zohocorppace/index.do/cxapp/agent/zohocorp/zoho-workdrive-presales/requests/details/205219034607592138" TargetMode="External"/><Relationship Id="rId105" Type="http://schemas.openxmlformats.org/officeDocument/2006/relationships/hyperlink" Target="https://workdrive.zoho.in/file/jbeip48a224afb4df40389ed65a5f9022fabd" TargetMode="External"/><Relationship Id="rId106" Type="http://schemas.openxmlformats.org/officeDocument/2006/relationships/hyperlink" Target="mailto:nishita.jain@basil.health" TargetMode="External"/><Relationship Id="rId107" Type="http://schemas.openxmlformats.org/officeDocument/2006/relationships/hyperlink" Target="https://crmplus.zoho.in/zohocorppace/index.do/cxapp/agent/zohocorp/zoho-workdrive-presales/requests/details/205219034625227480" TargetMode="External"/><Relationship Id="rId108" Type="http://schemas.openxmlformats.org/officeDocument/2006/relationships/hyperlink" Target="https://workdrive.zoho.in/file/fafjf1e2ae315f4dd47cc9cb585bb5cdfebda" TargetMode="External"/><Relationship Id="rId109" Type="http://schemas.openxmlformats.org/officeDocument/2006/relationships/hyperlink" Target="mailto:hr@zennerservices.com" TargetMode="External"/><Relationship Id="rId110" Type="http://schemas.openxmlformats.org/officeDocument/2006/relationships/hyperlink" Target="https://crmplus.zoho.in/zohocorppace/index.do/cxapp/agent/zohocorp/zoho-workdrive-presales/requests/details/205219034532887663/conversation" TargetMode="External"/><Relationship Id="rId111" Type="http://schemas.openxmlformats.org/officeDocument/2006/relationships/hyperlink" Target="https://crmplus.zoho.in/crm/onezoho/tab/CustomModule3/1034361027046724204" TargetMode="External"/><Relationship Id="rId112" Type="http://schemas.openxmlformats.org/officeDocument/2006/relationships/hyperlink" Target="https://workdrive.zoho.in/file/b3lp43d0b5b78b4694d52a37f83ffc5778483" TargetMode="External"/><Relationship Id="rId113" Type="http://schemas.openxmlformats.org/officeDocument/2006/relationships/hyperlink" Target="mailto:shopersupport4@jockeyindia.com" TargetMode="External"/><Relationship Id="rId114" Type="http://schemas.openxmlformats.org/officeDocument/2006/relationships/hyperlink" Target="mailto:venkateshwaran.rajendran@appasamy.com" TargetMode="External"/><Relationship Id="rId115" Type="http://schemas.openxmlformats.org/officeDocument/2006/relationships/hyperlink" Target="https://crmplus.zoho.in/zohocorppace/index.do/cxapp/agent/zohocorp/zoho-workdrive-presales/requests/details/205219034623795573" TargetMode="External"/><Relationship Id="rId116" Type="http://schemas.openxmlformats.org/officeDocument/2006/relationships/hyperlink" Target="mailto:susanngozi@yahoo.com" TargetMode="External"/><Relationship Id="rId117" Type="http://schemas.openxmlformats.org/officeDocument/2006/relationships/hyperlink" Target="https://crmplus.zoho.in/agent/zohocorp/zoho-workdrive-presales/requests/details/205219034599173552" TargetMode="External"/><Relationship Id="rId118" Type="http://schemas.openxmlformats.org/officeDocument/2006/relationships/hyperlink" Target="https://workdrive.zoho.in/file/2x1pod624f0f91dac44328a528478fe4856b0" TargetMode="External"/><Relationship Id="rId119" Type="http://schemas.openxmlformats.org/officeDocument/2006/relationships/hyperlink" Target="mailto:saurabh@rsgca.com" TargetMode="External"/><Relationship Id="rId120" Type="http://schemas.openxmlformats.org/officeDocument/2006/relationships/hyperlink" Target="https://crmplus.zoho.in/zohocorppace/index.do/cxapp/agent/zohocorp/zoho-workdrive-presales/requests/details/205219034623240903" TargetMode="External"/><Relationship Id="rId121" Type="http://schemas.openxmlformats.org/officeDocument/2006/relationships/hyperlink" Target="https://crmplus.zoho.in/crm/onezoho/tab/CustomModule3/1034361027057103373" TargetMode="External"/><Relationship Id="rId122" Type="http://schemas.openxmlformats.org/officeDocument/2006/relationships/hyperlink" Target="https://workdrive.zoho.in/file/gap9s4da3439c99b94045a194d736f8a0e13c" TargetMode="External"/><Relationship Id="rId123" Type="http://schemas.openxmlformats.org/officeDocument/2006/relationships/hyperlink" Target="mailto:rabia@raahconsultants.com" TargetMode="External"/><Relationship Id="rId124" Type="http://schemas.openxmlformats.org/officeDocument/2006/relationships/hyperlink" Target="https://crmplus.zoho.in/zohocorppace/index.do/cxapp/agent/zohocorp/zoho-workdrive-presales/requests/details/205219034660292935" TargetMode="External"/><Relationship Id="rId125" Type="http://schemas.openxmlformats.org/officeDocument/2006/relationships/hyperlink" Target="https://workdrive.zoho.in/file/bjt7eb3299a7e9b2e446c9c8f1661e11a3713" TargetMode="External"/><Relationship Id="rId126" Type="http://schemas.openxmlformats.org/officeDocument/2006/relationships/hyperlink" Target="mailto:suresh.murugesan@logix.in" TargetMode="External"/><Relationship Id="rId127" Type="http://schemas.openxmlformats.org/officeDocument/2006/relationships/hyperlink" Target="https://crmplus.zoho.in/zohocorppace/index.do/cxapp/agent/zohocorp/zoho-workdrive-presales/requests/details/205219034653454046" TargetMode="External"/><Relationship Id="rId128" Type="http://schemas.openxmlformats.org/officeDocument/2006/relationships/hyperlink" Target="mailto:itsupport@bagrrys.com" TargetMode="External"/><Relationship Id="rId129" Type="http://schemas.openxmlformats.org/officeDocument/2006/relationships/hyperlink" Target="https://crmplus.zoho.in/zohocorppace/index.do/cxapp/agent/zohocorp/zoho-workdrive-presales/requests/details/205219034654361659" TargetMode="External"/><Relationship Id="rId130" Type="http://schemas.openxmlformats.org/officeDocument/2006/relationships/hyperlink" Target="https://workdrive.zoho.in/file/bjt7e81bc0b0396404c788b149e63508b9ea2" TargetMode="External"/><Relationship Id="rId131" Type="http://schemas.openxmlformats.org/officeDocument/2006/relationships/hyperlink" Target="mailto:itcorchestly@zohomail.in" TargetMode="External"/><Relationship Id="rId132" Type="http://schemas.openxmlformats.org/officeDocument/2006/relationships/hyperlink" Target="https://crmplus.zoho.in/zohocorppace/index.do/cxapp/agent/zohocorp/zoho-workdrive-presales/requests/details/205219034678037391" TargetMode="External"/><Relationship Id="rId133" Type="http://schemas.openxmlformats.org/officeDocument/2006/relationships/hyperlink" Target="mailto:shashank.sharma@khatabook.com" TargetMode="External"/><Relationship Id="rId134" Type="http://schemas.openxmlformats.org/officeDocument/2006/relationships/hyperlink" Target="https://crmplus.zoho.in/zohocorppace/index.do/cxapp/agent/zohocorp/zoho-workdrive-presales/requests/details/205219034460963453" TargetMode="External"/><Relationship Id="rId135" Type="http://schemas.openxmlformats.org/officeDocument/2006/relationships/hyperlink" Target="mailto:ppule788@gmail.com" TargetMode="External"/><Relationship Id="rId136" Type="http://schemas.openxmlformats.org/officeDocument/2006/relationships/hyperlink" Target="https://crmplus.zoho.in/agent/zohocorp/zoho-workdrive-presales/requests/details/205219034663909601" TargetMode="External"/><Relationship Id="rId137" Type="http://schemas.openxmlformats.org/officeDocument/2006/relationships/hyperlink" Target="https://workdrive.zoho.in/file/2x1po7f4c48cba95b42a0bdc4dfa31bb284bc" TargetMode="External"/><Relationship Id="rId138" Type="http://schemas.openxmlformats.org/officeDocument/2006/relationships/hyperlink" Target="mailto:servicehod@eecindia.com" TargetMode="External"/><Relationship Id="rId139" Type="http://schemas.openxmlformats.org/officeDocument/2006/relationships/hyperlink" Target="https://crmplus.zoho.in/zohocorppace/index.do/cxapp/agent/zohocorp/zoho-workdrive-presales/requests/details/205219034673033974" TargetMode="External"/><Relationship Id="rId140" Type="http://schemas.openxmlformats.org/officeDocument/2006/relationships/hyperlink" Target="https://workdrive.zoho.in/file/2un6o79030e617ba74499a550891e9c1d8d34" TargetMode="External"/><Relationship Id="rId141" Type="http://schemas.openxmlformats.org/officeDocument/2006/relationships/hyperlink" Target="mailto:shankar@cnt.co.in" TargetMode="External"/><Relationship Id="rId142" Type="http://schemas.openxmlformats.org/officeDocument/2006/relationships/hyperlink" Target="https://workdrive.zoho.in/file/16tpref9038fa4c8a4e69b106b7ddea3c186a" TargetMode="External"/><Relationship Id="rId143" Type="http://schemas.openxmlformats.org/officeDocument/2006/relationships/hyperlink" Target="mailto:jeeva@pragansys.com" TargetMode="External"/><Relationship Id="rId144" Type="http://schemas.openxmlformats.org/officeDocument/2006/relationships/hyperlink" Target="https://crmplus.zoho.in/agent/zohocorp/zoho-workdrive-presales/requests/details/205219034636574829" TargetMode="External"/><Relationship Id="rId145" Type="http://schemas.openxmlformats.org/officeDocument/2006/relationships/hyperlink" Target="mailto:shaniahwanjiku9@gmail.com" TargetMode="External"/><Relationship Id="rId146" Type="http://schemas.openxmlformats.org/officeDocument/2006/relationships/hyperlink" Target="https://crmplus.zoho.in/zohocorppace/index.do/cxapp/agent/zohocorp/zoho-workdrive-presales/requests/details/205219034716089935" TargetMode="External"/><Relationship Id="rId147" Type="http://schemas.openxmlformats.org/officeDocument/2006/relationships/hyperlink" Target="https://workdrive.zoho.in/file/8sxm6461da8abbe274373bb924ab97d4b8589" TargetMode="External"/><Relationship Id="rId148" Type="http://schemas.openxmlformats.org/officeDocument/2006/relationships/hyperlink" Target="mailto:info@kelplanet.com" TargetMode="External"/><Relationship Id="rId149" Type="http://schemas.openxmlformats.org/officeDocument/2006/relationships/hyperlink" Target="https://crmplus.zoho.in/zohocorppace/index.do/cxapp/agent/zohocorp/zoho-workdrive-presales/requests/details/205219033619941320/conversation" TargetMode="External"/><Relationship Id="rId150" Type="http://schemas.openxmlformats.org/officeDocument/2006/relationships/hyperlink" Target="mailto:ease2@iba.org.in" TargetMode="External"/><Relationship Id="rId151" Type="http://schemas.openxmlformats.org/officeDocument/2006/relationships/hyperlink" Target="https://crmplus.zoho.in/zohocorppace/index.do/cxapp/agent/zohocorp/zoho-workdrive-presales/requests/details/205219034473042884" TargetMode="External"/><Relationship Id="rId152" Type="http://schemas.openxmlformats.org/officeDocument/2006/relationships/hyperlink" Target="https://crmplus.zoho.in/crm/onezoho/tab/CustomModule3/1034361027118198299" TargetMode="External"/><Relationship Id="rId153" Type="http://schemas.openxmlformats.org/officeDocument/2006/relationships/hyperlink" Target="https://workdrive.zoho.in/file/w3lhr0137dd0e3c9d4d87a4172e410d2249b1" TargetMode="External"/></Relationships>
</file>

<file path=xl/worksheets/_rels/sheet14.xml.rels><?xml version="1.0" encoding="UTF-8" standalone="yes"?><Relationships xmlns="http://schemas.openxmlformats.org/package/2006/relationships"><Relationship Id="rId1" Type="http://schemas.openxmlformats.org/officeDocument/2006/relationships/hyperlink" Target="https://crmplus.zoho.in/zohocorppace/index.do/cxapp/agent/zohocorp/zoho-workdrive-presales/requests/details/205219031371969770" TargetMode="External"/><Relationship Id="rId2" Type="http://schemas.openxmlformats.org/officeDocument/2006/relationships/hyperlink" Target="mailto:manimaran.g@eduvanta.ai" TargetMode="External"/><Relationship Id="rId3" Type="http://schemas.openxmlformats.org/officeDocument/2006/relationships/hyperlink" Target="https://crmplus.zoho.in/zohocorppace/index.do/cxapp/agent/zohocorp/zoho-workdrive-presales/requests/details/205219031426966802" TargetMode="External"/><Relationship Id="rId4" Type="http://schemas.openxmlformats.org/officeDocument/2006/relationships/hyperlink" Target="mailto:vinita.rajpal@castlewise.in" TargetMode="External"/><Relationship Id="rId5" Type="http://schemas.openxmlformats.org/officeDocument/2006/relationships/hyperlink" Target="https://crmplus.zoho.in/zohocorppace/index.do/cxapp/agent/zohocorp/zoho-workdrive-presales/requests/details/205219031467980418" TargetMode="External"/><Relationship Id="rId6" Type="http://schemas.openxmlformats.org/officeDocument/2006/relationships/hyperlink" Target="mailto:ibnetworkbrjn@gmail.com" TargetMode="External"/><Relationship Id="rId7" Type="http://schemas.openxmlformats.org/officeDocument/2006/relationships/hyperlink" Target="https://crmplus.zoho.in/zohocorppace/index.do/cxapp/agent/zohocorp/zoho-workdrive-presales/requests/details/205219031456048684" TargetMode="External"/><Relationship Id="rId8" Type="http://schemas.openxmlformats.org/officeDocument/2006/relationships/hyperlink" Target="mailto:akshay.dixit@sportzinteractive.net" TargetMode="External"/><Relationship Id="rId9" Type="http://schemas.openxmlformats.org/officeDocument/2006/relationships/hyperlink" Target="https://crmplus.zoho.in/zohocorppace/index.do/cxapp/agent/zohocorp/zoho-workdrive-presales/requests/details/205219031467750062" TargetMode="External"/><Relationship Id="rId10" Type="http://schemas.openxmlformats.org/officeDocument/2006/relationships/hyperlink" Target="mailto:tushar.takawale@gmail.com" TargetMode="External"/><Relationship Id="rId11" Type="http://schemas.openxmlformats.org/officeDocument/2006/relationships/hyperlink" Target="https://crmplus.zoho.in/zohocorppace/index.do/cxapp/agent/zohocorp/zoho-workdrive-presales/requests/details/205219031496007675" TargetMode="External"/><Relationship Id="rId12" Type="http://schemas.openxmlformats.org/officeDocument/2006/relationships/hyperlink" Target="mailto:ashishjain@pksurfacesystems.com" TargetMode="External"/><Relationship Id="rId13" Type="http://schemas.openxmlformats.org/officeDocument/2006/relationships/hyperlink" Target="https://crmplus.zoho.in/zohocorppace/index.do/cxapp/agent/zohocorp/zoho-workdrive-presales/requests/details/205219031345670171" TargetMode="External"/><Relationship Id="rId14" Type="http://schemas.openxmlformats.org/officeDocument/2006/relationships/hyperlink" Target="mailto:premchand4892@gmail.com" TargetMode="External"/><Relationship Id="rId15" Type="http://schemas.openxmlformats.org/officeDocument/2006/relationships/hyperlink" Target="https://crmplus.zoho.in/zohocorppace/index.do/cxapp/agent/zohocorp/zoho-workdrive-presales/requests/details/205219031484615825" TargetMode="External"/><Relationship Id="rId16" Type="http://schemas.openxmlformats.org/officeDocument/2006/relationships/hyperlink" Target="mailto:contact@theanant.in" TargetMode="External"/><Relationship Id="rId17" Type="http://schemas.openxmlformats.org/officeDocument/2006/relationships/hyperlink" Target="https://crmplus.zoho.in/zohocorppace/index.do/cxapp/agent/zohocorp/zoho-workdrive-presales/requests/details/205219031530908662" TargetMode="External"/><Relationship Id="rId18" Type="http://schemas.openxmlformats.org/officeDocument/2006/relationships/hyperlink" Target="mailto:d.viradiya@hotmail.com" TargetMode="External"/><Relationship Id="rId19" Type="http://schemas.openxmlformats.org/officeDocument/2006/relationships/hyperlink" Target="https://crmplus.zoho.in/zohocorppace/index.do/cxapp/agent/zohocorp/zoho-workdrive-presales/requests/details/205219031604679795" TargetMode="External"/><Relationship Id="rId20" Type="http://schemas.openxmlformats.org/officeDocument/2006/relationships/hyperlink" Target="mailto:wajeeh070@hotmail.com" TargetMode="External"/><Relationship Id="rId21" Type="http://schemas.openxmlformats.org/officeDocument/2006/relationships/hyperlink" Target="https://crmplus.zoho.in/zohocorppace/index.do/cxapp/agent/zohocorp/zoho-workdrive-presales/requests/details/205219031365228667" TargetMode="External"/><Relationship Id="rId22" Type="http://schemas.openxmlformats.org/officeDocument/2006/relationships/hyperlink" Target="mailto:myoonees@gmail.com" TargetMode="External"/><Relationship Id="rId23" Type="http://schemas.openxmlformats.org/officeDocument/2006/relationships/hyperlink" Target="https://crmplus.zoho.in/zohocorppace/index.do/cxapp/agent/zohocorp/zoho-workdrive-presales/requests/details/205219031658334032" TargetMode="External"/><Relationship Id="rId24" Type="http://schemas.openxmlformats.org/officeDocument/2006/relationships/hyperlink" Target="mailto:ankitjain.rma@gmail.com" TargetMode="External"/><Relationship Id="rId25" Type="http://schemas.openxmlformats.org/officeDocument/2006/relationships/hyperlink" Target="mailto:amittatrey@sysfuturetech.com" TargetMode="External"/><Relationship Id="rId26" Type="http://schemas.openxmlformats.org/officeDocument/2006/relationships/hyperlink" Target="https://crmplus.zoho.in/zohocorppace/index.do/cxapp/agent/zohocorp/zoho-workdrive-presales/requests/details/205219031710255237" TargetMode="External"/><Relationship Id="rId27" Type="http://schemas.openxmlformats.org/officeDocument/2006/relationships/hyperlink" Target="mailto:mumerijazdx136@gmail.com" TargetMode="External"/><Relationship Id="rId28" Type="http://schemas.openxmlformats.org/officeDocument/2006/relationships/hyperlink" Target="https://crmplus.zoho.in/zohocorppace/index.do/cxapp/agent/zohocorp/zoho-workdrive-presales/requests/details/205219031657632800" TargetMode="External"/><Relationship Id="rId29" Type="http://schemas.openxmlformats.org/officeDocument/2006/relationships/hyperlink" Target="mailto:mbourrieau@dartess.fr" TargetMode="External"/><Relationship Id="rId30" Type="http://schemas.openxmlformats.org/officeDocument/2006/relationships/hyperlink" Target="https://crmplus.zoho.in/zohocorppace/index.do/cxapp/agent/zohocorp/zoho-workdrive-presales/requests/details/205219031728039965" TargetMode="External"/><Relationship Id="rId31" Type="http://schemas.openxmlformats.org/officeDocument/2006/relationships/hyperlink" Target="mailto:aab.1958@live.com" TargetMode="External"/><Relationship Id="rId32" Type="http://schemas.openxmlformats.org/officeDocument/2006/relationships/hyperlink" Target="https://crmplus.zoho.in/zohocorppace/index.do/cxapp/agent/zohocorp/zoho-workdrive-presales/requests/details/205219031366359499" TargetMode="External"/><Relationship Id="rId33" Type="http://schemas.openxmlformats.org/officeDocument/2006/relationships/hyperlink" Target="mailto:digitalmarketer9838@gmail.com" TargetMode="External"/><Relationship Id="rId34" Type="http://schemas.openxmlformats.org/officeDocument/2006/relationships/hyperlink" Target="https://crmplus.zoho.in/zohocorppace/index.do/cxapp/agent/zohocorp/zoho-workdrive-presales/requests/details/205219031846880891" TargetMode="External"/><Relationship Id="rId35" Type="http://schemas.openxmlformats.org/officeDocument/2006/relationships/hyperlink" Target="mailto:customdesign970@gmail.com" TargetMode="External"/><Relationship Id="rId36" Type="http://schemas.openxmlformats.org/officeDocument/2006/relationships/hyperlink" Target="https://crmplus.zoho.in/zohocorppace/index.do/cxapp/agent/zohocorp/zoho-workdrive-presales/requests/details/205219031842893417" TargetMode="External"/><Relationship Id="rId37" Type="http://schemas.openxmlformats.org/officeDocument/2006/relationships/hyperlink" Target="mailto:shanku1973@gmail.com" TargetMode="External"/><Relationship Id="rId38" Type="http://schemas.openxmlformats.org/officeDocument/2006/relationships/hyperlink" Target="https://crmplus.zoho.in/zohocorppace/index.do/cxapp/agent/zohocorp/zoho-workdrive-presales/requests/details/205219031846894693" TargetMode="External"/><Relationship Id="rId39" Type="http://schemas.openxmlformats.org/officeDocument/2006/relationships/hyperlink" Target="mailto:wonderteam9@gmail.com" TargetMode="External"/><Relationship Id="rId40" Type="http://schemas.openxmlformats.org/officeDocument/2006/relationships/hyperlink" Target="https://crmplus.zoho.in/zohocorppace/index.do/cxapp/agent/zohocorp/zoho-workdrive-presales/requests/details/205219031895631122" TargetMode="External"/><Relationship Id="rId41" Type="http://schemas.openxmlformats.org/officeDocument/2006/relationships/hyperlink" Target="mailto:randhir@mpveneers.com" TargetMode="External"/><Relationship Id="rId42" Type="http://schemas.openxmlformats.org/officeDocument/2006/relationships/hyperlink" Target="https://crmplus.zoho.in/zohocorppace/index.do/cxapp/agent/zohocorp/zoho-workdrive-presales/requests/details/205219031886435641" TargetMode="External"/><Relationship Id="rId43" Type="http://schemas.openxmlformats.org/officeDocument/2006/relationships/hyperlink" Target="mailto:mailgaukalyan@gmail.com" TargetMode="External"/><Relationship Id="rId44" Type="http://schemas.openxmlformats.org/officeDocument/2006/relationships/hyperlink" Target="https://crmplus.zoho.in/zohocorppace/index.do/cxapp/agent/zohocorp/zoho-workdrive-presales/requests/details/205219031774505611" TargetMode="External"/><Relationship Id="rId45" Type="http://schemas.openxmlformats.org/officeDocument/2006/relationships/hyperlink" Target="mailto:vinayy3198@gmail.com" TargetMode="External"/><Relationship Id="rId46" Type="http://schemas.openxmlformats.org/officeDocument/2006/relationships/hyperlink" Target="https://crmplus.zoho.in/zohocorppace/index.do/cxapp/agent/zohocorp/zoho-workdrive-presales/requests/details/205219031991514203" TargetMode="External"/><Relationship Id="rId47" Type="http://schemas.openxmlformats.org/officeDocument/2006/relationships/hyperlink" Target="mailto:contact@ppcroy.com" TargetMode="External"/><Relationship Id="rId48" Type="http://schemas.openxmlformats.org/officeDocument/2006/relationships/hyperlink" Target="https://crmplus.zoho.in/zohocorppace/index.do/cxapp/agent/zohocorp/zoho-workdrive-presales/requests/details/205219031998858311" TargetMode="External"/><Relationship Id="rId49" Type="http://schemas.openxmlformats.org/officeDocument/2006/relationships/hyperlink" Target="mailto:bijud7474@gmail.com" TargetMode="External"/><Relationship Id="rId50" Type="http://schemas.openxmlformats.org/officeDocument/2006/relationships/hyperlink" Target="https://crmplus.zoho.in/zohocorppace/index.do/cxapp/agent/zohocorp/zoho-workdrive-presales/requests/details/205219032040765609" TargetMode="External"/><Relationship Id="rId51" Type="http://schemas.openxmlformats.org/officeDocument/2006/relationships/hyperlink" Target="mailto:jayakrishnamakani@gmail.com" TargetMode="External"/><Relationship Id="rId52" Type="http://schemas.openxmlformats.org/officeDocument/2006/relationships/hyperlink" Target="https://crmplus.zoho.in/zohocorppace/index.do/cxapp/agent/zohocorp/zoho-workdrive-presales/requests/details/205219032037366293" TargetMode="External"/><Relationship Id="rId53" Type="http://schemas.openxmlformats.org/officeDocument/2006/relationships/hyperlink" Target="mailto:admin@vmtlegal.com" TargetMode="External"/><Relationship Id="rId54" Type="http://schemas.openxmlformats.org/officeDocument/2006/relationships/hyperlink" Target="https://crmplus.zoho.in/zohocorppace/index.do/cxapp/agent/zohocorp/zoho-workdrive-presales/requests/details/205219032039885925" TargetMode="External"/><Relationship Id="rId55" Type="http://schemas.openxmlformats.org/officeDocument/2006/relationships/hyperlink" Target="mailto:vikasg@promisohealth.com" TargetMode="External"/><Relationship Id="rId56" Type="http://schemas.openxmlformats.org/officeDocument/2006/relationships/hyperlink" Target="https://crmplus.zoho.in/zohocorppace/index.do/cxapp/agent/zohocorp/zoho-workdrive-presales/requests/details/205219032082272298" TargetMode="External"/><Relationship Id="rId57" Type="http://schemas.openxmlformats.org/officeDocument/2006/relationships/hyperlink" Target="mailto:ankit@quixoticvacations.com" TargetMode="External"/><Relationship Id="rId58" Type="http://schemas.openxmlformats.org/officeDocument/2006/relationships/hyperlink" Target="https://crmplus.zoho.in/agent/zohocorp/zoho-workdrive-presales/requests/details/205219032069063149" TargetMode="External"/><Relationship Id="rId59" Type="http://schemas.openxmlformats.org/officeDocument/2006/relationships/hyperlink" Target="mailto:info.webavinash@gmail.com" TargetMode="External"/><Relationship Id="rId60" Type="http://schemas.openxmlformats.org/officeDocument/2006/relationships/hyperlink" Target="https://crmplus.zoho.in/agent/zohocorp/zoho-workdrive-presales/requests/details/205219031726511366" TargetMode="External"/><Relationship Id="rId61" Type="http://schemas.openxmlformats.org/officeDocument/2006/relationships/hyperlink" Target="mailto:development@veepeeonline.com" TargetMode="External"/><Relationship Id="rId62" Type="http://schemas.openxmlformats.org/officeDocument/2006/relationships/hyperlink" Target="https://crmplus.zoho.in/agent/zohocorp/zoho-workdrive-presales/requests/details/205219032116627824" TargetMode="External"/><Relationship Id="rId63" Type="http://schemas.openxmlformats.org/officeDocument/2006/relationships/hyperlink" Target="mailto:ashagummadi@asarapt.com" TargetMode="External"/><Relationship Id="rId64" Type="http://schemas.openxmlformats.org/officeDocument/2006/relationships/hyperlink" Target="https://crmplus.zoho.in/agent/zohocorp/zoho-workdrive-presales/requests/details/205219032155044727" TargetMode="External"/><Relationship Id="rId65" Type="http://schemas.openxmlformats.org/officeDocument/2006/relationships/hyperlink" Target="mailto:ys59157@gmail.com" TargetMode="External"/><Relationship Id="rId66" Type="http://schemas.openxmlformats.org/officeDocument/2006/relationships/hyperlink" Target="https://crmplus.zoho.in/zohocorppace/index.do/cxapp/agent/zohocorp/zoho-workdrive-presales/requests/details/205219031751790949" TargetMode="External"/><Relationship Id="rId67" Type="http://schemas.openxmlformats.org/officeDocument/2006/relationships/hyperlink" Target="mailto:csgsbhat@gmail.com" TargetMode="External"/><Relationship Id="rId68" Type="http://schemas.openxmlformats.org/officeDocument/2006/relationships/hyperlink" Target="https://crmplus.zoho.in/zohocorppace/index.do/cxapp/agent/zohocorp/zoho-workdrive-presales/requests/details/205219032133238626" TargetMode="External"/><Relationship Id="rId69" Type="http://schemas.openxmlformats.org/officeDocument/2006/relationships/hyperlink" Target="mailto:nazmul@esteaesthetichospital.com" TargetMode="External"/><Relationship Id="rId70" Type="http://schemas.openxmlformats.org/officeDocument/2006/relationships/hyperlink" Target="https://crmplus.zoho.in/agent/zohocorp/zoho-workdrive-presales/requests/details/205219032133238626" TargetMode="External"/><Relationship Id="rId71" Type="http://schemas.openxmlformats.org/officeDocument/2006/relationships/hyperlink" Target="mailto:nazmul@esteaesthetichospital.com" TargetMode="External"/><Relationship Id="rId72" Type="http://schemas.openxmlformats.org/officeDocument/2006/relationships/hyperlink" Target="https://crmplus.zoho.in/zohocorppace/index.do/cxapp/agent/zohocorp/zoho-workdrive-presales/requests/details/205219032133238626" TargetMode="External"/><Relationship Id="rId73" Type="http://schemas.openxmlformats.org/officeDocument/2006/relationships/hyperlink" Target="mailto:nazmul@esteaesthetichospital.com" TargetMode="External"/><Relationship Id="rId74" Type="http://schemas.openxmlformats.org/officeDocument/2006/relationships/hyperlink" Target="https://crmplus.zoho.in/zohocorppace/index.do/cxapp/agent/zohocorp/zoho-workdrive-presales/requests/details/205219032374152092" TargetMode="External"/><Relationship Id="rId75" Type="http://schemas.openxmlformats.org/officeDocument/2006/relationships/hyperlink" Target="mailto:designathover@gmail.com" TargetMode="External"/><Relationship Id="rId76" Type="http://schemas.openxmlformats.org/officeDocument/2006/relationships/hyperlink" Target="https://crmplus.zoho.in/zohocorppace/index.do/cxapp/agent/zohocorp/zoho-workdrive-presales/requests/details/205219032386540619" TargetMode="External"/><Relationship Id="rId77" Type="http://schemas.openxmlformats.org/officeDocument/2006/relationships/hyperlink" Target="mailto:info@labkarts.com" TargetMode="External"/><Relationship Id="rId78" Type="http://schemas.openxmlformats.org/officeDocument/2006/relationships/hyperlink" Target="https://crmplus.zoho.in/agent/zohocorp/zoho-workdrive-presales/requests/details/205219032240983967" TargetMode="External"/><Relationship Id="rId79" Type="http://schemas.openxmlformats.org/officeDocument/2006/relationships/hyperlink" Target="mailto:rams@ramcoca.in" TargetMode="External"/><Relationship Id="rId80" Type="http://schemas.openxmlformats.org/officeDocument/2006/relationships/hyperlink" Target="https://crmplus.zoho.in/zohocorppace/index.do/cxapp/agent/zohocorp/zoho-workdrive-presales/requests/details/205219032411375623" TargetMode="External"/><Relationship Id="rId81" Type="http://schemas.openxmlformats.org/officeDocument/2006/relationships/hyperlink" Target="mailto:networkadmin@treebo.in" TargetMode="External"/><Relationship Id="rId82" Type="http://schemas.openxmlformats.org/officeDocument/2006/relationships/hyperlink" Target="https://crmplus.zoho.in/zohocorppace/index.do/cxapp/agent/zohocorp/zoho-workdrive-presales/requests/details/205219032404697004" TargetMode="External"/><Relationship Id="rId83" Type="http://schemas.openxmlformats.org/officeDocument/2006/relationships/hyperlink" Target="mailto:sj@jainmail.in" TargetMode="External"/><Relationship Id="rId84" Type="http://schemas.openxmlformats.org/officeDocument/2006/relationships/hyperlink" Target="https://crmplus.zoho.in/agent/zohocorp/zoho-workdrive-presales/requests/details/205219032411338634" TargetMode="External"/><Relationship Id="rId85" Type="http://schemas.openxmlformats.org/officeDocument/2006/relationships/hyperlink" Target="mailto:thoratshivraj@gmail.com" TargetMode="External"/><Relationship Id="rId86" Type="http://schemas.openxmlformats.org/officeDocument/2006/relationships/hyperlink" Target="https://crmplus.zoho.in/agent/zohocorp/zoho-workdrive-presales/requests/details/205219032398858256" TargetMode="External"/><Relationship Id="rId87" Type="http://schemas.openxmlformats.org/officeDocument/2006/relationships/hyperlink" Target="mailto:ajaymsh1990@gmail.com" TargetMode="External"/><Relationship Id="rId88" Type="http://schemas.openxmlformats.org/officeDocument/2006/relationships/hyperlink" Target="https://crmplus.zoho.in/zohocorppace/index.do/cxapp/agent/zohocorp/zoho-workdrive-presales/requests/details/205219032435945720" TargetMode="External"/><Relationship Id="rId89" Type="http://schemas.openxmlformats.org/officeDocument/2006/relationships/hyperlink" Target="mailto:admin@bramhall1840.co.uk" TargetMode="External"/><Relationship Id="rId90" Type="http://schemas.openxmlformats.org/officeDocument/2006/relationships/hyperlink" Target="https://crmplus.zoho.in/zohocorppace/index.do/cxapp/agent/zohocorp/zoho-workdrive-presales/requests/details/205219032467888133" TargetMode="External"/><Relationship Id="rId91" Type="http://schemas.openxmlformats.org/officeDocument/2006/relationships/hyperlink" Target="mailto:gyan.prakash@trehaniris.com" TargetMode="External"/><Relationship Id="rId92" Type="http://schemas.openxmlformats.org/officeDocument/2006/relationships/hyperlink" Target="https://crmplus.zoho.in/zohocorppace/index.do/cxapp/agent/zohocorp/zoho-workdrive-presales/requests/details/205219032456999090" TargetMode="External"/><Relationship Id="rId93" Type="http://schemas.openxmlformats.org/officeDocument/2006/relationships/hyperlink" Target="mailto:support@whiteapple.co.in" TargetMode="External"/><Relationship Id="rId94" Type="http://schemas.openxmlformats.org/officeDocument/2006/relationships/hyperlink" Target="https://crmplus.zoho.in/zohocorppace/index.do/cxapp/agent/zohocorp/zoho-workdrive-presales/requests/details/205219032471189633" TargetMode="External"/><Relationship Id="rId95" Type="http://schemas.openxmlformats.org/officeDocument/2006/relationships/hyperlink" Target="mailto:premchandu.koribilli@klickdigitals.com" TargetMode="External"/><Relationship Id="rId96" Type="http://schemas.openxmlformats.org/officeDocument/2006/relationships/hyperlink" Target="https://crmplus.zoho.in/zohocorppace/index.do/cxapp/agent/zohocorp/zoho-workdrive-presales/requests/details/205219032502634876" TargetMode="External"/><Relationship Id="rId97" Type="http://schemas.openxmlformats.org/officeDocument/2006/relationships/hyperlink" Target="mailto:info@a1globaltraders.com" TargetMode="External"/><Relationship Id="rId98" Type="http://schemas.openxmlformats.org/officeDocument/2006/relationships/hyperlink" Target="https://crmplus.zoho.in/zohocorppace/index.do/cxapp/agent/zohocorp/zoho-workdrive-presales/requests/details/205219032477784109" TargetMode="External"/><Relationship Id="rId99" Type="http://schemas.openxmlformats.org/officeDocument/2006/relationships/hyperlink" Target="mailto:pragneshdhage@zohomail.in" TargetMode="External"/><Relationship Id="rId100" Type="http://schemas.openxmlformats.org/officeDocument/2006/relationships/hyperlink" Target="https://crmplus.zoho.in/zohocorppace/index.do/cxapp/agent/zohocorp/zoho-workdrive-presales/requests/details/205219032471804351" TargetMode="External"/><Relationship Id="rId101" Type="http://schemas.openxmlformats.org/officeDocument/2006/relationships/hyperlink" Target="mailto:avadhoot.more1@gmail.com" TargetMode="External"/><Relationship Id="rId102" Type="http://schemas.openxmlformats.org/officeDocument/2006/relationships/hyperlink" Target="https://crmplus.zoho.in/zohocorppace/index.do/cxapp/agent/zohocorp/zoho-workdrive-presales/requests/details/205219032443298371" TargetMode="External"/><Relationship Id="rId103" Type="http://schemas.openxmlformats.org/officeDocument/2006/relationships/hyperlink" Target="mailto:cwulf@cso.com" TargetMode="External"/><Relationship Id="rId104" Type="http://schemas.openxmlformats.org/officeDocument/2006/relationships/hyperlink" Target="https://crmplus.zoho.in/agent/zohocorp/zoho-workdrive-presales/requests/details/205219032411338634" TargetMode="External"/><Relationship Id="rId105" Type="http://schemas.openxmlformats.org/officeDocument/2006/relationships/hyperlink" Target="mailto:thoratshivraj@gmail.com" TargetMode="External"/><Relationship Id="rId106" Type="http://schemas.openxmlformats.org/officeDocument/2006/relationships/hyperlink" Target="https://crmplus.zoho.in/agent/zohocorp/zoho-workdrive-presales/requests/details/205219032502739140" TargetMode="External"/><Relationship Id="rId107" Type="http://schemas.openxmlformats.org/officeDocument/2006/relationships/hyperlink" Target="mailto:info.katamarifilms@gmail.com" TargetMode="External"/><Relationship Id="rId108" Type="http://schemas.openxmlformats.org/officeDocument/2006/relationships/hyperlink" Target="https://crmplus.zoho.in/zohocorppace/index.do/cxapp/agent/zohocorp/zoho-workdrive-presales/requests/details/205219032520214855" TargetMode="External"/><Relationship Id="rId109" Type="http://schemas.openxmlformats.org/officeDocument/2006/relationships/hyperlink" Target="mailto:camohammedyahiya@gmail.com" TargetMode="External"/><Relationship Id="rId110" Type="http://schemas.openxmlformats.org/officeDocument/2006/relationships/hyperlink" Target="https://crmplus.zoho.in/zohocorppace/index.do/cxapp/agent/zohocorp/zoho-workdrive-presales/requests/details/205219032503241403" TargetMode="External"/><Relationship Id="rId111" Type="http://schemas.openxmlformats.org/officeDocument/2006/relationships/hyperlink" Target="mailto:sahil.parikh@ralsonics.com" TargetMode="External"/><Relationship Id="rId112" Type="http://schemas.openxmlformats.org/officeDocument/2006/relationships/hyperlink" Target="https://crmplus.zoho.in/zohocorppace/index.do/cxapp/agent/zohocorp/zoho-workdrive-presales/requests/details/205219018079180375" TargetMode="External"/><Relationship Id="rId113" Type="http://schemas.openxmlformats.org/officeDocument/2006/relationships/hyperlink" Target="mailto:advabhishekbhagat@gmail.com" TargetMode="External"/><Relationship Id="rId114" Type="http://schemas.openxmlformats.org/officeDocument/2006/relationships/hyperlink" Target="https://crmplus.zoho.in/zohocorppace/index.do/cxapp/agent/zohocorp/zoho-workdrive-presales/requests/details/205219032523779168" TargetMode="External"/><Relationship Id="rId115" Type="http://schemas.openxmlformats.org/officeDocument/2006/relationships/hyperlink" Target="mailto:accountbrd1@croplifescience.com" TargetMode="External"/><Relationship Id="rId116" Type="http://schemas.openxmlformats.org/officeDocument/2006/relationships/hyperlink" Target="https://crmplus.zoho.in/zohocorppace/index.do/cxapp/agent/zohocorp/zoho-workdrive-presales/requests/details/205219032493422156" TargetMode="External"/><Relationship Id="rId117" Type="http://schemas.openxmlformats.org/officeDocument/2006/relationships/hyperlink" Target="mailto:adm@openconstrutora.com.br" TargetMode="External"/><Relationship Id="rId118" Type="http://schemas.openxmlformats.org/officeDocument/2006/relationships/hyperlink" Target="https://crmplus.zoho.in/zohocorppace/index.do/cxapp/agent/zohocorp/zoho-workdrive-presales/requests/details/205219032358044789" TargetMode="External"/><Relationship Id="rId119" Type="http://schemas.openxmlformats.org/officeDocument/2006/relationships/hyperlink" Target="mailto:caamritdeorah@gmail.com" TargetMode="External"/><Relationship Id="rId120" Type="http://schemas.openxmlformats.org/officeDocument/2006/relationships/hyperlink" Target="https://crmplus.zoho.in/zohocorppace/index.do/cxapp/agent/zohocorp/zoho-workdrive-presales/requests/details/205219031799458294" TargetMode="External"/><Relationship Id="rId121" Type="http://schemas.openxmlformats.org/officeDocument/2006/relationships/hyperlink" Target="mailto:m.j.prasadnani@gmail.com" TargetMode="External"/><Relationship Id="rId122" Type="http://schemas.openxmlformats.org/officeDocument/2006/relationships/hyperlink" Target="https://crmplus.zoho.in/zohocorppace/index.do/cxapp/agent/zohocorp/zoho-workdrive-presales/requests/details/205219032585335703" TargetMode="External"/><Relationship Id="rId123" Type="http://schemas.openxmlformats.org/officeDocument/2006/relationships/hyperlink" Target="mailto:ca.manthan@manthangandhi.com" TargetMode="External"/><Relationship Id="rId124" Type="http://schemas.openxmlformats.org/officeDocument/2006/relationships/hyperlink" Target="https://crmplus.zoho.in/zohocorppace/index.do/cxapp/agent/zohocorp/zoho-workdrive-presales/requests/details/205219032606470616" TargetMode="External"/><Relationship Id="rId125" Type="http://schemas.openxmlformats.org/officeDocument/2006/relationships/hyperlink" Target="mailto:ssbglobal03@gmail.com" TargetMode="External"/><Relationship Id="rId126" Type="http://schemas.openxmlformats.org/officeDocument/2006/relationships/hyperlink" Target="https://crmplus.zoho.in/zohocorppace/index.do/cxapp/agent/zohocorp/zoho-workdrive-presales/requests/details/205219032583827199" TargetMode="External"/><Relationship Id="rId127" Type="http://schemas.openxmlformats.org/officeDocument/2006/relationships/hyperlink" Target="mailto:abbabu@lorveninsurance.com" TargetMode="External"/><Relationship Id="rId128" Type="http://schemas.openxmlformats.org/officeDocument/2006/relationships/hyperlink" Target="https://crmplus.zoho.in/zohocorppace/index.do/cxapp/agent/zohocorp/zoho-workdrive-presales/requests/details/205219032499912244" TargetMode="External"/><Relationship Id="rId129" Type="http://schemas.openxmlformats.org/officeDocument/2006/relationships/hyperlink" Target="mailto:yahiya@wisdomind.in" TargetMode="External"/><Relationship Id="rId130" Type="http://schemas.openxmlformats.org/officeDocument/2006/relationships/hyperlink" Target="https://crmplus.zoho.in/zohocorppace/index.do/cxapp/agent/zohocorp/zoho-workdrive-presales/requests/details/205219032652547638" TargetMode="External"/><Relationship Id="rId131" Type="http://schemas.openxmlformats.org/officeDocument/2006/relationships/hyperlink" Target="mailto:darshana@vogelkopdesigns.com" TargetMode="External"/><Relationship Id="rId132" Type="http://schemas.openxmlformats.org/officeDocument/2006/relationships/hyperlink" Target="https://crmplus.zoho.in/zohocorppace/index.do/cxapp/agent/zohocorp/zoho-workdrive-presales/requests/details/205219032634864576" TargetMode="External"/><Relationship Id="rId133" Type="http://schemas.openxmlformats.org/officeDocument/2006/relationships/hyperlink" Target="mailto:tosin@flexsystemsltd.com" TargetMode="External"/><Relationship Id="rId134" Type="http://schemas.openxmlformats.org/officeDocument/2006/relationships/hyperlink" Target="https://crmplus.zoho.in/zohocorppace/index.do/cxapp/agent/zohocorp/zoho-workdrive-presales/requests/details/205219032713782021" TargetMode="External"/><Relationship Id="rId135" Type="http://schemas.openxmlformats.org/officeDocument/2006/relationships/hyperlink" Target="mailto:indbolt@gmail.com" TargetMode="External"/><Relationship Id="rId136" Type="http://schemas.openxmlformats.org/officeDocument/2006/relationships/hyperlink" Target="https://crmplus.zoho.in/zohocorppace/index.do/cxapp/agent/zohocorp/zoho-workdrive-presales/requests/details/205219032606470616" TargetMode="External"/><Relationship Id="rId137" Type="http://schemas.openxmlformats.org/officeDocument/2006/relationships/hyperlink" Target="mailto:ssbglobal03@gmail.com" TargetMode="External"/><Relationship Id="rId138" Type="http://schemas.openxmlformats.org/officeDocument/2006/relationships/hyperlink" Target="https://crmplus.zoho.in/zohocorppace/index.do/cxapp/agent/zohocorp/zoho-workdrive-presales/requests/details/205219032763183244" TargetMode="External"/><Relationship Id="rId139" Type="http://schemas.openxmlformats.org/officeDocument/2006/relationships/hyperlink" Target="mailto:moneshdembla@zohomail.in" TargetMode="External"/><Relationship Id="rId140" Type="http://schemas.openxmlformats.org/officeDocument/2006/relationships/hyperlink" Target="https://crmplus.zoho.in/zohocorppace/index.do/cxapp/agent/zohocorp/zoho-workdrive-presales/requests/details/205219032834354519" TargetMode="External"/><Relationship Id="rId141" Type="http://schemas.openxmlformats.org/officeDocument/2006/relationships/hyperlink" Target="mailto:infoteranovaspace026@gmail.com" TargetMode="External"/><Relationship Id="rId142" Type="http://schemas.openxmlformats.org/officeDocument/2006/relationships/hyperlink" Target="https://crmplus.zoho.in/zohocorppace/index.do/cxapp/agent/zohocorp/zoho-workdrive-presales/requests/details/205219032845810510" TargetMode="External"/><Relationship Id="rId143" Type="http://schemas.openxmlformats.org/officeDocument/2006/relationships/hyperlink" Target="mailto:rushit@superplast.in" TargetMode="External"/><Relationship Id="rId144" Type="http://schemas.openxmlformats.org/officeDocument/2006/relationships/hyperlink" Target="https://crmplus.zoho.in/zohocorppace/index.do/cxapp/agent/zohocorp/zoho-workdrive-presales/requests/details/205219032832101307" TargetMode="External"/><Relationship Id="rId145" Type="http://schemas.openxmlformats.org/officeDocument/2006/relationships/hyperlink" Target="mailto:jaks@fromcharlotte.com" TargetMode="External"/><Relationship Id="rId146" Type="http://schemas.openxmlformats.org/officeDocument/2006/relationships/hyperlink" Target="https://crmplus.zoho.in/zohocorppace/index.do/cxapp/agent/zohocorp/zoho-workdrive-presales/requests/details/205219032788874325" TargetMode="External"/><Relationship Id="rId147" Type="http://schemas.openxmlformats.org/officeDocument/2006/relationships/hyperlink" Target="mailto:udaykanadia@gmail.com" TargetMode="External"/><Relationship Id="rId148" Type="http://schemas.openxmlformats.org/officeDocument/2006/relationships/hyperlink" Target="https://crmplus.zoho.in/zohocorppace/index.do/cxapp/agent/zohocorp/zoho-workdrive-presales/requests/details/205219032970590782" TargetMode="External"/><Relationship Id="rId149" Type="http://schemas.openxmlformats.org/officeDocument/2006/relationships/hyperlink" Target="mailto:prashant.mishra5649@gmail.com" TargetMode="External"/><Relationship Id="rId150" Type="http://schemas.openxmlformats.org/officeDocument/2006/relationships/hyperlink" Target="https://crmplus.zoho.in/zohocorppace/index.do/cxapp/agent/zohocorp/zoho-workdrive-presales/requests/details/205219032979904411" TargetMode="External"/><Relationship Id="rId151" Type="http://schemas.openxmlformats.org/officeDocument/2006/relationships/hyperlink" Target="mailto:amoshputhiyattil@icloud.com" TargetMode="External"/><Relationship Id="rId152" Type="http://schemas.openxmlformats.org/officeDocument/2006/relationships/hyperlink" Target="https://crmplus.zoho.in/zohocorppace/index.do/cxapp/agent/zohocorp/zoho-workdrive-presales/requests/details/205219033019403850" TargetMode="External"/><Relationship Id="rId153" Type="http://schemas.openxmlformats.org/officeDocument/2006/relationships/hyperlink" Target="mailto:sagar.rai@sardindia.org" TargetMode="External"/><Relationship Id="rId154" Type="http://schemas.openxmlformats.org/officeDocument/2006/relationships/hyperlink" Target="mailto:accountsho1@drpl.in" TargetMode="External"/><Relationship Id="rId155" Type="http://schemas.openxmlformats.org/officeDocument/2006/relationships/hyperlink" Target="https://crmplus.zoho.in/zohocorppace/index.do/cxapp/agent/zohocorp/zoho-workdrive-presales/requests/details/205219032436458144" TargetMode="External"/><Relationship Id="rId156" Type="http://schemas.openxmlformats.org/officeDocument/2006/relationships/hyperlink" Target="mailto:abhishek@bhagatassociates.in" TargetMode="External"/><Relationship Id="rId157" Type="http://schemas.openxmlformats.org/officeDocument/2006/relationships/hyperlink" Target="https://crmplus.zoho.in/zohocorppace/index.do/cxapp/agent/zohocorp/zoho-workdrive-presales/requests/details/205219033022772934" TargetMode="External"/><Relationship Id="rId158" Type="http://schemas.openxmlformats.org/officeDocument/2006/relationships/hyperlink" Target="mailto:snehal.chapalgaonkar.2025@gmail.com" TargetMode="External"/><Relationship Id="rId159" Type="http://schemas.openxmlformats.org/officeDocument/2006/relationships/hyperlink" Target="https://crmplus.zoho.in/zohocorppace/index.do/cxapp/agent/zohocorp/zoho-workdrive-presales/requests/details/205219033043408791" TargetMode="External"/><Relationship Id="rId160" Type="http://schemas.openxmlformats.org/officeDocument/2006/relationships/hyperlink" Target="mailto:d.rudradevpatra@gmail.com" TargetMode="External"/><Relationship Id="rId161" Type="http://schemas.openxmlformats.org/officeDocument/2006/relationships/hyperlink" Target="https://crmplus.zoho.in/zohocorppace/index.do/cxapp/agent/zohocorp/zoho-workdrive-presales/requests/details/205219033022772934" TargetMode="External"/><Relationship Id="rId162" Type="http://schemas.openxmlformats.org/officeDocument/2006/relationships/hyperlink" Target="mailto:snehal.chapalgaonkar.2025@gmail.com" TargetMode="External"/><Relationship Id="rId163" Type="http://schemas.openxmlformats.org/officeDocument/2006/relationships/hyperlink" Target="https://crmplus.zoho.in/zohocorppace/index.do/cxapp/agent/zohocorp/zoho-workdrive-presales/requests/details/205219032964869363" TargetMode="External"/><Relationship Id="rId164" Type="http://schemas.openxmlformats.org/officeDocument/2006/relationships/hyperlink" Target="mailto:niranjan@nexonweb.com" TargetMode="External"/><Relationship Id="rId165" Type="http://schemas.openxmlformats.org/officeDocument/2006/relationships/hyperlink" Target="https://crmplus.zoho.in/zohocorppace/index.do/cxapp/agent/zohocorp/zoho-workdrive-presales/requests/details/205219033071342572" TargetMode="External"/><Relationship Id="rId166" Type="http://schemas.openxmlformats.org/officeDocument/2006/relationships/hyperlink" Target="mailto:princemittal2302@gmail.com" TargetMode="External"/><Relationship Id="rId167" Type="http://schemas.openxmlformats.org/officeDocument/2006/relationships/hyperlink" Target="https://crmplus.zoho.in/zohocorppace/index.do/cxapp/agent/zohocorp/zoho-workdrive-presales/requests/details/205219033087238145" TargetMode="External"/><Relationship Id="rId168" Type="http://schemas.openxmlformats.org/officeDocument/2006/relationships/hyperlink" Target="mailto:xlntprinthyd@gmail.com" TargetMode="External"/><Relationship Id="rId169" Type="http://schemas.openxmlformats.org/officeDocument/2006/relationships/hyperlink" Target="https://crmplus.zoho.in/zohocorppace/index.do/cxapp/agent/zohocorp/zoho-workdrive-presales/requests/details/205219033144341337" TargetMode="External"/><Relationship Id="rId170" Type="http://schemas.openxmlformats.org/officeDocument/2006/relationships/hyperlink" Target="mailto:phil@thepotionscauldron.com" TargetMode="External"/><Relationship Id="rId171" Type="http://schemas.openxmlformats.org/officeDocument/2006/relationships/hyperlink" Target="https://crmplus.zoho.in/zohocorppace/index.do/cxapp/agent/zohocorp/zoho-workdrive-presales/requests/details/205219033160190390" TargetMode="External"/><Relationship Id="rId172" Type="http://schemas.openxmlformats.org/officeDocument/2006/relationships/hyperlink" Target="mailto:xlntprinthyd@gmail.com" TargetMode="External"/><Relationship Id="rId173" Type="http://schemas.openxmlformats.org/officeDocument/2006/relationships/hyperlink" Target="https://crmplus.zoho.in/zohocorppace/index.do/cxapp/agent/zohocorp/zoho-workdrive-presales/requests/details/205219033210719389" TargetMode="External"/><Relationship Id="rId174" Type="http://schemas.openxmlformats.org/officeDocument/2006/relationships/hyperlink" Target="mailto:hr@scholarsfoundation.in" TargetMode="External"/><Relationship Id="rId175" Type="http://schemas.openxmlformats.org/officeDocument/2006/relationships/hyperlink" Target="https://crmplus.zoho.in/zohocorppace/index.do/cxapp/agent/zohocorp/zoho-workdrive-presales/requests/details/205219031582469823" TargetMode="External"/><Relationship Id="rId176" Type="http://schemas.openxmlformats.org/officeDocument/2006/relationships/hyperlink" Target="mailto:ali@emeraldenc.com" TargetMode="External"/><Relationship Id="rId177" Type="http://schemas.openxmlformats.org/officeDocument/2006/relationships/hyperlink" Target="https://crmplus.zoho.in/zohocorppace/index.do/cxapp/agent/zohocorp/zoho-workdrive-presales/requests/details/205219033227870994" TargetMode="External"/><Relationship Id="rId178" Type="http://schemas.openxmlformats.org/officeDocument/2006/relationships/hyperlink" Target="mailto:nhoudali@inovadex.com" TargetMode="External"/><Relationship Id="rId179" Type="http://schemas.openxmlformats.org/officeDocument/2006/relationships/hyperlink" Target="https://crmplus.zoho.in/zohocorppace/index.do/cxapp/agent/zohocorp/zoho-workdrive-presales/requests/details/205219033275951463" TargetMode="External"/><Relationship Id="rId180" Type="http://schemas.openxmlformats.org/officeDocument/2006/relationships/hyperlink" Target="mailto:neeraj.sharma@choicetechsystems.com" TargetMode="External"/><Relationship Id="rId181" Type="http://schemas.openxmlformats.org/officeDocument/2006/relationships/hyperlink" Target="https://crmplus.zoho.in/zohocorppace/index.do/cxapp/agent/zohocorp/zoho-workdrive-presales/requests/details/205219033298514153" TargetMode="External"/><Relationship Id="rId182" Type="http://schemas.openxmlformats.org/officeDocument/2006/relationships/hyperlink" Target="mailto:reachkarthikbijjam@gmail.com" TargetMode="External"/><Relationship Id="rId183" Type="http://schemas.openxmlformats.org/officeDocument/2006/relationships/hyperlink" Target="https://crmplus.zoho.in/zohocorppace/index.do/cxapp/agent/zohocorp/zoho-workdrive-presales/requests/details/205219033328905420" TargetMode="External"/><Relationship Id="rId184" Type="http://schemas.openxmlformats.org/officeDocument/2006/relationships/hyperlink" Target="mailto:srinivas@sanovipharmaceuticals.com" TargetMode="External"/><Relationship Id="rId185" Type="http://schemas.openxmlformats.org/officeDocument/2006/relationships/hyperlink" Target="https://crmplus.zoho.in/zohocorppace/index.do/cxapp/agent/zohocorp/zoho-workdrive-presales/requests/details/205219033426957629" TargetMode="External"/><Relationship Id="rId186" Type="http://schemas.openxmlformats.org/officeDocument/2006/relationships/hyperlink" Target="mailto:ashpuri07@gmail.com" TargetMode="External"/><Relationship Id="rId187" Type="http://schemas.openxmlformats.org/officeDocument/2006/relationships/hyperlink" Target="https://crmplus.zoho.in/zohocorppace/index.do/cxapp/agent/zohocorp/zoho-workdrive-presales/requests/details/205219033449690687" TargetMode="External"/><Relationship Id="rId188" Type="http://schemas.openxmlformats.org/officeDocument/2006/relationships/hyperlink" Target="mailto:sgarg@uorconsultants.com" TargetMode="External"/><Relationship Id="rId189" Type="http://schemas.openxmlformats.org/officeDocument/2006/relationships/hyperlink" Target="https://crmplus.zoho.in/zohocorppace/index.do/cxapp/agent/zohocorp/zoho-workdrive-presales/requests/details/205219033057765224" TargetMode="External"/><Relationship Id="rId190" Type="http://schemas.openxmlformats.org/officeDocument/2006/relationships/hyperlink" Target="mailto:siddharthbest@gmail.com" TargetMode="External"/><Relationship Id="rId191" Type="http://schemas.openxmlformats.org/officeDocument/2006/relationships/hyperlink" Target="https://help.zoho.eu/agent/zcorpeu/zoho-workdrive-presales/tickets/details/63904001565122935" TargetMode="External"/><Relationship Id="rId192" Type="http://schemas.openxmlformats.org/officeDocument/2006/relationships/hyperlink" Target="mailto:jean.hivert@szipm.com" TargetMode="External"/><Relationship Id="rId193" Type="http://schemas.openxmlformats.org/officeDocument/2006/relationships/hyperlink" Target="https://crmplus.zoho.in/zohocorppace/index.do/cxapp/agent/zohocorp/zoho-workdrive-presales/requests/details/205219033517236368" TargetMode="External"/><Relationship Id="rId194" Type="http://schemas.openxmlformats.org/officeDocument/2006/relationships/hyperlink" Target="mailto:nooralkaabi@fujairah.ae" TargetMode="External"/><Relationship Id="rId195" Type="http://schemas.openxmlformats.org/officeDocument/2006/relationships/hyperlink" Target="https://crmplus.zoho.in/zohocorppace/index.do/cxapp/agent/zohocorp/zoho-workdrive-presales/requests/details/205219033553287880" TargetMode="External"/><Relationship Id="rId196" Type="http://schemas.openxmlformats.org/officeDocument/2006/relationships/hyperlink" Target="mailto:devaamindustries@gmail.com" TargetMode="External"/><Relationship Id="rId197" Type="http://schemas.openxmlformats.org/officeDocument/2006/relationships/hyperlink" Target="https://crmplus.zoho.in/zohocorppace/index.do/cxapp/agent/zohocorp/zoho-workdrive-presales/requests/details/205219033588573478" TargetMode="External"/><Relationship Id="rId198" Type="http://schemas.openxmlformats.org/officeDocument/2006/relationships/hyperlink" Target="mailto:it@hydrisegroup.in" TargetMode="External"/><Relationship Id="rId199" Type="http://schemas.openxmlformats.org/officeDocument/2006/relationships/hyperlink" Target="https://crmplus.zoho.in/zohocorppace/index.do/cxapp/agent/zohocorp/zoho-workdrive-presales/requests/details/205219033602508012" TargetMode="External"/><Relationship Id="rId200" Type="http://schemas.openxmlformats.org/officeDocument/2006/relationships/hyperlink" Target="mailto:meetrps@gmail.com" TargetMode="External"/><Relationship Id="rId201" Type="http://schemas.openxmlformats.org/officeDocument/2006/relationships/hyperlink" Target="https://crmplus.zoho.in/zohocorppace/index.do/cxapp/agent/zohocorp/zoho-workdrive-presales/requests/details/205219033619941320" TargetMode="External"/><Relationship Id="rId202" Type="http://schemas.openxmlformats.org/officeDocument/2006/relationships/hyperlink" Target="mailto:info@kelplanet.com" TargetMode="External"/><Relationship Id="rId203" Type="http://schemas.openxmlformats.org/officeDocument/2006/relationships/hyperlink" Target="https://crmplus.zoho.in/zohocorppace/index.do/cxapp/agent/zohocorp/zoho-workdrive-presales/requests/details/205219030351712840" TargetMode="External"/><Relationship Id="rId204" Type="http://schemas.openxmlformats.org/officeDocument/2006/relationships/hyperlink" Target="mailto:jerry@easypayrolluk.co.uk" TargetMode="External"/><Relationship Id="rId205" Type="http://schemas.openxmlformats.org/officeDocument/2006/relationships/hyperlink" Target="https://crmplus.zoho.in/zohocorppace/index.do/cxapp/agent/zohocorp/zoho-workdrive-presales/requests/details/205219033823859229" TargetMode="External"/><Relationship Id="rId206" Type="http://schemas.openxmlformats.org/officeDocument/2006/relationships/hyperlink" Target="mailto:innovativesurgicalarts.kay@gmail.com" TargetMode="External"/><Relationship Id="rId207" Type="http://schemas.openxmlformats.org/officeDocument/2006/relationships/hyperlink" Target="https://crmplus.zoho.in/zohocorppace/index.do/cxapp/agent/zohocorp/zoho-workdrive-presales/requests/details/205219033495367230" TargetMode="External"/><Relationship Id="rId208" Type="http://schemas.openxmlformats.org/officeDocument/2006/relationships/hyperlink" Target="mailto:sachin.mane1@godrejproperties.com" TargetMode="External"/><Relationship Id="rId209" Type="http://schemas.openxmlformats.org/officeDocument/2006/relationships/hyperlink" Target="https://crmplus.zoho.in/zohocorppace/index.do/cxapp/agent/zohocorp/zoho-workdrive-presales/requests/details/205219032457301134" TargetMode="External"/><Relationship Id="rId210" Type="http://schemas.openxmlformats.org/officeDocument/2006/relationships/hyperlink" Target="mailto:rahuljha@4basecare.com" TargetMode="External"/><Relationship Id="rId211" Type="http://schemas.openxmlformats.org/officeDocument/2006/relationships/hyperlink" Target="https://crmplus.zoho.in/zohocorppace/index.do/cxapp/agent/zohocorp/zoho-workdrive-presales/requests/details/205219033845494350" TargetMode="External"/><Relationship Id="rId212" Type="http://schemas.openxmlformats.org/officeDocument/2006/relationships/hyperlink" Target="mailto:gkjs108@gmail.com" TargetMode="External"/><Relationship Id="rId213" Type="http://schemas.openxmlformats.org/officeDocument/2006/relationships/hyperlink" Target="https://crmplus.zoho.in/zohocorppace/index.do/cxapp/agent/zohocorp/zoho-workdrive-presales/requests/details/205219033899016914" TargetMode="External"/><Relationship Id="rId214" Type="http://schemas.openxmlformats.org/officeDocument/2006/relationships/hyperlink" Target="mailto:priya140619@gmail.com" TargetMode="External"/><Relationship Id="rId215" Type="http://schemas.openxmlformats.org/officeDocument/2006/relationships/hyperlink" Target="https://crmplus.zoho.in/zohocorppace/index.do/cxapp/agent/zohocorp/zoho-workdrive-presales/requests/details/205219033958821687" TargetMode="External"/><Relationship Id="rId216" Type="http://schemas.openxmlformats.org/officeDocument/2006/relationships/hyperlink" Target="https://crmplus.zoho.in/zohocorppace/index.do/cxapp/agent/zohocorp/zoho-workdrive-presales/requests/details/205219034014708249" TargetMode="External"/><Relationship Id="rId217" Type="http://schemas.openxmlformats.org/officeDocument/2006/relationships/hyperlink" Target="mailto:info@pitomehcs.com" TargetMode="External"/><Relationship Id="rId218" Type="http://schemas.openxmlformats.org/officeDocument/2006/relationships/hyperlink" Target="https://crmplus.zoho.in/zohocorppace/index.do/cxapp/agent/zohocorp/zoho-workdrive-presales/requests/details/205219034074148955" TargetMode="External"/><Relationship Id="rId219" Type="http://schemas.openxmlformats.org/officeDocument/2006/relationships/hyperlink" Target="mailto:it@avocado-catering.com" TargetMode="External"/><Relationship Id="rId220" Type="http://schemas.openxmlformats.org/officeDocument/2006/relationships/hyperlink" Target="https://crmplus.zoho.in/zohocorppace/index.do/cxapp/agent/zohocorp/zoho-workdrive-presales/requests/details/205219034101060525" TargetMode="External"/><Relationship Id="rId221" Type="http://schemas.openxmlformats.org/officeDocument/2006/relationships/hyperlink" Target="mailto:nandeesh@fintaxadvsiors.com" TargetMode="External"/><Relationship Id="rId222" Type="http://schemas.openxmlformats.org/officeDocument/2006/relationships/hyperlink" Target="https://crmplus.zoho.in/zohocorppace/index.do/cxapp/agent/zohocorp/zoho-workdrive-presales/requests/details/205219033805748660" TargetMode="External"/><Relationship Id="rId223" Type="http://schemas.openxmlformats.org/officeDocument/2006/relationships/hyperlink" Target="mailto:slncharitabletrust2024@gmail.com" TargetMode="External"/><Relationship Id="rId224" Type="http://schemas.openxmlformats.org/officeDocument/2006/relationships/hyperlink" Target="https://crmplus.zoho.in/zohocorppace/index.do/cxapp/agent/zohocorp/zoho-workdrive-presales/requests/details/205219034098495774" TargetMode="External"/><Relationship Id="rId225" Type="http://schemas.openxmlformats.org/officeDocument/2006/relationships/hyperlink" Target="mailto:dhaval@shreeswaminarayantourism.com" TargetMode="External"/><Relationship Id="rId226" Type="http://schemas.openxmlformats.org/officeDocument/2006/relationships/hyperlink" Target="https://crmplus.zoho.in/zohocorppace/index.do/cxapp/agent/zohocorp/zoho-workdrive-presales/requests/details/205219033858437676" TargetMode="External"/><Relationship Id="rId227" Type="http://schemas.openxmlformats.org/officeDocument/2006/relationships/hyperlink" Target="mailto:caarindam2012@gmail.com" TargetMode="External"/><Relationship Id="rId228" Type="http://schemas.openxmlformats.org/officeDocument/2006/relationships/hyperlink" Target="https://crmplus.zoho.in/zohocorppace/index.do/cxapp/agent/zohocorp/zoho-workdrive-presales/requests/details/205219034209238746" TargetMode="External"/><Relationship Id="rId229" Type="http://schemas.openxmlformats.org/officeDocument/2006/relationships/hyperlink" Target="mailto:sathiesh.contentpro@gmail.com" TargetMode="External"/><Relationship Id="rId230" Type="http://schemas.openxmlformats.org/officeDocument/2006/relationships/hyperlink" Target="https://crmplus.zoho.in/zohocorppace/index.do/cxapp/agent/zohocorp/zoho-workdrive-presales/requests/details/205219034211635961" TargetMode="External"/><Relationship Id="rId231" Type="http://schemas.openxmlformats.org/officeDocument/2006/relationships/hyperlink" Target="mailto:jatingupta98147@gmail.com" TargetMode="External"/><Relationship Id="rId232" Type="http://schemas.openxmlformats.org/officeDocument/2006/relationships/hyperlink" Target="https://crmplus.zoho.in/zohocorppace/index.do/cxapp/agent/zohocorp/zoho-workdrive-presales/requests/details/205219034213895654" TargetMode="External"/><Relationship Id="rId233" Type="http://schemas.openxmlformats.org/officeDocument/2006/relationships/hyperlink" Target="mailto:researchscientist2@ucms.ac.in" TargetMode="External"/><Relationship Id="rId234" Type="http://schemas.openxmlformats.org/officeDocument/2006/relationships/hyperlink" Target="https://crmplus.zoho.in/zohocorppace/index.do/cxapp/agent/zohocorp/zoho-workdrive-presales/requests/details/205219034264678588" TargetMode="External"/><Relationship Id="rId235" Type="http://schemas.openxmlformats.org/officeDocument/2006/relationships/hyperlink" Target="mailto:vinaynlbhat@gmail.com" TargetMode="External"/><Relationship Id="rId236" Type="http://schemas.openxmlformats.org/officeDocument/2006/relationships/hyperlink" Target="https://crmplus.zoho.in/zohocorppace/index.do/cxapp/agent/zohocorp/zoho-workdrive-presales/requests/details/205219034264678588" TargetMode="External"/><Relationship Id="rId237" Type="http://schemas.openxmlformats.org/officeDocument/2006/relationships/hyperlink" Target="mailto:sureshlongani2911@gmail.com" TargetMode="External"/><Relationship Id="rId238" Type="http://schemas.openxmlformats.org/officeDocument/2006/relationships/hyperlink" Target="https://crmplus.zoho.in/zohocorppace/index.do/cxapp/agent/zohocorp/zoho-workdrive-presales/requests/details/205219034239482221" TargetMode="External"/><Relationship Id="rId239" Type="http://schemas.openxmlformats.org/officeDocument/2006/relationships/hyperlink" Target="mailto:ravi.prakash@cieltextile.com" TargetMode="External"/><Relationship Id="rId240" Type="http://schemas.openxmlformats.org/officeDocument/2006/relationships/hyperlink" Target="https://crmplus.zoho.in/zohocorppace/index.do/cxapp/agent/zohocorp/zoho-workdrive-presales/requests/details/205219034282716935" TargetMode="External"/><Relationship Id="rId241" Type="http://schemas.openxmlformats.org/officeDocument/2006/relationships/hyperlink" Target="mailto:fcadanish@gmail.com" TargetMode="External"/><Relationship Id="rId242" Type="http://schemas.openxmlformats.org/officeDocument/2006/relationships/hyperlink" Target="https://crmplus.zoho.in/zohocorppace/index.do/cxapp/agent/zohocorp/zoho-workdrive-presales/requests/details/205219034283985351" TargetMode="External"/><Relationship Id="rId243" Type="http://schemas.openxmlformats.org/officeDocument/2006/relationships/hyperlink" Target="mailto:vmish7656@proton.me" TargetMode="External"/><Relationship Id="rId244" Type="http://schemas.openxmlformats.org/officeDocument/2006/relationships/hyperlink" Target="https://crmplus.zoho.in/zohocorppace/index.do/cxapp/agent/zohocorp/zoho-workdrive-presales/requests/details/205219034318467169" TargetMode="External"/><Relationship Id="rId245" Type="http://schemas.openxmlformats.org/officeDocument/2006/relationships/hyperlink" Target="mailto:afreen@almahadubai.com" TargetMode="External"/><Relationship Id="rId246" Type="http://schemas.openxmlformats.org/officeDocument/2006/relationships/hyperlink" Target="https://crmplus.zoho.in/zohocorppace/index.do/cxapp/agent/zohocorp/zoho-workdrive-presales/requests/details/205219034312239524" TargetMode="External"/><Relationship Id="rId247" Type="http://schemas.openxmlformats.org/officeDocument/2006/relationships/hyperlink" Target="mailto:tarun@neuailes.io" TargetMode="External"/><Relationship Id="rId248" Type="http://schemas.openxmlformats.org/officeDocument/2006/relationships/hyperlink" Target="https://crmplus.zoho.in/zohocorppace/index.do/cxapp/agent/zohocorp/zoho-workdrive-presales/requests/details/205219034209304431" TargetMode="External"/><Relationship Id="rId249" Type="http://schemas.openxmlformats.org/officeDocument/2006/relationships/hyperlink" Target="mailto:ansari.aiims@gmail.com" TargetMode="External"/><Relationship Id="rId250" Type="http://schemas.openxmlformats.org/officeDocument/2006/relationships/hyperlink" Target="https://crmplus.zoho.in/zohocorppace/index.do/cxapp/agent/zohocorp/zoho-workdrive-presales/requests/details/205219034387953132" TargetMode="External"/><Relationship Id="rId251" Type="http://schemas.openxmlformats.org/officeDocument/2006/relationships/hyperlink" Target="mailto:jrivera@dynamicfac.com" TargetMode="External"/><Relationship Id="rId252" Type="http://schemas.openxmlformats.org/officeDocument/2006/relationships/hyperlink" Target="https://crmplus.zoho.in/zohocorppace/index.do/cxapp/agent/zohocorp/zoho-workdrive-presales/requests/details/205219034427669277" TargetMode="External"/><Relationship Id="rId253" Type="http://schemas.openxmlformats.org/officeDocument/2006/relationships/hyperlink" Target="mailto:shademarjorh@gmail.com" TargetMode="External"/><Relationship Id="rId254" Type="http://schemas.openxmlformats.org/officeDocument/2006/relationships/hyperlink" Target="https://crmplus.zoho.in/zohocorppace/index.do/cxapp/agent/zohocorp/zoho-workdrive-presales/requests/details/205219034398494293" TargetMode="External"/><Relationship Id="rId255" Type="http://schemas.openxmlformats.org/officeDocument/2006/relationships/hyperlink" Target="mailto:cfo@tilgroup.co.in" TargetMode="External"/><Relationship Id="rId256" Type="http://schemas.openxmlformats.org/officeDocument/2006/relationships/hyperlink" Target="https://crmplus.zoho.in/zohocorppace/index.do/cxapp/agent/zohocorp/zoho-workdrive-presales/requests/details/205219034435247772" TargetMode="External"/><Relationship Id="rId257" Type="http://schemas.openxmlformats.org/officeDocument/2006/relationships/hyperlink" Target="mailto:sktasoft@gmail.com" TargetMode="External"/><Relationship Id="rId258" Type="http://schemas.openxmlformats.org/officeDocument/2006/relationships/hyperlink" Target="https://crmplus.zoho.in/zohocorppace/index.do/cxapp/agent/zohocorp/zoho-workdrive-presales/requests/details/205219034442370654" TargetMode="External"/><Relationship Id="rId259" Type="http://schemas.openxmlformats.org/officeDocument/2006/relationships/hyperlink" Target="mailto:himanshu@riverstoneevents.in" TargetMode="External"/><Relationship Id="rId260" Type="http://schemas.openxmlformats.org/officeDocument/2006/relationships/hyperlink" Target="https://crmplus.zoho.in/zohocorppace/index.do/cxapp/agent/zohocorp/zoho-workdrive-presales/requests/details/205219033038536976" TargetMode="External"/><Relationship Id="rId261" Type="http://schemas.openxmlformats.org/officeDocument/2006/relationships/hyperlink" Target="mailto:navjot2121@gmail.com" TargetMode="External"/><Relationship Id="rId262" Type="http://schemas.openxmlformats.org/officeDocument/2006/relationships/hyperlink" Target="https://crmplus.zoho.in/zohocorppace/index.do/cxapp/agent/zohocorp/zoho-workdrive-presales/requests/details/205219034430214395" TargetMode="External"/><Relationship Id="rId263" Type="http://schemas.openxmlformats.org/officeDocument/2006/relationships/hyperlink" Target="mailto:rmeher07@gmail.com" TargetMode="External"/><Relationship Id="rId264" Type="http://schemas.openxmlformats.org/officeDocument/2006/relationships/hyperlink" Target="https://crmplus.zoho.in/zohocorppace/index.do/cxapp/agent/zohocorp/zoho-workdrive-presales/requests/details/205219034445362820" TargetMode="External"/><Relationship Id="rId265" Type="http://schemas.openxmlformats.org/officeDocument/2006/relationships/hyperlink" Target="mailto:admin@snomindia.in" TargetMode="External"/><Relationship Id="rId266" Type="http://schemas.openxmlformats.org/officeDocument/2006/relationships/hyperlink" Target="https://crmplus.zoho.in/zohocorppace/index.do/cxapp/agent/zohocorp/zoho-workdrive-presales/requests/details/205219033038536976" TargetMode="External"/><Relationship Id="rId267" Type="http://schemas.openxmlformats.org/officeDocument/2006/relationships/hyperlink" Target="mailto:navjot2121@gmail.com" TargetMode="External"/><Relationship Id="rId268" Type="http://schemas.openxmlformats.org/officeDocument/2006/relationships/hyperlink" Target="https://crmplus.zoho.in/agent/zohocorp/zoho-workdrive-presales/requests/details/205219034494233036" TargetMode="External"/><Relationship Id="rId269" Type="http://schemas.openxmlformats.org/officeDocument/2006/relationships/hyperlink" Target="mailto:reggie@fileflow.co.za" TargetMode="External"/><Relationship Id="rId270" Type="http://schemas.openxmlformats.org/officeDocument/2006/relationships/hyperlink" Target="https://crmplus.zoho.in/agent/zohocorp/zoho-workdrive-presales/requests/details/205219034485407390" TargetMode="External"/><Relationship Id="rId271" Type="http://schemas.openxmlformats.org/officeDocument/2006/relationships/hyperlink" Target="mailto:jason.mate@bwjonesgrp.com" TargetMode="External"/><Relationship Id="rId272" Type="http://schemas.openxmlformats.org/officeDocument/2006/relationships/hyperlink" Target="https://crmplus.zoho.in/agent/zohocorp/zoho-workdrive-presales/requests/details/205219034478946895" TargetMode="External"/><Relationship Id="rId273" Type="http://schemas.openxmlformats.org/officeDocument/2006/relationships/hyperlink" Target="mailto:neelu@trufrost.com" TargetMode="External"/><Relationship Id="rId274" Type="http://schemas.openxmlformats.org/officeDocument/2006/relationships/hyperlink" Target="https://crmplus.zoho.in/agent/zohocorp/zoho-workdrive-presales/requests/details/205219034477063335" TargetMode="External"/><Relationship Id="rId275" Type="http://schemas.openxmlformats.org/officeDocument/2006/relationships/hyperlink" Target="mailto:hr@rudraum.com" TargetMode="External"/><Relationship Id="rId276" Type="http://schemas.openxmlformats.org/officeDocument/2006/relationships/hyperlink" Target="https://crmplus.zoho.in/agent/zohocorp/zoho-workdrive-presales/requests/details/205219034474655193" TargetMode="External"/><Relationship Id="rId277" Type="http://schemas.openxmlformats.org/officeDocument/2006/relationships/hyperlink" Target="mailto:ease1@iba.org.in" TargetMode="External"/><Relationship Id="rId278" Type="http://schemas.openxmlformats.org/officeDocument/2006/relationships/hyperlink" Target="https://crmplus.zoho.in/zohocorppace/index.do/cxapp/agent/zohocorp/zoho-workdrive-presales/requests/details/205219034517685410" TargetMode="External"/><Relationship Id="rId279" Type="http://schemas.openxmlformats.org/officeDocument/2006/relationships/hyperlink" Target="mailto:capareek194@gmail.com" TargetMode="External"/><Relationship Id="rId280" Type="http://schemas.openxmlformats.org/officeDocument/2006/relationships/hyperlink" Target="https://crmplus.zoho.in/zohocorppace/index.do/cxapp/agent/zohocorp/zoho-workdrive-presales/requests/details/205219034531289696" TargetMode="External"/><Relationship Id="rId281" Type="http://schemas.openxmlformats.org/officeDocument/2006/relationships/hyperlink" Target="mailto:baldaniyanitesh2003@gmail.com" TargetMode="External"/><Relationship Id="rId282" Type="http://schemas.openxmlformats.org/officeDocument/2006/relationships/hyperlink" Target="https://crmplus.zoho.in/zohocorppace/index.do/cxapp/agent/zohocorp/zoho-workdrive-presales/requests/details/205219034101527584" TargetMode="External"/><Relationship Id="rId283" Type="http://schemas.openxmlformats.org/officeDocument/2006/relationships/hyperlink" Target="mailto:niralsd@gmail.com" TargetMode="External"/><Relationship Id="rId284" Type="http://schemas.openxmlformats.org/officeDocument/2006/relationships/hyperlink" Target="https://crmplus.zoho.in/zohocorppace/index.do/cxapp/agent/zohocorp/zoho-workdrive-presales/requests/details/205219034536171532" TargetMode="External"/><Relationship Id="rId285" Type="http://schemas.openxmlformats.org/officeDocument/2006/relationships/hyperlink" Target="mailto:office@blusolutions.co.za" TargetMode="External"/><Relationship Id="rId286" Type="http://schemas.openxmlformats.org/officeDocument/2006/relationships/hyperlink" Target="https://crmplus.zoho.in/zohocorppace/index.do/cxapp/agent/zohocorp/zoho-workdrive-presales/requests/details/205219034555811694" TargetMode="External"/><Relationship Id="rId287" Type="http://schemas.openxmlformats.org/officeDocument/2006/relationships/hyperlink" Target="mailto:whabovick@insightsurveys.com" TargetMode="External"/><Relationship Id="rId288" Type="http://schemas.openxmlformats.org/officeDocument/2006/relationships/hyperlink" Target="https://crmplus.zoho.in/zohocorppace/index.do/cxapp/agent/zohocorp/zoho-workdrive-presales/requests/details/205219034562688859" TargetMode="External"/><Relationship Id="rId289" Type="http://schemas.openxmlformats.org/officeDocument/2006/relationships/hyperlink" Target="mailto:sowmya@beyondappliances.in" TargetMode="External"/><Relationship Id="rId290" Type="http://schemas.openxmlformats.org/officeDocument/2006/relationships/hyperlink" Target="https://crmplus.zoho.in/zohocorppace/index.do/cxapp/agent/zohocorp/zoho-workdrive-presales/requests/details/205219034568359117" TargetMode="External"/><Relationship Id="rId291" Type="http://schemas.openxmlformats.org/officeDocument/2006/relationships/hyperlink" Target="mailto:v.moudgil@sjvn.nic.in" TargetMode="External"/><Relationship Id="rId292" Type="http://schemas.openxmlformats.org/officeDocument/2006/relationships/hyperlink" Target="https://crmplus.zoho.in/zohocorppace/index.do/cxapp/agent/zohocorp/zoho-workdrive-presales/requests/details/205219034383195825" TargetMode="External"/><Relationship Id="rId293" Type="http://schemas.openxmlformats.org/officeDocument/2006/relationships/hyperlink" Target="mailto:kumararyan020@gmail.com" TargetMode="External"/><Relationship Id="rId294" Type="http://schemas.openxmlformats.org/officeDocument/2006/relationships/hyperlink" Target="https://crmplus.zoho.in/zohocorppace/index.do/cxapp/agent/zohocorp/zoho-workdrive-presales/requests/details/205219034579177268" TargetMode="External"/><Relationship Id="rId295" Type="http://schemas.openxmlformats.org/officeDocument/2006/relationships/hyperlink" Target="mailto:ambicatours@gmail.com" TargetMode="External"/><Relationship Id="rId296" Type="http://schemas.openxmlformats.org/officeDocument/2006/relationships/hyperlink" Target="https://crmplus.zoho.in/zohocorppace/index.do/cxapp/agent/zohocorp/zoho-workdrive-presales/requests/details/205219034598948951" TargetMode="External"/><Relationship Id="rId297" Type="http://schemas.openxmlformats.org/officeDocument/2006/relationships/hyperlink" Target="mailto:ennyola08@gmail.com" TargetMode="External"/><Relationship Id="rId298" Type="http://schemas.openxmlformats.org/officeDocument/2006/relationships/hyperlink" Target="https://crmplus.zoho.in/zohocorppace/index.do/cxapp/agent/zohocorp/zoho-workdrive-presales/requests/details/205219034625731106" TargetMode="External"/><Relationship Id="rId299" Type="http://schemas.openxmlformats.org/officeDocument/2006/relationships/hyperlink" Target="mailto:fasalukncs@gmail.com" TargetMode="External"/><Relationship Id="rId300" Type="http://schemas.openxmlformats.org/officeDocument/2006/relationships/hyperlink" Target="https://crmplus.zoho.in/zohocorppace/index.do/cxapp/agent/zohocorp/zoho-workdrive-presales/requests/details/205219034654860029" TargetMode="External"/><Relationship Id="rId301" Type="http://schemas.openxmlformats.org/officeDocument/2006/relationships/hyperlink" Target="mailto:amadhogarhia@gmail.com" TargetMode="External"/><Relationship Id="rId302" Type="http://schemas.openxmlformats.org/officeDocument/2006/relationships/hyperlink" Target="https://crmplus.zoho.in/zohocorppace/index.do/cxapp/agent/zohocorp/zoho-workdrive-presales/requests/details/205219034657650409" TargetMode="External"/><Relationship Id="rId303" Type="http://schemas.openxmlformats.org/officeDocument/2006/relationships/hyperlink" Target="mailto:info@mabani-aljazera.com" TargetMode="External"/><Relationship Id="rId304" Type="http://schemas.openxmlformats.org/officeDocument/2006/relationships/hyperlink" Target="https://crmplus.zoho.in/zohocorppace/index.do/cxapp/agent/zohocorp/zoho-workdrive-presales/requests/details/205219034667745742" TargetMode="External"/><Relationship Id="rId305" Type="http://schemas.openxmlformats.org/officeDocument/2006/relationships/hyperlink" Target="mailto:sk986059017@gmail.com" TargetMode="External"/><Relationship Id="rId306" Type="http://schemas.openxmlformats.org/officeDocument/2006/relationships/hyperlink" Target="https://crmplus.zoho.in/zohocorppace/index.do/cxapp/agent/zohocorp/zoho-workdrive-presales/requests/details/205219034509487034" TargetMode="External"/><Relationship Id="rId307" Type="http://schemas.openxmlformats.org/officeDocument/2006/relationships/hyperlink" Target="mailto:sourabh.s@aquacorp.in" TargetMode="External"/><Relationship Id="rId308" Type="http://schemas.openxmlformats.org/officeDocument/2006/relationships/hyperlink" Target="https://crmplus.zoho.in/zohocorppace/index.do/cxapp/agent/zohocorp/zoho-workdrive-presales/requests/details/205219034677963985" TargetMode="External"/><Relationship Id="rId309" Type="http://schemas.openxmlformats.org/officeDocument/2006/relationships/hyperlink" Target="mailto:osama@hbcsuae.com" TargetMode="External"/><Relationship Id="rId310" Type="http://schemas.openxmlformats.org/officeDocument/2006/relationships/hyperlink" Target="https://crmplus.zoho.in/zohocorppace/index.do/cxapp/agent/zohocorp/zoho-workdrive-presales/requests/details/205219034696121456" TargetMode="External"/><Relationship Id="rId311" Type="http://schemas.openxmlformats.org/officeDocument/2006/relationships/hyperlink" Target="mailto:bathri@aayudham.in" TargetMode="External"/><Relationship Id="rId312" Type="http://schemas.openxmlformats.org/officeDocument/2006/relationships/hyperlink" Target="https://crmplus.zoho.in/zohocorppace/index.do/cxapp/agent/zohocorp/zoho-workdrive-presales/requests/details/205219034708924400" TargetMode="External"/><Relationship Id="rId313" Type="http://schemas.openxmlformats.org/officeDocument/2006/relationships/hyperlink" Target="mailto:keeralegalservices@gmail.com" TargetMode="External"/><Relationship Id="rId314" Type="http://schemas.openxmlformats.org/officeDocument/2006/relationships/hyperlink" Target="https://crmplus.zoho.in/zohocorppace/index.do/cxapp/agent/zohocorp/zoho-workdrive-presales/requests/details/205219034718727223" TargetMode="External"/><Relationship Id="rId315" Type="http://schemas.openxmlformats.org/officeDocument/2006/relationships/hyperlink" Target="mailto:tiwari1989vinod@gmail.com" TargetMode="External"/><Relationship Id="rId316" Type="http://schemas.openxmlformats.org/officeDocument/2006/relationships/hyperlink" Target="https://crmplus.zoho.in/zohocorppace/index.do/cxapp/agent/zohocorp/zoho-workdrive-presales/requests/details/205219034451076386" TargetMode="External"/><Relationship Id="rId317" Type="http://schemas.openxmlformats.org/officeDocument/2006/relationships/hyperlink" Target="mailto:bathri@aayudham.in" TargetMode="External"/></Relationships>
</file>

<file path=xl/worksheets/_rels/sheet15.xml.rels><?xml version="1.0" encoding="UTF-8" standalone="yes"?><Relationships xmlns="http://schemas.openxmlformats.org/package/2006/relationships"><Relationship Id="rId1" Type="http://schemas.openxmlformats.org/officeDocument/2006/relationships/hyperlink" Target="https://crmplus.zoho.in/zohocorppace/index.do/cxapp/agent/zohocorp/zoho-workdrive-presales/requests/details/205219031811121122" TargetMode="External"/><Relationship Id="rId2" Type="http://schemas.openxmlformats.org/officeDocument/2006/relationships/hyperlink" Target="mailto:deepak.kashyap@go-mmt.com" TargetMode="External"/><Relationship Id="rId3" Type="http://schemas.openxmlformats.org/officeDocument/2006/relationships/hyperlink" Target="https://crmplus.zoho.in/zohocorppace/index.do/cxapp/agent/zohocorp/zoho-workdrive-presales/requests/details/205219031807242174" TargetMode="External"/><Relationship Id="rId4" Type="http://schemas.openxmlformats.org/officeDocument/2006/relationships/hyperlink" Target="mailto:umesh.shringi@allen.in" TargetMode="External"/><Relationship Id="rId5" Type="http://schemas.openxmlformats.org/officeDocument/2006/relationships/hyperlink" Target="https://crmplus.zoho.in/zohocorppace/index.do/cxapp/agent/zohocorp/zoho-workdrive-presales/requests/details/205219032333241618" TargetMode="External"/><Relationship Id="rId6" Type="http://schemas.openxmlformats.org/officeDocument/2006/relationships/hyperlink" Target="mailto:nupur.madaan@fwdefence.com" TargetMode="External"/><Relationship Id="rId7" Type="http://schemas.openxmlformats.org/officeDocument/2006/relationships/hyperlink" Target="https://crmplus.zoho.in/zohocorppace/index.do/cxapp/agent/zohocorp/zoho-workdrive-presales/requests/details/205219032120279009" TargetMode="External"/><Relationship Id="rId8" Type="http://schemas.openxmlformats.org/officeDocument/2006/relationships/hyperlink" Target="https://crmplus.zoho.in/zohocorppace/index.do/cxapp/agent/zohocorp/zoho-workdrive-presales/requests/details/205219032609922496" TargetMode="External"/><Relationship Id="rId9" Type="http://schemas.openxmlformats.org/officeDocument/2006/relationships/hyperlink" Target="https://crmplus.zoho.in/zohocorppace/index.do/cxapp/agent/zohocorp/zoho-workdrive-presales/requests/details/205219033914491239" TargetMode="External"/><Relationship Id="rId10" Type="http://schemas.openxmlformats.org/officeDocument/2006/relationships/hyperlink" Target="mailto:pankajramol@almamet.com" TargetMode="External"/><Relationship Id="rId11" Type="http://schemas.openxmlformats.org/officeDocument/2006/relationships/hyperlink" Target="mailto:pankajramol@almamet.com" TargetMode="External"/><Relationship Id="rId12" Type="http://schemas.openxmlformats.org/officeDocument/2006/relationships/hyperlink" Target="mailto:pankajramol@almamet.com" TargetMode="External"/><Relationship Id="rId13" Type="http://schemas.openxmlformats.org/officeDocument/2006/relationships/hyperlink" Target="https://crmplus.zoho.in/agent/zohocorp/zoho-workdrive-presales/requests/details/205219028979870585" TargetMode="External"/><Relationship Id="rId14" Type="http://schemas.openxmlformats.org/officeDocument/2006/relationships/hyperlink" Target="https://crmplus.zoho.in/zohocorppace/index.do/cxapp/agent/zohocorp/zoho-workdrive-presales/requests/details/205219034245018292" TargetMode="External"/><Relationship Target="../comments1.xml" Id="rId16" Type="http://schemas.openxmlformats.org/officeDocument/2006/relationships/comments"/><Relationship Target="../drawings/vmlDrawing1.xml" Id="rId17" Type="http://schemas.openxmlformats.org/officeDocument/2006/relationships/vmlDrawing"/><Relationship Target="../drawings/drawing2.xml" Id="rId15" Type="http://schemas.openxmlformats.org/officeDocument/2006/relationships/drawing"/></Relationships>
</file>

<file path=xl/worksheets/_rels/sheet16.xml.rels><?xml version="1.0" encoding="UTF-8" standalone="yes"?><Relationships xmlns="http://schemas.openxmlformats.org/package/2006/relationships"><Relationship Id="rId1" Type="http://schemas.openxmlformats.org/officeDocument/2006/relationships/hyperlink" Target="https://crmplus.zoho.in/agent/zohocorp/zoho-workdrive-presales/requests/details/205219029858538958" TargetMode="External"/><Relationship Id="rId2" Type="http://schemas.openxmlformats.org/officeDocument/2006/relationships/hyperlink" Target="https://crmplus.zoho.in/zohocorppace/index.do/cxapp/agent/zohocorp/zoho-workdrive-presales/requests/details/205219021549849371" TargetMode="External"/><Relationship Id="rId3" Type="http://schemas.openxmlformats.org/officeDocument/2006/relationships/hyperlink" Target="https://crmplus.zoho.in/zohocorppace/index.do/cxapp/agent/zohocorp/zoho-workdrive-presales/requests/details/205219031460517134" TargetMode="External"/><Relationship Id="rId4" Type="http://schemas.openxmlformats.org/officeDocument/2006/relationships/hyperlink" Target="https://crmplus.zoho.in/zohocorppace/index.do/cxapp/agent/zohocorp/zoho-workdrive-presales/requests/details/205219031509100931" TargetMode="External"/><Relationship Id="rId5" Type="http://schemas.openxmlformats.org/officeDocument/2006/relationships/hyperlink" Target="https://crmplus.zoho.in/agent/zohocorp/zoho-workdrive-presales/requests/details/205219031479848099" TargetMode="External"/><Relationship Id="rId6" Type="http://schemas.openxmlformats.org/officeDocument/2006/relationships/hyperlink" Target="https://crmplus.zoho.in/agent/zohocorp/zoho-workdrive-presales/requests/details/205219020053412967" TargetMode="External"/><Relationship Id="rId7" Type="http://schemas.openxmlformats.org/officeDocument/2006/relationships/hyperlink" Target="https://crmplus.zoho.in/agent/zohocorp/zoho-workdrive-presales/requests/details/205219020053412967" TargetMode="External"/><Relationship Id="rId8" Type="http://schemas.openxmlformats.org/officeDocument/2006/relationships/hyperlink" Target="https://crmplus.zoho.in/zohocorppace/index.do/cxapp/agent/zohocorp/zoho-workdrive-presales/requests/details/205219031345670171" TargetMode="External"/><Relationship Id="rId9" Type="http://schemas.openxmlformats.org/officeDocument/2006/relationships/hyperlink" Target="https://crmplus.zoho.in/zohocorppace/index.do/cxapp/agent/zohocorp/zoho-workdrive-presales/requests/details/205219031481071419" TargetMode="External"/><Relationship Id="rId10" Type="http://schemas.openxmlformats.org/officeDocument/2006/relationships/hyperlink" Target="https://crmplus.zoho.in/zohocorppace/index.do/cxapp/agent/zohocorp/zoho-workdrive-presales/requests/details/205219031540488171" TargetMode="External"/><Relationship Id="rId11" Type="http://schemas.openxmlformats.org/officeDocument/2006/relationships/hyperlink" Target="https://crmplus.zoho.in/zohocorppace/index.do/cxapp/agent/zohocorp/zoho-workdrive-presales/requests/details/205219031538948418" TargetMode="External"/><Relationship Id="rId12" Type="http://schemas.openxmlformats.org/officeDocument/2006/relationships/hyperlink" Target="https://crmplus.zoho.in/zohocorppace/index.do/cxapp/agent/zohocorp/zoho-workdrive-presales/requests/details/205219031804294639" TargetMode="External"/><Relationship Id="rId13" Type="http://schemas.openxmlformats.org/officeDocument/2006/relationships/hyperlink" Target="https://crmplus.zoho.in/zohocorppace/index.do/cxapp/agent/zohocorp/zoho-workdrive-presales/requests/details/205219031718350755/conversation" TargetMode="External"/><Relationship Id="rId14" Type="http://schemas.openxmlformats.org/officeDocument/2006/relationships/hyperlink" Target="https://crmplus.zoho.in/zohocorppace/index.do/cxapp/agent/zohocorp/zoho-workdrive-presales/requests/details/205219031718350755/conversation" TargetMode="External"/><Relationship Id="rId15" Type="http://schemas.openxmlformats.org/officeDocument/2006/relationships/hyperlink" Target="https://crmplus.zoho.in/zohocorppace/index.do/cxapp/agent/zohocorp/zoho-workdrive-presales/requests/details/205219031925476675" TargetMode="External"/><Relationship Id="rId16" Type="http://schemas.openxmlformats.org/officeDocument/2006/relationships/hyperlink" Target="https://crmplus.zoho.in/zohocorppace/index.do/cxapp/agent/zohocorp/zoho-workdrive-presales/requests/details/205219031925476675" TargetMode="External"/><Relationship Id="rId17" Type="http://schemas.openxmlformats.org/officeDocument/2006/relationships/hyperlink" Target="https://crmplus.zoho.in/zohocorppace/index.do/cxapp/agent/zohocorp/zoho-workdrive-presales/requests/details/205219031952266079" TargetMode="External"/><Relationship Id="rId18" Type="http://schemas.openxmlformats.org/officeDocument/2006/relationships/hyperlink" Target="https://crmplus.zoho.in/zohocorppace/index.do/cxapp/agent/zohocorp/zoho-workdrive-presales/requests/details/205219031952266079" TargetMode="External"/><Relationship Id="rId19" Type="http://schemas.openxmlformats.org/officeDocument/2006/relationships/hyperlink" Target="https://crmplus.zoho.in/zohocorppace/index.do/cxapp/agent/zohocorp/zoho-workdrive-presales/requests/details/205219032048403606" TargetMode="External"/><Relationship Id="rId20" Type="http://schemas.openxmlformats.org/officeDocument/2006/relationships/hyperlink" Target="https://sprints.zoho.in/workspace/zdocs#P15/itemdetails/I7229" TargetMode="External"/><Relationship Id="rId21" Type="http://schemas.openxmlformats.org/officeDocument/2006/relationships/hyperlink" Target="https://crmplus.zoho.in/zohocorppace/index.do/cxapp/agent/zohocorp/zoho-workdrive-presales/requests/details/205219032048403606" TargetMode="External"/><Relationship Id="rId22" Type="http://schemas.openxmlformats.org/officeDocument/2006/relationships/hyperlink" Target="https://sprints.zoho.in/workspace/zdocs#P15/itemdetails/I7460" TargetMode="External"/><Relationship Id="rId23" Type="http://schemas.openxmlformats.org/officeDocument/2006/relationships/hyperlink" Target="https://crmplus.zoho.in/zohocorppace/index.do/cxapp/agent/zohocorp/zoho-workdrive-presales/requests/details/205219032048403606" TargetMode="External"/><Relationship Id="rId24" Type="http://schemas.openxmlformats.org/officeDocument/2006/relationships/hyperlink" Target="https://sprints.zoho.in/workspace/zdocs#P15/itemdetails/I7269" TargetMode="External"/><Relationship Id="rId25" Type="http://schemas.openxmlformats.org/officeDocument/2006/relationships/hyperlink" Target="https://crmplus.zoho.in/zohocorppace/index.do/cxapp/agent/zohocorp/zoho-workdrive-presales/requests/details/205219032048403606" TargetMode="External"/><Relationship Id="rId26" Type="http://schemas.openxmlformats.org/officeDocument/2006/relationships/hyperlink" Target="https://sprints.zoho.in/workspace/zdocs#P15/itemdetails/I7231" TargetMode="External"/><Relationship Id="rId27" Type="http://schemas.openxmlformats.org/officeDocument/2006/relationships/hyperlink" Target="https://crmplus.zoho.in/zohocorppace/index.do/cxapp/agent/zohocorp/zoho-workdrive-presales/requests/details/205219032048403606" TargetMode="External"/><Relationship Id="rId28" Type="http://schemas.openxmlformats.org/officeDocument/2006/relationships/hyperlink" Target="https://sprints.zoho.in/workspace/zdocs#P15/itemdetails/I7463" TargetMode="External"/><Relationship Id="rId29" Type="http://schemas.openxmlformats.org/officeDocument/2006/relationships/hyperlink" Target="https://crmplus.zoho.in/zohocorppace/index.do/cxapp/agent/zohocorp/zoho-workdrive-presales/requests/details/205219032022499629" TargetMode="External"/><Relationship Id="rId30" Type="http://schemas.openxmlformats.org/officeDocument/2006/relationships/hyperlink" Target="https://sprints.zoho.in/workspace/zdocs#P15/itemdetails/I6334/details" TargetMode="External"/><Relationship Id="rId31" Type="http://schemas.openxmlformats.org/officeDocument/2006/relationships/hyperlink" Target="https://crmplus.zoho.in/zohocorppace/index.do/cxapp/agent/zohocorp/zoho-workdrive-presales/requests/details/205219032516942683" TargetMode="External"/><Relationship Id="rId32" Type="http://schemas.openxmlformats.org/officeDocument/2006/relationships/hyperlink" Target="https://sprints.zoho.in/workspace/zdocs#P15/itemdetails/I6334/details" TargetMode="External"/><Relationship Id="rId33" Type="http://schemas.openxmlformats.org/officeDocument/2006/relationships/hyperlink" Target="https://crmplus.zoho.in/zohocorppace/index.do/cxapp/agent/zohocorp/zoho-workdrive-presales/requests/details/205219031582469823/conversation" TargetMode="External"/><Relationship Id="rId34" Type="http://schemas.openxmlformats.org/officeDocument/2006/relationships/hyperlink" Target="https://crmplus.zoho.in/zohocorppace/index.do/cxapp/agent/zohocorp/zoho-workdrive-presales/requests/details/205219032099949975" TargetMode="External"/><Relationship Id="rId35" Type="http://schemas.openxmlformats.org/officeDocument/2006/relationships/hyperlink" Target="https://sprints.zoho.in/workspace/zdocs#P15/itemdetails/I7323" TargetMode="External"/><Relationship Id="rId36" Type="http://schemas.openxmlformats.org/officeDocument/2006/relationships/hyperlink" Target="https://crmplus.zoho.in/zohocorppace/index.do/cxapp/agent/zohocorp/zoho-workdrive-presales/requests/details/205219031020515079/conversation" TargetMode="External"/><Relationship Id="rId37" Type="http://schemas.openxmlformats.org/officeDocument/2006/relationships/hyperlink" Target="https://crmplus.zoho.in/zohocorppace/index.do/cxapp/agent/zohocorp/zoho-workdrive-presales/requests/details/205219030865432211" TargetMode="External"/><Relationship Id="rId38" Type="http://schemas.openxmlformats.org/officeDocument/2006/relationships/hyperlink" Target="https://crmplus.zoho.in/zohocorppace/index.do/cxapp/agent/zohocorp/zoho-workdrive-presales/requests/details/205219030865432211" TargetMode="External"/><Relationship Id="rId39" Type="http://schemas.openxmlformats.org/officeDocument/2006/relationships/hyperlink" Target="https://crmplus.zoho.in/zohocorppace/index.do/cxapp/agent/zohocorp/zoho-workdrive-presales/requests/details/205219030865432211" TargetMode="External"/><Relationship Id="rId40" Type="http://schemas.openxmlformats.org/officeDocument/2006/relationships/hyperlink" Target="https://sprints.zoho.in/workspace/zdocs#P15/itemdetails/I7462" TargetMode="External"/><Relationship Id="rId41" Type="http://schemas.openxmlformats.org/officeDocument/2006/relationships/hyperlink" Target="https://crmplus.zoho.in/zohocorppace/index.do/cxapp/agent/zohocorp/zoho-workdrive-presales/requests/details/205219030865432211" TargetMode="External"/><Relationship Id="rId42" Type="http://schemas.openxmlformats.org/officeDocument/2006/relationships/hyperlink" Target="https://crmplus.zoho.in/zohocorppace/index.do/cxapp/agent/zohocorp/zoho-workdrive-presales/requests/details/205219032196644400" TargetMode="External"/><Relationship Id="rId43" Type="http://schemas.openxmlformats.org/officeDocument/2006/relationships/hyperlink" Target="https://crmplus.zoho.in/zohocorppace/index.do/cxapp/agent/zohocorp/zoho-workdrive-presales/requests/details/205219032305627824" TargetMode="External"/><Relationship Id="rId44" Type="http://schemas.openxmlformats.org/officeDocument/2006/relationships/hyperlink" Target="https://crmplus.zoho.in/zohocorppace/index.do/cxapp/agent/zohocorp/zoho-workdrive-presales/requests/details/205219032305627824" TargetMode="External"/><Relationship Id="rId45" Type="http://schemas.openxmlformats.org/officeDocument/2006/relationships/hyperlink" Target="https://sprints.zoho.in/workspace/zdocs#P15/itemdetails/I7454" TargetMode="External"/><Relationship Id="rId46" Type="http://schemas.openxmlformats.org/officeDocument/2006/relationships/hyperlink" Target="https://crmplus.zoho.in/zohocorppace/index.do/cxapp/agent/zohocorp/zoho-workdrive-presales/requests/details/205219032355266388" TargetMode="External"/><Relationship Id="rId47" Type="http://schemas.openxmlformats.org/officeDocument/2006/relationships/hyperlink" Target="https://sprints.zoho.in/workspace/zdocs#P15/itemdetails/I7467" TargetMode="External"/><Relationship Id="rId48" Type="http://schemas.openxmlformats.org/officeDocument/2006/relationships/hyperlink" Target="https://crmplus.zoho.in/zohocorppace/index.do/cxapp/agent/zohocorp/zoho-workdrive-presales/requests/details/205219032426922966" TargetMode="External"/><Relationship Id="rId49" Type="http://schemas.openxmlformats.org/officeDocument/2006/relationships/hyperlink" Target="https://crmplus.zoho.in/zohocorppace/index.do/cxapp/agent/zohocorp/zoho-workdrive-presales/requests/details/205219032308475388" TargetMode="External"/><Relationship Id="rId50" Type="http://schemas.openxmlformats.org/officeDocument/2006/relationships/hyperlink" Target="https://crmplus.zoho.in/zohocorppace/index.do/cxapp/agent/zohocorp/zoho-workdrive-presales/requests/details/205219032308475388" TargetMode="External"/><Relationship Id="rId51" Type="http://schemas.openxmlformats.org/officeDocument/2006/relationships/hyperlink" Target="https://crmplus.zoho.in/zohocorppace/index.do/cxapp/agent/zohocorp/zoho-workdrive-presales/requests/details/205219032308475388" TargetMode="External"/><Relationship Id="rId52" Type="http://schemas.openxmlformats.org/officeDocument/2006/relationships/hyperlink" Target="https://crmplus.zoho.in/zohocorppace/index.do/cxapp/agent/zohocorp/zoho-workdrive-presales/requests/details/205219030252419358" TargetMode="External"/><Relationship Id="rId53" Type="http://schemas.openxmlformats.org/officeDocument/2006/relationships/hyperlink" Target="https://crmplus.zoho.in/agent/zohocorp/zoho-workdrive-presales/requests/details/205219032195847496" TargetMode="External"/><Relationship Id="rId54" Type="http://schemas.openxmlformats.org/officeDocument/2006/relationships/hyperlink" Target="https://crmplus.zoho.in/zohocorppace/index.do/cxapp/agent/zohocorp/zoho-workdrive-presales/requests/details/205219032581981685" TargetMode="External"/><Relationship Id="rId55" Type="http://schemas.openxmlformats.org/officeDocument/2006/relationships/hyperlink" Target="https://sprints.zoho.in/workspace/zdocs#P15/itemdetails/I7674" TargetMode="External"/><Relationship Id="rId56" Type="http://schemas.openxmlformats.org/officeDocument/2006/relationships/hyperlink" Target="https://crmplus.zoho.in/agent/zohocorp/zoho-workdrive-presales/requests/details/205219032425290655" TargetMode="External"/><Relationship Id="rId57" Type="http://schemas.openxmlformats.org/officeDocument/2006/relationships/hyperlink" Target="https://sprints.zoho.in/workspace/zdocs#P15/itemdetails/I7689" TargetMode="External"/><Relationship Id="rId58" Type="http://schemas.openxmlformats.org/officeDocument/2006/relationships/hyperlink" Target="https://crmplus.zoho.in/zohocorppace/index.do/cxapp/agent/zohocorp/zoho-workdrive-presales/requests/details/205219032656979160" TargetMode="External"/><Relationship Id="rId59" Type="http://schemas.openxmlformats.org/officeDocument/2006/relationships/hyperlink" Target="https://crmplus.zoho.in/zohocorppace/index.do/cxapp/agent/zohocorp/zoho-workdrive-presales/requests/details/205219032656979160" TargetMode="External"/><Relationship Id="rId60" Type="http://schemas.openxmlformats.org/officeDocument/2006/relationships/hyperlink" Target="https://crmplus.zoho.in/zohocorppace/index.do/cxapp/agent/zohocorp/zoho-workdrive-presales/requests/details/205219032833199182" TargetMode="External"/><Relationship Id="rId61" Type="http://schemas.openxmlformats.org/officeDocument/2006/relationships/hyperlink" Target="https://sprints.zoho.in/workspace/zdocs#P15/itemdetails/I7456/details" TargetMode="External"/><Relationship Id="rId62" Type="http://schemas.openxmlformats.org/officeDocument/2006/relationships/hyperlink" Target="https://crmplus.zoho.in/zohocorppace/index.do/cxapp/agent/zohocorp/zoho-workdrive-presales/requests/details/205219028827778958" TargetMode="External"/><Relationship Id="rId63" Type="http://schemas.openxmlformats.org/officeDocument/2006/relationships/hyperlink" Target="https://crmplus.zoho.in/zohocorppace/index.do/cxapp/agent/zohocorp/zoho-workdrive-presales/requests/details/205219032944200700" TargetMode="External"/><Relationship Id="rId64" Type="http://schemas.openxmlformats.org/officeDocument/2006/relationships/hyperlink" Target="https://crmplus.zoho.in/zohocorppace/index.do/cxapp/agent/zohocorp/zoho-workdrive-presales/requests/details/205219032944200700" TargetMode="External"/><Relationship Id="rId65" Type="http://schemas.openxmlformats.org/officeDocument/2006/relationships/hyperlink" Target="https://crmplus.zoho.in/zohocorppace/index.do/cxapp/agent/zohocorp/zoho-workdrive-presales/requests/details/205219032944200700" TargetMode="External"/><Relationship Id="rId66" Type="http://schemas.openxmlformats.org/officeDocument/2006/relationships/hyperlink" Target="https://crmplus.zoho.in/zohocorppace/index.do/cxapp/agent/zohocorp/zoho-workdrive-presales/requests/details/205219032944200700" TargetMode="External"/><Relationship Id="rId67" Type="http://schemas.openxmlformats.org/officeDocument/2006/relationships/hyperlink" Target="https://crmplus.zoho.in/zohocorppace/index.do/cxapp/agent/zohocorp/zoho-workdrive-presales/requests/details/205219032733272112" TargetMode="External"/><Relationship Id="rId68" Type="http://schemas.openxmlformats.org/officeDocument/2006/relationships/hyperlink" Target="https://sprints.zoho.in/workspace/zdocs#P15/itemdetails/I7462/details" TargetMode="External"/><Relationship Id="rId69" Type="http://schemas.openxmlformats.org/officeDocument/2006/relationships/hyperlink" Target="https://crmplus.zoho.in/zohocorppace/index.do/cxapp/agent/zohocorp/zoho-workdrive-presales/requests/details/205219032994906324" TargetMode="External"/><Relationship Id="rId70" Type="http://schemas.openxmlformats.org/officeDocument/2006/relationships/hyperlink" Target="https://crmplus.zoho.in/zohocorppace/index.do/cxapp/agent/zohocorp/zoho-workdrive-presales/requests/details/205219032994798368" TargetMode="External"/><Relationship Id="rId71" Type="http://schemas.openxmlformats.org/officeDocument/2006/relationships/hyperlink" Target="https://sprints.zoho.in/workspace/zdocs#P15/itemdetails/I7563" TargetMode="External"/><Relationship Id="rId72" Type="http://schemas.openxmlformats.org/officeDocument/2006/relationships/hyperlink" Target="https://crmplus.zoho.in/zohocorppace/index.do/cxapp/agent/zohocorp/zoho-workdrive-presales/requests/details/205219033138506407" TargetMode="External"/><Relationship Id="rId73" Type="http://schemas.openxmlformats.org/officeDocument/2006/relationships/hyperlink" Target="https://sprints.zoho.in/workspace/zdocs#P15/itemdetails/I7527" TargetMode="External"/><Relationship Id="rId74" Type="http://schemas.openxmlformats.org/officeDocument/2006/relationships/hyperlink" Target="https://crmplus.zoho.in/zohocorppace/index.do/cxapp/agent/zohocorp/zoho-workdrive-presales/requests/details/205219034123073574" TargetMode="External"/><Relationship Id="rId75" Type="http://schemas.openxmlformats.org/officeDocument/2006/relationships/hyperlink" Target="https://sprints.zoho.in/workspace/zdocs#P15/itemdetails/I7466/details" TargetMode="External"/><Relationship Id="rId76" Type="http://schemas.openxmlformats.org/officeDocument/2006/relationships/hyperlink" Target="https://crmplus.zoho.in/zohocorppace/index.do/cxapp/agent/zohocorp/zoho-workdrive-presales/requests/details/205219034123073574" TargetMode="External"/><Relationship Id="rId77" Type="http://schemas.openxmlformats.org/officeDocument/2006/relationships/hyperlink" Target="https://sprints.zoho.in/workspace/zdocs#P15/itemdetails/I7689/description" TargetMode="External"/><Relationship Id="rId78" Type="http://schemas.openxmlformats.org/officeDocument/2006/relationships/hyperlink" Target="https://crmplus.zoho.in/zohocorppace/index.do/cxapp/agent/zohocorp/zoho-workdrive-presales/requests/details/205219034123073574" TargetMode="External"/><Relationship Id="rId79" Type="http://schemas.openxmlformats.org/officeDocument/2006/relationships/hyperlink" Target="https://sprints.zoho.in/workspace/zdocs#P15/itemdetails/I8062" TargetMode="External"/><Relationship Id="rId80" Type="http://schemas.openxmlformats.org/officeDocument/2006/relationships/hyperlink" Target="https://crmplus.zoho.in/zohocorppace/index.do/cxapp/agent/zohocorp/zoho-workdrive-presales/requests/details/205219034123073574" TargetMode="External"/><Relationship Id="rId81" Type="http://schemas.openxmlformats.org/officeDocument/2006/relationships/hyperlink" Target="https://sprints.zoho.in/workspace/zdocs#P15/itemdetails/I8064" TargetMode="External"/><Relationship Id="rId82" Type="http://schemas.openxmlformats.org/officeDocument/2006/relationships/hyperlink" Target="https://crmplus.zoho.in/zohocorppace/index.do/cxapp/agent/zohocorp/zoho-workdrive-presales/requests/details/205219034123073574" TargetMode="External"/><Relationship Id="rId83" Type="http://schemas.openxmlformats.org/officeDocument/2006/relationships/hyperlink" Target="https://sprints.zoho.in/workspace/zdocs#P15/itemdetails/I7467/description" TargetMode="External"/><Relationship Id="rId84" Type="http://schemas.openxmlformats.org/officeDocument/2006/relationships/hyperlink" Target="https://crmplus.zoho.in/zohocorppace/index.do/cxapp/agent/zohocorp/zoho-workdrive-presales/requests/details/205219033360057717/conversation" TargetMode="External"/><Relationship Id="rId85" Type="http://schemas.openxmlformats.org/officeDocument/2006/relationships/hyperlink" Target="https://crmplus.zoho.in/zohocorppace/index.do/cxapp/agent/zohocorp/zoho-workdrive-presales/requests/details/205219031781573320" TargetMode="External"/><Relationship Id="rId86" Type="http://schemas.openxmlformats.org/officeDocument/2006/relationships/hyperlink" Target="https://crmplus.zoho.in/agent/zohocorp/zoho-workdrive-presales/requests/details/205219033479770658" TargetMode="External"/><Relationship Id="rId87" Type="http://schemas.openxmlformats.org/officeDocument/2006/relationships/hyperlink" Target="https://crmplus.zoho.in/agent/zohocorp/zoho-workdrive-presales/requests/details/205219033506238944" TargetMode="External"/><Relationship Id="rId88" Type="http://schemas.openxmlformats.org/officeDocument/2006/relationships/hyperlink" Target="https://crmplus.zoho.in/zohocorppace/index.do/cxapp/agent/zohocorp/zoho-workdrive-presales/requests/details/205219033652817831" TargetMode="External"/><Relationship Id="rId89" Type="http://schemas.openxmlformats.org/officeDocument/2006/relationships/hyperlink" Target="https://sprints.zoho.in/workspace/zdocs#P15/itemdetails/I8083" TargetMode="External"/><Relationship Id="rId90" Type="http://schemas.openxmlformats.org/officeDocument/2006/relationships/hyperlink" Target="https://crmplus.zoho.in/zohocorppace/index.do/cxapp/agent/zohocorp/zoho-workdrive-presales/requests/details/205219033655296368" TargetMode="External"/><Relationship Id="rId91" Type="http://schemas.openxmlformats.org/officeDocument/2006/relationships/hyperlink" Target="https://sprints.zoho.in/workspace/zdocs#P15/itemdetails/I7765" TargetMode="External"/><Relationship Id="rId92" Type="http://schemas.openxmlformats.org/officeDocument/2006/relationships/hyperlink" Target="https://crmplus.zoho.in/zohocorppace/index.do/cxapp/agent/zohocorp/zoho-workdrive-presales/requests/details/205219029870636225" TargetMode="External"/><Relationship Id="rId93" Type="http://schemas.openxmlformats.org/officeDocument/2006/relationships/hyperlink" Target="https://crmplus.zoho.in/zohocorppace/index.do/cxapp/agent/zohocorp/zoho-workdrive-presales/requests/details/205219029870636225" TargetMode="External"/><Relationship Id="rId94" Type="http://schemas.openxmlformats.org/officeDocument/2006/relationships/hyperlink" Target="https://crmplus.zoho.in/zohocorppace/index.do/cxapp/agent/zohocorp/zoho-workdrive-presales/requests/details/205219033762002721" TargetMode="External"/><Relationship Id="rId95" Type="http://schemas.openxmlformats.org/officeDocument/2006/relationships/hyperlink" Target="https://sprints.zoho.in/workspace/zdocs#P15/itemdetails/I7850" TargetMode="External"/><Relationship Id="rId96" Type="http://schemas.openxmlformats.org/officeDocument/2006/relationships/hyperlink" Target="https://crmplus.zoho.in/zohocorppace/index.do/cxapp/agent/zohocorp/zoho-workdrive-presales/requests/details/205219033800716702" TargetMode="External"/><Relationship Id="rId97" Type="http://schemas.openxmlformats.org/officeDocument/2006/relationships/hyperlink" Target="https://sprints.zoho.in/workspace/zdocs#P15/itemdetails/I7858" TargetMode="External"/><Relationship Id="rId98" Type="http://schemas.openxmlformats.org/officeDocument/2006/relationships/hyperlink" Target="https://crmplus.zoho.in/zohocorppace/index.do/cxapp/agent/zohocorp/zoho-workdrive-presales/requests/details/205219022405248349" TargetMode="External"/><Relationship Id="rId99" Type="http://schemas.openxmlformats.org/officeDocument/2006/relationships/hyperlink" Target="https://sprints.zoho.in/workspace/zdocs#P15/itemdetails/I7875" TargetMode="External"/><Relationship Id="rId100" Type="http://schemas.openxmlformats.org/officeDocument/2006/relationships/hyperlink" Target="https://crmplus.zoho.in/zohocorppace/index.do/cxapp/agent/zohocorp/zoho-workdrive-presales/requests/details/205219033924453561" TargetMode="External"/><Relationship Id="rId101" Type="http://schemas.openxmlformats.org/officeDocument/2006/relationships/hyperlink" Target="https://sprints.zoho.in/workspace/zdocs#P15/itemdetails/I7885" TargetMode="External"/><Relationship Id="rId102" Type="http://schemas.openxmlformats.org/officeDocument/2006/relationships/hyperlink" Target="https://crmplus.zoho.in/zohocorppace/index.do/cxapp/agent/zohocorp/zoho-workdrive-presales/requests/details/205219032763672882" TargetMode="External"/></Relationships>
</file>

<file path=xl/worksheets/_rels/sheet17.xml.rels><?xml version="1.0" encoding="UTF-8" standalone="yes"?><Relationships xmlns="http://schemas.openxmlformats.org/package/2006/relationships"><Relationship Id="rId1" Type="http://schemas.openxmlformats.org/officeDocument/2006/relationships/hyperlink" Target="mailto:abhijeet.dey@sedemac.com" TargetMode="External"/><Relationship Id="rId2" Type="http://schemas.openxmlformats.org/officeDocument/2006/relationships/hyperlink" Target="https://cliq.zoho.in/chats/1207130270657171734" TargetMode="External"/><Relationship Id="rId3" Type="http://schemas.openxmlformats.org/officeDocument/2006/relationships/hyperlink" Target="https://sprints.zoho.in/workspace/zdocs#P15/itemdetails/I7166" TargetMode="External"/><Relationship Id="rId4" Type="http://schemas.openxmlformats.org/officeDocument/2006/relationships/hyperlink" Target="mailto:chetan.lotlikar@axismf.com" TargetMode="External"/><Relationship Id="rId5" Type="http://schemas.openxmlformats.org/officeDocument/2006/relationships/hyperlink" Target="https://connect.zoho.in/portal/intranet/stream/155936001917720204" TargetMode="External"/><Relationship Id="rId6" Type="http://schemas.openxmlformats.org/officeDocument/2006/relationships/hyperlink" Target="mailto:vishnus@softcell.com" TargetMode="External"/><Relationship Id="rId7" Type="http://schemas.openxmlformats.org/officeDocument/2006/relationships/hyperlink" Target="https://cliq.zoho.in/chats/1207130278083036966" TargetMode="External"/><Relationship Id="rId8" Type="http://schemas.openxmlformats.org/officeDocument/2006/relationships/hyperlink" Target="mailto:jashir.alimathil@dailydelight.com" TargetMode="External"/><Relationship Id="rId9" Type="http://schemas.openxmlformats.org/officeDocument/2006/relationships/hyperlink" Target="https://cliq.zoho.in/company/60002085329/chats/CT_1291637385363622570_60002085329/messages/1769778527212_7963121367714" TargetMode="External"/><Relationship Id="rId10" Type="http://schemas.openxmlformats.org/officeDocument/2006/relationships/hyperlink" Target="https://sprints.zoho.in/workspace/zdocs#P15/itemdetails/I7169" TargetMode="External"/><Relationship Id="rId11" Type="http://schemas.openxmlformats.org/officeDocument/2006/relationships/hyperlink" Target="mailto:shinoy.thachapully@ae.mcd.com" TargetMode="External"/><Relationship Id="rId12" Type="http://schemas.openxmlformats.org/officeDocument/2006/relationships/hyperlink" Target="https://sprints.zoho.in/workspace/zdocs#P15/itemdetails/I7229" TargetMode="External"/><Relationship Id="rId13" Type="http://schemas.openxmlformats.org/officeDocument/2006/relationships/hyperlink" Target="https://sprints.zoho.in/workspace/zdocs#P15/itemdetails/I7460" TargetMode="External"/><Relationship Id="rId14" Type="http://schemas.openxmlformats.org/officeDocument/2006/relationships/hyperlink" Target="https://sprints.zoho.in/workspace/zdocs#P15/itemdetails/I7269" TargetMode="External"/><Relationship Id="rId15" Type="http://schemas.openxmlformats.org/officeDocument/2006/relationships/hyperlink" Target="https://sprints.zoho.in/workspace/zdocs#P15/itemdetails/I7231" TargetMode="External"/><Relationship Id="rId16" Type="http://schemas.openxmlformats.org/officeDocument/2006/relationships/hyperlink" Target="https://sprints.zoho.in/workspace/zdocs#P15/itemdetails/I7463" TargetMode="External"/><Relationship Id="rId17" Type="http://schemas.openxmlformats.org/officeDocument/2006/relationships/hyperlink" Target="mailto:mohamed.aareef@kiongroup.com" TargetMode="External"/><Relationship Id="rId18" Type="http://schemas.openxmlformats.org/officeDocument/2006/relationships/hyperlink" Target="https://cliq.zoho.in/chats/1796011119024003479" TargetMode="External"/><Relationship Id="rId19" Type="http://schemas.openxmlformats.org/officeDocument/2006/relationships/hyperlink" Target="https://sprints.zoho.in/workspace/zdocs#P15/itemdetails/I7323" TargetMode="External"/><Relationship Id="rId20" Type="http://schemas.openxmlformats.org/officeDocument/2006/relationships/hyperlink" Target="mailto:livingston.d@tsts.in" TargetMode="External"/><Relationship Id="rId21" Type="http://schemas.openxmlformats.org/officeDocument/2006/relationships/hyperlink" Target="https://connect.zoho.in/portal/intranet/stream/155936001942205945" TargetMode="External"/><Relationship Id="rId22" Type="http://schemas.openxmlformats.org/officeDocument/2006/relationships/hyperlink" Target="https://sprints.zoho.in/workspace/zdocs#P15/itemdetails/I7453" TargetMode="External"/><Relationship Id="rId23" Type="http://schemas.openxmlformats.org/officeDocument/2006/relationships/hyperlink" Target="mailto:sachin.baluja@shivnadarfoundation.org" TargetMode="External"/><Relationship Id="rId24" Type="http://schemas.openxmlformats.org/officeDocument/2006/relationships/hyperlink" Target="https://cliq.zoho.in/company/60002085329/chats/1796011116864325061" TargetMode="External"/><Relationship Id="rId25" Type="http://schemas.openxmlformats.org/officeDocument/2006/relationships/hyperlink" Target="https://sprints.zoho.in/workspace/zdocs#P15/itemdetails/I7465" TargetMode="External"/><Relationship Id="rId26" Type="http://schemas.openxmlformats.org/officeDocument/2006/relationships/hyperlink" Target="https://sprints.zoho.in/workspace/zdocs#P15/itemdetails/I7462" TargetMode="External"/><Relationship Id="rId27" Type="http://schemas.openxmlformats.org/officeDocument/2006/relationships/hyperlink" Target="mailto:rrangdal@agility.com" TargetMode="External"/><Relationship Id="rId28" Type="http://schemas.openxmlformats.org/officeDocument/2006/relationships/hyperlink" Target="https://sprints.zoho.in/workspace/zdocs#P15/itemdetails/I7454" TargetMode="External"/><Relationship Id="rId29" Type="http://schemas.openxmlformats.org/officeDocument/2006/relationships/hyperlink" Target="mailto:abhilash@mecpl.in" TargetMode="External"/><Relationship Id="rId30" Type="http://schemas.openxmlformats.org/officeDocument/2006/relationships/hyperlink" Target="https://cliq.zoho.in/company/60002085329/chats/1796011120441739409" TargetMode="External"/><Relationship Id="rId31" Type="http://schemas.openxmlformats.org/officeDocument/2006/relationships/hyperlink" Target="https://sprints.zoho.in/workspace/zdocs#P15/itemdetails/I7466" TargetMode="External"/><Relationship Id="rId32" Type="http://schemas.openxmlformats.org/officeDocument/2006/relationships/hyperlink" Target="mailto:ashok_gaikar@icicipruamc.com" TargetMode="External"/><Relationship Id="rId33" Type="http://schemas.openxmlformats.org/officeDocument/2006/relationships/hyperlink" Target="https://cliq.zoho.in/chats/CT_1291637385363622570_60002085329-T-1291643112556152236" TargetMode="External"/><Relationship Id="rId34" Type="http://schemas.openxmlformats.org/officeDocument/2006/relationships/hyperlink" Target="https://sprints.zoho.in/workspace/zdocs#P15/itemdetails/I7467" TargetMode="External"/><Relationship Id="rId35" Type="http://schemas.openxmlformats.org/officeDocument/2006/relationships/hyperlink" Target="mailto:pradeep.thakur@canarahsbclife.in" TargetMode="External"/><Relationship Id="rId36" Type="http://schemas.openxmlformats.org/officeDocument/2006/relationships/hyperlink" Target="https://cliq.zoho.in/chats/1796011121160837710" TargetMode="External"/><Relationship Id="rId37" Type="http://schemas.openxmlformats.org/officeDocument/2006/relationships/hyperlink" Target="https://sprints.zoho.in/workspace/zdocs#P15/itemdetails/I7478" TargetMode="External"/><Relationship Id="rId38" Type="http://schemas.openxmlformats.org/officeDocument/2006/relationships/hyperlink" Target="https://sprints.zoho.in/workspace/zdocs#P15/itemdetails/I7479" TargetMode="External"/><Relationship Id="rId39" Type="http://schemas.openxmlformats.org/officeDocument/2006/relationships/hyperlink" Target="https://cliq.zoho.in/company/60002085329/chats/CT_1291637385363622570_60002085329-T-1291572790540748493" TargetMode="External"/><Relationship Id="rId40" Type="http://schemas.openxmlformats.org/officeDocument/2006/relationships/hyperlink" Target="https://helpdesk.egnyte.com/hc/en-us/articles/31327880655245-Understanding-Deduplication-in-the-WebUI" TargetMode="External"/><Relationship Id="rId41" Type="http://schemas.openxmlformats.org/officeDocument/2006/relationships/hyperlink" Target="https://sprints.zoho.in/workspace/zdocs#P15/itemdetails/I7567" TargetMode="External"/><Relationship Id="rId42" Type="http://schemas.openxmlformats.org/officeDocument/2006/relationships/hyperlink" Target="https://sprints.zoho.in/workspace/zdocs#P15/itemdetails/I7568" TargetMode="External"/><Relationship Id="rId43" Type="http://schemas.openxmlformats.org/officeDocument/2006/relationships/hyperlink" Target="mailto:saeed.dawood@sab-express.com" TargetMode="External"/><Relationship Id="rId44" Type="http://schemas.openxmlformats.org/officeDocument/2006/relationships/hyperlink" Target="https://cliq.zoho.in/company/60002085329/chats/CT_1291637385363622570_60002085329/messages/1776329819973_8334744880770" TargetMode="External"/><Relationship Id="rId45" Type="http://schemas.openxmlformats.org/officeDocument/2006/relationships/hyperlink" Target="https://sprints.zoho.in/workspace/zdocs#P15/itemdetails/I7765" TargetMode="External"/></Relationships>
</file>

<file path=xl/worksheets/_rels/sheet18.xml.rels><?xml version="1.0" encoding="UTF-8" standalone="yes"?><Relationships xmlns="http://schemas.openxmlformats.org/package/2006/relationships"><Relationship Id="rId1" Type="http://schemas.openxmlformats.org/officeDocument/2006/relationships/hyperlink" Target="mailto:deepak.kashyap@go-mmt.com" TargetMode="External"/><Relationship Id="rId2" Type="http://schemas.openxmlformats.org/officeDocument/2006/relationships/hyperlink" Target="https://crmplus.zoho.in/zohocorppace/index.do/cxapp/agent/zohocorp/zoho-workdrive-presales/requests/details/205219031238833697"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AC53"/>
  <sheetViews>
    <sheetView workbookViewId="0" showGridLines="0"/>
  </sheetViews>
  <sheetFormatPr defaultRowHeight="14.0" customHeight="1"/>
  <cols>
    <col min="1" max="1" width="13.24"/>
    <col min="2" max="2" width="12.85"/>
    <col min="3" max="3" width="11.79"/>
    <col min="4" max="4" width="11.39"/>
    <col min="5" max="5" width="11.65"/>
    <col min="6" max="6" width="13.24"/>
    <col min="7" max="7" width="9.8"/>
    <col min="8" max="8" width="13.24"/>
    <col min="9" max="9" width="19.6"/>
    <col min="10" max="10" width="11.26"/>
    <col min="11" max="11" width="11.12"/>
    <col min="12" max="12" width="11.79"/>
    <col min="13" max="13" width="12.32"/>
    <col min="14" max="24" width="13.24"/>
    <col min="25" max="25" width="8.61"/>
    <col min="26" max="27" width="17.35"/>
    <col min="28" max="28" width="19.74"/>
    <col min="29" max="29" width="16.42"/>
    <col min="30" max="2048" width="13.24"/>
  </cols>
  <sheetData>
    <row r="1">
      <c r="A1" s="1"/>
      <c r="B1" s="1"/>
      <c r="C1" s="2" t="s">
        <v>0</v>
      </c>
      <c r="D1" s="2"/>
      <c r="E1" s="2"/>
      <c r="F1" s="2"/>
      <c r="G1" s="2"/>
      <c r="H1" s="2"/>
      <c r="I1" s="2"/>
      <c r="J1" s="2"/>
      <c r="K1" s="2"/>
      <c r="L1" s="1"/>
      <c r="N1" s="1"/>
    </row>
    <row r="2">
      <c r="A2" s="1"/>
      <c r="B2" s="1"/>
      <c r="C2" s="2"/>
      <c r="D2" s="2"/>
      <c r="E2" s="2"/>
      <c r="F2" s="2"/>
      <c r="G2" s="2"/>
      <c r="H2" s="2"/>
      <c r="I2" s="2"/>
      <c r="J2" s="2"/>
      <c r="K2" s="2"/>
      <c r="L2" s="1"/>
      <c r="M2" s="1"/>
      <c r="N2" s="1"/>
      <c r="O2" s="1"/>
      <c r="P2" s="1"/>
      <c r="Q2" s="1"/>
      <c r="R2" s="1"/>
    </row>
    <row r="3">
      <c r="A3" s="1"/>
      <c r="B3" s="1"/>
      <c r="C3" s="3" t="s">
        <v>1</v>
      </c>
      <c r="D3" s="3"/>
      <c r="E3" s="3"/>
      <c r="F3" s="3"/>
      <c r="G3" s="3"/>
      <c r="H3" s="3"/>
      <c r="I3" s="3"/>
      <c r="J3" s="3"/>
      <c r="K3" s="3"/>
      <c r="L3" s="1"/>
      <c r="M3" s="1"/>
      <c r="N3" s="1"/>
      <c r="O3" s="1"/>
      <c r="P3" s="1"/>
      <c r="Q3" s="1"/>
      <c r="R3" s="1"/>
      <c r="S3" s="1"/>
    </row>
    <row r="4" customFormat="1" s="1">
      <c r="C4" s="3"/>
      <c r="D4" s="3"/>
      <c r="E4" s="3"/>
      <c r="F4" s="3"/>
      <c r="G4" s="3"/>
      <c r="H4" s="3"/>
      <c r="I4" s="3"/>
      <c r="J4" s="3"/>
      <c r="K4" s="3"/>
    </row>
    <row r="5" customFormat="1" s="1">
      <c r="B5" s="4" t="s">
        <v>2</v>
      </c>
      <c r="C5" s="5"/>
      <c r="D5" s="5"/>
      <c r="E5" s="6" t="s">
        <v>3</v>
      </c>
      <c r="F5" s="6"/>
      <c r="G5" s="6"/>
      <c r="H5" s="7" t="s">
        <v>4</v>
      </c>
      <c r="I5" s="7"/>
      <c r="J5" s="8" t="s">
        <v>5</v>
      </c>
      <c r="K5" s="8"/>
      <c r="L5" s="9"/>
    </row>
    <row r="6" customFormat="1" s="1">
      <c r="B6" s="10">
        <f>COUNTIF('January'!$P$2:$P$2000,"Deal Won")+COUNTIF('February'!$P$2:$P$2000,"Deal Won")+COUNTIF('March'!$P$2:$P$2000,"Deal Won")+COUNTIF('April'!$P$2:$P$2000,"Deal Won")+COUNTIF('May'!$P$2:$P$2000,"Deal Won")+COUNTIF('June'!$P$2:$P$2002,"Deal Won")+COUNTIF('July'!$P$2:$P$2000,"Deal Won")+COUNTIF('August'!$P$2:$P$2000,"Deal Won")+COUNTIF('September'!$P$2:$P$2000,"Deal Won")+COUNTIF('October'!$P$2:$P$2000,"Deal Won")+COUNTIF('November'!$P$2:$P$2000,"Deal Won")+COUNTIF('December'!$P$2:$P$2000,"Deal Won")</f>
        <v>129.0</v>
      </c>
      <c r="C6" s="10"/>
      <c r="D6" s="10"/>
      <c r="E6" s="11">
        <f>COUNTIF('January'!$P$2:$P$2000,"Deal Lost")+COUNTIF('February'!$P$2:$P$2000,"Deal Lost")+COUNTIF('March'!$P$2:$P$2000,"Deal Lost")+COUNTIF('April'!$P$2:$P$2000,"Deal Lost")+COUNTIF('May'!$P$2:$P$2000,"Deal Lost")+COUNTIF('June'!$P$2:$P$2002,"Deal Lost")+COUNTIF('July'!$P$2:$P$2000,"Deal Lost")+COUNTIF('August'!$P$2:$P$2000,"Deal Lost")+COUNTIF('September'!$P$2:$P$2000,"Deal Lost")+COUNTIF('October'!$P$2:$P$2000,"Deal Lost")+COUNTIF('November'!$P$2:$P$2000,"Deal Lost")+COUNTIF('December'!$P$2:$P$2000,"Deal Lost")</f>
        <v>238.0</v>
      </c>
      <c r="F6" s="11"/>
      <c r="G6" s="11"/>
      <c r="H6" s="12">
        <f>COUNTIF('January'!$P$2:$P$2000,"In Progress")+COUNTIF('February'!$P$2:$P$2000,"In Progress")+COUNTIF('March'!$P$2:$P$2000,"In Progress")+COUNTIF('April'!$P$2:$P$2000,"In Progress")+COUNTIF('May'!$P$2:$P$2000,"In Progress")+COUNTIF('June'!$P$2:$P$2002,"In Progress")+COUNTIF('July'!$P$2:$P$2000,"In Progress")+COUNTIF('August'!$P$2:$P$2000,"In Progress")+COUNTIF('September'!$P$2:$P$2000,"In Progress")+COUNTIF('October'!$P$2:$P$2000,"In Progress")+COUNTIF('November'!$P$2:$P$2000,"In Progress")+COUNTIF('December'!$P$2:$P$2000,"In Progress")</f>
        <v>87.0</v>
      </c>
      <c r="I6" s="12"/>
      <c r="J6" s="13">
        <f>IF(B6+E6=0,0,B6/(B6+E6))</f>
        <v>0.35149863760218</v>
      </c>
      <c r="K6" s="13"/>
      <c r="L6" s="13"/>
    </row>
    <row r="7" customFormat="1" s="1">
      <c r="B7" s="10"/>
      <c r="C7" s="10"/>
      <c r="D7" s="10"/>
      <c r="E7" s="11"/>
      <c r="F7" s="11"/>
      <c r="G7" s="11"/>
      <c r="H7" s="12"/>
      <c r="I7" s="12"/>
      <c r="J7" s="13"/>
      <c r="K7" s="13"/>
      <c r="L7" s="13"/>
    </row>
    <row r="8">
      <c r="A8" s="1"/>
      <c r="B8" s="1"/>
      <c r="C8" s="1"/>
      <c r="D8" s="1"/>
      <c r="E8" s="1"/>
      <c r="F8" s="1"/>
      <c r="G8" s="1"/>
      <c r="H8" s="1"/>
      <c r="I8" s="1"/>
      <c r="J8" s="1"/>
      <c r="K8" s="1"/>
      <c r="L8" s="1"/>
      <c r="M8" s="1"/>
    </row>
    <row r="9" ht="18.0">
      <c r="A9" s="14" t="s">
        <v>6</v>
      </c>
      <c r="B9" s="14"/>
      <c r="C9" s="14"/>
      <c r="D9" s="14"/>
      <c r="E9" s="14"/>
      <c r="F9" s="14"/>
      <c r="G9" s="1"/>
      <c r="N9" s="1"/>
    </row>
    <row r="10" ht="14.0">
      <c r="A10" s="15" t="s">
        <v>7</v>
      </c>
      <c r="B10" s="15" t="s">
        <v>8</v>
      </c>
      <c r="C10" s="15" t="s">
        <v>9</v>
      </c>
      <c r="D10" s="15" t="s">
        <v>10</v>
      </c>
      <c r="E10" s="15" t="s">
        <v>11</v>
      </c>
      <c r="F10" s="15" t="s">
        <v>12</v>
      </c>
      <c r="G10" s="1"/>
      <c r="N10" s="1"/>
    </row>
    <row r="11" ht="14.0">
      <c r="A11" s="16" t="s">
        <v>13</v>
      </c>
      <c r="B11" s="17">
        <f>COUNTIF('January'!$P$2:$P$2000,"Deal Won")+COUNTIF('January'!$P$2:$P$2000,"Deal Lost")+COUNTIF('January'!$P$2:$P$2000,"In Progress")+COUNTIF('January'!$P$2:$P$2000,"Existing customer")+COUNTIF('January'!$P$2:$P$2000,"No Scope for WD")+COUNTIF('January'!$P$2:$P$2000,"Free user")+COUNTIF('January'!$P$2:$P$2000,"Partner")</f>
        <v>99.0</v>
      </c>
      <c r="C11" s="17">
        <f>COUNTIF('January'!$P$2:$P$2000,"Deal Won")</f>
        <v>31.0</v>
      </c>
      <c r="D11" s="17">
        <f>COUNTIF('January'!$P$2:$P$2000,"Deal Lost")</f>
        <v>53.0</v>
      </c>
      <c r="E11" s="17">
        <f>COUNTIF('January'!$P$2:$P$2000,"In Progress")</f>
        <v>0.0</v>
      </c>
      <c r="F11" s="18">
        <f t="shared" ref="F11:F23" si="8">IF(C11+D11=0,0,C11/(C11+D11))</f>
        <v>0.369047619047619</v>
      </c>
      <c r="G11" s="1"/>
      <c r="N11" s="1"/>
      <c r="Z11" s="15" t="s">
        <v>8</v>
      </c>
      <c r="AA11" s="19" t="s">
        <v>7</v>
      </c>
      <c r="AB11" s="15" t="s">
        <v>14</v>
      </c>
      <c r="AC11" s="15" t="s">
        <v>15</v>
      </c>
    </row>
    <row r="12" ht="14.0">
      <c r="A12" s="16" t="s">
        <v>16</v>
      </c>
      <c r="B12" s="17">
        <f>COUNTIF('February'!$P$2:$P$2000,"Deal Won")+COUNTIF('February'!$P$2:$P$2000,"Deal Lost")+COUNTIF('February'!$P$2:$P$2000,"In Progress")+COUNTIF('February'!$P$2:$P$2000,"Existing customer")+COUNTIF('February'!$P$2:$P$2000,"No Scope for WD")+COUNTIF('February'!$P$2:$P$2000,"Free user")+COUNTIF('February'!$P$2:$P$2000,"Partner")</f>
        <v>98.0</v>
      </c>
      <c r="C12" s="17">
        <f>COUNTIF('February'!$P$2:$P$2000,"Deal Won")</f>
        <v>25.0</v>
      </c>
      <c r="D12" s="17">
        <f>COUNTIF('February'!$P$2:$P$2000,"Deal Lost")</f>
        <v>57.0</v>
      </c>
      <c r="E12" s="17">
        <f>COUNTIF('February'!$P$2:$P$2000,"In Progress")</f>
        <v>3.0</v>
      </c>
      <c r="F12" s="18">
        <f t="shared" si="8"/>
        <v>0.304878048780488</v>
      </c>
      <c r="G12" s="1"/>
      <c r="N12" s="1"/>
      <c r="Z12" s="17">
        <f>COUNTIF('January'!$P$2:$P$2000,"Deal Won")+COUNTIF('January'!$P$2:$P$2000,"Deal Lost")+COUNTIF('January'!$P$2:$P$2000,"In Progress")+COUNTIF('January'!$P$2:$P$2000,"Existing customer")+COUNTIF('January'!$P$2:$P$2000,"No Scope for WD")+COUNTIF('January'!$P$2:$P$2000,"Free user")+COUNTIF('January'!$P$2:$P$2000,"Partner")</f>
        <v>99.0</v>
      </c>
      <c r="AA12" s="20" t="s">
        <v>13</v>
      </c>
      <c r="AB12" s="17">
        <f>COUNTIFS('January'!$P$2:$P$2000,"Deal Won",'January'!$N$2:$N$2000,"New Prospect")+COUNTIFS('January'!$P$2:$P$2000,"Deal Lost",'January'!$N$2:$N$2000,"New Prospect")+COUNTIFS('January'!$P$2:$P$2000,"In Progress",'January'!$N$2:$N$2000,"New Prospect")</f>
        <v>79.0</v>
      </c>
      <c r="AC12" s="17">
        <f t="shared" ref="AC12:AC23" si="15">Z12-AB12</f>
        <v>20.0</v>
      </c>
    </row>
    <row r="13" ht="14.0">
      <c r="A13" s="16" t="s">
        <v>17</v>
      </c>
      <c r="B13" s="17">
        <f>COUNTIF('March'!$P$2:$P$2000,"Deal Won")+COUNTIF('March'!$P$2:$P$2000,"Deal Lost")+COUNTIF('March'!$P$2:$P$2000,"In Progress")+COUNTIF('March'!$P$2:$P$2000,"Existing customer")+COUNTIF('March'!$P$2:$P$2000,"No Scope for WD")+COUNTIF('March'!$P$2:$P$2000,"Free user")+COUNTIF('March'!$P$2:$P$2000,"Partner")</f>
        <v>117.0</v>
      </c>
      <c r="C13" s="17">
        <f>COUNTIF('March'!$P$2:$P$2000,"Deal Won")</f>
        <v>28.0</v>
      </c>
      <c r="D13" s="17">
        <f>COUNTIF('March'!$P$2:$P$2000,"Deal Lost")</f>
        <v>48.0</v>
      </c>
      <c r="E13" s="17">
        <f>COUNTIF('March'!$P$2:$P$2000,"In Progress")</f>
        <v>10.0</v>
      </c>
      <c r="F13" s="18">
        <f t="shared" si="8"/>
        <v>0.368421052631579</v>
      </c>
      <c r="G13" s="1"/>
      <c r="N13" s="1"/>
      <c r="Z13" s="17">
        <f>COUNTIF('February'!$P$2:$P$2000,"Deal Won")+COUNTIF('February'!$P$2:$P$2000,"Deal Lost")+COUNTIF('February'!$P$2:$P$2000,"In Progress")+COUNTIF('February'!$P$2:$P$2000,"Existing customer")+COUNTIF('February'!$P$2:$P$2000,"No Scope for WD")+COUNTIF('February'!$P$2:$P$2000,"Free user")+COUNTIF('February'!$P$2:$P$2000,"Partner")</f>
        <v>98.0</v>
      </c>
      <c r="AA13" s="20" t="s">
        <v>16</v>
      </c>
      <c r="AB13" s="17">
        <f>COUNTIFS('February'!$P$2:$P$2000,"Deal Won",'February'!$N$2:$N$2000,"New Prospect")+COUNTIFS('February'!$P$2:$P$2000,"Deal Lost",'February'!$N$2:$N$2000,"New Prospect")+COUNTIFS('February'!$P$2:$P$2000,"In Progress",'February'!$N$2:$N$2000,"New Prospect")</f>
        <v>71.0</v>
      </c>
      <c r="AC13" s="17">
        <f t="shared" si="15"/>
        <v>27.0</v>
      </c>
    </row>
    <row r="14" ht="14.0">
      <c r="A14" s="16" t="s">
        <v>18</v>
      </c>
      <c r="B14" s="17">
        <f>COUNTIF('April'!$P$2:$P$2000,"Deal Won")+COUNTIF('April'!$P$2:$P$2000,"Deal Lost")+COUNTIF('April'!$P$2:$P$2000,"In Progress")+COUNTIF('April'!$P$2:$P$2000,"Existing customer")+COUNTIF('April'!$P$2:$P$2000,"No Scope for WD")+COUNTIF('April'!$P$2:$P$2000,"Free user")+COUNTIF('April'!$P$2:$P$2000,"Partner")</f>
        <v>105.0</v>
      </c>
      <c r="C14" s="17">
        <f>COUNTIF('April'!$P$2:$P$2000,"Deal Won")</f>
        <v>28.0</v>
      </c>
      <c r="D14" s="17">
        <f>COUNTIF('April'!$P$2:$P$2000,"Deal Lost")</f>
        <v>38.0</v>
      </c>
      <c r="E14" s="17">
        <f>COUNTIF('April'!$P$2:$P$2000,"In Progress")</f>
        <v>13.0</v>
      </c>
      <c r="F14" s="18">
        <f t="shared" si="8"/>
        <v>0.424242424242424</v>
      </c>
      <c r="G14" s="1"/>
      <c r="N14" s="1"/>
      <c r="Z14" s="17">
        <f>COUNTIF('March'!$P$2:$P$2000,"Deal Won")+COUNTIF('March'!$P$2:$P$2000,"Deal Lost")+COUNTIF('March'!$P$2:$P$2000,"In Progress")+COUNTIF('March'!$P$2:$P$2000,"Existing customer")+COUNTIF('March'!$P$2:$P$2000,"No Scope for WD")+COUNTIF('March'!$P$2:$P$2000,"Free user")+COUNTIF('March'!$P$2:$P$2000,"Partner")</f>
        <v>117.0</v>
      </c>
      <c r="AA14" s="20" t="s">
        <v>17</v>
      </c>
      <c r="AB14" s="17">
        <f>COUNTIFS('March'!$P$2:$P$2000,"Deal Won",'March'!$N$2:$N$2000,"New Prospect")+COUNTIFS('March'!$P$2:$P$2000,"Deal Lost",'March'!$N$2:$N$2000,"New Prospect")+COUNTIFS('March'!$P$2:$P$2000,"In Progress",'March'!$N$2:$N$2000,"New Prospect")</f>
        <v>74.0</v>
      </c>
      <c r="AC14" s="17">
        <f t="shared" si="15"/>
        <v>43.0</v>
      </c>
    </row>
    <row r="15" ht="14.0">
      <c r="A15" s="16" t="s">
        <v>19</v>
      </c>
      <c r="B15" s="17">
        <f>COUNTIF('May'!$P$2:$P$2000,"Deal Won")+COUNTIF('May'!$P$2:$P$2000,"Deal Lost")+COUNTIF('May'!$P$2:$P$2000,"In Progress")+COUNTIF('May'!$P$2:$P$2000,"Existing customer")+COUNTIF('May'!$P$2:$P$2000,"No Scope for WD")+COUNTIF('May'!$P$2:$P$2000,"Free user")+COUNTIF('May'!$P$2:$P$2000,"Partner")</f>
        <v>97.0</v>
      </c>
      <c r="C15" s="17">
        <f>COUNTIF('May'!$P$2:$P$2000,"Deal Won")</f>
        <v>15.0</v>
      </c>
      <c r="D15" s="17">
        <f>COUNTIF('May'!$P$2:$P$2000,"Deal Lost")</f>
        <v>41.0</v>
      </c>
      <c r="E15" s="17">
        <f>COUNTIF('May'!$P$2:$P$2000,"In Progress")</f>
        <v>19.0</v>
      </c>
      <c r="F15" s="18">
        <f t="shared" si="8"/>
        <v>0.267857142857142</v>
      </c>
      <c r="G15" s="1"/>
      <c r="N15" s="1"/>
      <c r="Z15" s="17">
        <f>COUNTIF('April'!$P$2:$P$2000,"Deal Won")+COUNTIF('April'!$P$2:$P$2000,"Deal Lost")+COUNTIF('April'!$P$2:$P$2000,"In Progress")+COUNTIF('April'!$P$2:$P$2000,"Existing customer")+COUNTIF('April'!$P$2:$P$2000,"No Scope for WD")+COUNTIF('April'!$P$2:$P$2000,"Free user")+COUNTIF('April'!$P$2:$P$2000,"Partner")</f>
        <v>105.0</v>
      </c>
      <c r="AA15" s="20" t="s">
        <v>18</v>
      </c>
      <c r="AB15" s="17">
        <f>COUNTIFS('April'!$P$2:$P$2000,"Deal Won",'April'!$N$2:$N$2000,"New Prospect")+COUNTIFS('April'!$P$2:$P$2000,"Deal Lost",'April'!$N$2:$N$2000,"New Prospect")+COUNTIFS('April'!$P$2:$P$2000,"In Progress",'April'!$N$2:$N$2000,"New Prospect")</f>
        <v>61.0</v>
      </c>
      <c r="AC15" s="17">
        <f t="shared" si="15"/>
        <v>44.0</v>
      </c>
    </row>
    <row r="16" ht="14.0">
      <c r="A16" s="16" t="s">
        <v>20</v>
      </c>
      <c r="B16" s="17">
        <f>COUNTIF('June'!$P$2:$P$2002,"Deal Won")+COUNTIF('June'!$P$2:$P$2002,"Deal Lost")+COUNTIF('June'!$P$2:$P$2002,"In Progress")+COUNTIF('June'!$P$2:$P$2002,"Existing customer")+COUNTIF('June'!$P$2:$P$2002,"No Scope for WD")+COUNTIF('June'!$P$2:$P$2002,"Free user")+COUNTIF('June'!$P$2:$P$2002,"Partner")</f>
        <v>54.0</v>
      </c>
      <c r="C16" s="17">
        <f>COUNTIF('June'!$P$2:$P$2002,"Deal Won")</f>
        <v>2.0</v>
      </c>
      <c r="D16" s="17">
        <f>COUNTIF('June'!$P$2:$P$2002,"Deal Lost")</f>
        <v>1.0</v>
      </c>
      <c r="E16" s="17">
        <f>COUNTIF('June'!$P$2:$P$2002,"In Progress")</f>
        <v>42.0</v>
      </c>
      <c r="F16" s="18">
        <f t="shared" si="8"/>
        <v>0.666666666666667</v>
      </c>
      <c r="G16" s="1"/>
      <c r="N16" s="1"/>
      <c r="Z16" s="17">
        <f>COUNTIF('May'!$P$2:$P$2000,"Deal Won")+COUNTIF('May'!$P$2:$P$2000,"Deal Lost")+COUNTIF('May'!$P$2:$P$2000,"In Progress")+COUNTIF('May'!$P$2:$P$2000,"Existing customer")+COUNTIF('May'!$P$2:$P$2000,"No Scope for WD")+COUNTIF('May'!$P$2:$P$2000,"Free user")+COUNTIF('May'!$P$2:$P$2000,"Partner")</f>
        <v>97.0</v>
      </c>
      <c r="AA16" s="20" t="s">
        <v>19</v>
      </c>
      <c r="AB16" s="17">
        <f>COUNTIFS('May'!$P$2:$P$2000,"Deal Won",'May'!$N$2:$N$2000,"New Prospect")+COUNTIFS('May'!$P$2:$P$2000,"Deal Lost",'May'!$N$2:$N$2000,"New Prospect")+COUNTIFS('May'!$P$2:$P$2000,"In Progress",'May'!$N$2:$N$2000,"New Prospect")</f>
        <v>63.0</v>
      </c>
      <c r="AC16" s="17">
        <f t="shared" si="15"/>
        <v>34.0</v>
      </c>
    </row>
    <row r="17" ht="14.0">
      <c r="A17" s="16" t="s">
        <v>21</v>
      </c>
      <c r="B17" s="17">
        <f>COUNTIF('July'!$P$2:$P$2000,"Deal Won")+COUNTIF('July'!$P$2:$P$2000,"Deal Lost")+COUNTIF('July'!$P$2:$P$2000,"In Progress")+COUNTIF('July'!$P$2:$P$2000,"Existing customer")+COUNTIF('July'!$P$2:$P$2000,"No Scope for WD")+COUNTIF('July'!$P$2:$P$2000,"Free user")+COUNTIF('July'!$P$2:$P$2000,"Partner")</f>
        <v>0.0</v>
      </c>
      <c r="C17" s="17">
        <f>COUNTIF('July'!$P$2:$P$2000,"Deal Won")</f>
        <v>0.0</v>
      </c>
      <c r="D17" s="17">
        <f>COUNTIF('July'!$P$2:$P$2000,"Deal Lost")</f>
        <v>0.0</v>
      </c>
      <c r="E17" s="17">
        <f>COUNTIF('July'!$P$2:$P$2000,"In Progress")</f>
        <v>0.0</v>
      </c>
      <c r="F17" s="18">
        <f t="shared" si="8"/>
        <v>0.0</v>
      </c>
      <c r="G17" s="1"/>
      <c r="N17" s="1"/>
      <c r="Z17" s="17">
        <f>COUNTIF('June'!$P$2:$P$2002,"Deal Won")+COUNTIF('June'!$P$2:$P$2002,"Deal Lost")+COUNTIF('June'!$P$2:$P$2002,"In Progress")+COUNTIF('June'!$P$2:$P$2002,"Existing customer")+COUNTIF('June'!$P$2:$P$2002,"No Scope for WD")+COUNTIF('June'!$P$2:$P$2002,"Free user")+COUNTIF('June'!$P$2:$P$2002,"Partner")</f>
        <v>54.0</v>
      </c>
      <c r="AA17" s="20" t="s">
        <v>20</v>
      </c>
      <c r="AB17" s="17">
        <f>COUNTIFS('June'!$P$2:$P$2002,"Deal Won",'June'!$N$2:$N$2002,"New Prospect")+COUNTIFS('June'!$P$2:$P$2002,"Deal Lost",'June'!$N$2:$N$2002,"New Prospect")+COUNTIFS('June'!$P$2:$P$2002,"In Progress",'June'!$N$2:$N$2002,"New Prospect")</f>
        <v>38.0</v>
      </c>
      <c r="AC17" s="17">
        <f t="shared" si="15"/>
        <v>16.0</v>
      </c>
    </row>
    <row r="18" ht="14.0">
      <c r="A18" s="16" t="s">
        <v>22</v>
      </c>
      <c r="B18" s="17">
        <f>COUNTIF('August'!$P$2:$P$2000,"Deal Won")+COUNTIF('August'!$P$2:$P$2000,"Deal Lost")+COUNTIF('August'!$P$2:$P$2000,"In Progress")+COUNTIF('August'!$P$2:$P$2000,"Existing customer")+COUNTIF('August'!$P$2:$P$2000,"No Scope for WD")+COUNTIF('August'!$P$2:$P$2000,"Free user")+COUNTIF('August'!$P$2:$P$2000,"Partner")</f>
        <v>0.0</v>
      </c>
      <c r="C18" s="17">
        <f>COUNTIF('August'!$P$2:$P$2000,"Deal Won")</f>
        <v>0.0</v>
      </c>
      <c r="D18" s="17">
        <f>COUNTIF('August'!$P$2:$P$2000,"Deal Lost")</f>
        <v>0.0</v>
      </c>
      <c r="E18" s="17">
        <f>COUNTIF('August'!$P$2:$P$2000,"In Progress")</f>
        <v>0.0</v>
      </c>
      <c r="F18" s="18">
        <f t="shared" si="8"/>
        <v>0.0</v>
      </c>
      <c r="G18" s="1"/>
      <c r="N18" s="1"/>
      <c r="Z18" s="17">
        <f>COUNTIF('July'!$P$2:$P$2000,"Deal Won")+COUNTIF('July'!$P$2:$P$2000,"Deal Lost")+COUNTIF('July'!$P$2:$P$2000,"In Progress")+COUNTIF('July'!$P$2:$P$2000,"Existing customer")+COUNTIF('July'!$P$2:$P$2000,"No Scope for WD")+COUNTIF('July'!$P$2:$P$2000,"Free user")+COUNTIF('July'!$P$2:$P$2000,"Partner")</f>
        <v>0.0</v>
      </c>
      <c r="AA18" s="20" t="s">
        <v>21</v>
      </c>
      <c r="AB18" s="17">
        <f>COUNTIFS('July'!$P$2:$P$2000,"Deal Won",'July'!$N$2:$N$2000,"New Prospect")+COUNTIFS('July'!$P$2:$P$2000,"Deal Lost",'July'!$N$2:$N$2000,"New Prospect")+COUNTIFS('July'!$P$2:$P$2000,"In Progress",'July'!$N$2:$N$2000,"New Prospect")</f>
        <v>0.0</v>
      </c>
      <c r="AC18" s="17">
        <f t="shared" si="15"/>
        <v>0.0</v>
      </c>
    </row>
    <row r="19" ht="14.0">
      <c r="A19" s="16" t="s">
        <v>23</v>
      </c>
      <c r="B19" s="17">
        <f>COUNTIF('September'!$P$2:$P$2000,"Deal Won")+COUNTIF('September'!$P$2:$P$2000,"Deal Lost")+COUNTIF('September'!$P$2:$P$2000,"In Progress")+COUNTIF('September'!$P$2:$P$2000,"Existing customer")+COUNTIF('September'!$P$2:$P$2000,"No Scope for WD")+COUNTIF('September'!$P$2:$P$2000,"Free user")+COUNTIF('September'!$P$2:$P$2000,"Partner")</f>
        <v>0.0</v>
      </c>
      <c r="C19" s="17">
        <f>COUNTIF('September'!$P$2:$P$2000,"Deal Won")</f>
        <v>0.0</v>
      </c>
      <c r="D19" s="17">
        <f>COUNTIF('September'!$P$2:$P$2000,"Deal Lost")</f>
        <v>0.0</v>
      </c>
      <c r="E19" s="17">
        <f>COUNTIF('September'!$P$2:$P$2000,"In Progress")</f>
        <v>0.0</v>
      </c>
      <c r="F19" s="18">
        <f t="shared" si="8"/>
        <v>0.0</v>
      </c>
      <c r="G19" s="1"/>
      <c r="N19" s="1"/>
      <c r="Z19" s="17">
        <f>COUNTIF('August'!$P$2:$P$2000,"Deal Won")+COUNTIF('August'!$P$2:$P$2000,"Deal Lost")+COUNTIF('August'!$P$2:$P$2000,"In Progress")+COUNTIF('August'!$P$2:$P$2000,"Existing customer")+COUNTIF('August'!$P$2:$P$2000,"No Scope for WD")+COUNTIF('August'!$P$2:$P$2000,"Free user")+COUNTIF('August'!$P$2:$P$2000,"Partner")</f>
        <v>0.0</v>
      </c>
      <c r="AA19" s="20" t="s">
        <v>22</v>
      </c>
      <c r="AB19" s="17">
        <f>COUNTIFS('August'!$P$2:$P$2000,"Deal Won",'August'!$N$2:$N$2000,"New Prospect")+COUNTIFS('August'!$P$2:$P$2000,"Deal Lost",'August'!$N$2:$N$2000,"New Prospect")+COUNTIFS('August'!$P$2:$P$2000,"In Progress",'August'!$N$2:$N$2000,"New Prospect")</f>
        <v>0.0</v>
      </c>
      <c r="AC19" s="17">
        <f t="shared" si="15"/>
        <v>0.0</v>
      </c>
    </row>
    <row r="20" ht="14.0">
      <c r="A20" s="16" t="s">
        <v>24</v>
      </c>
      <c r="B20" s="17">
        <f>COUNTIF('October'!$P$2:$P$2000,"Deal Won")+COUNTIF('October'!$P$2:$P$2000,"Deal Lost")+COUNTIF('October'!$P$2:$P$2000,"In Progress")+COUNTIF('October'!$P$2:$P$2000,"Existing customer")+COUNTIF('October'!$P$2:$P$2000,"No Scope for WD")+COUNTIF('October'!$P$2:$P$2000,"Free user")+COUNTIF('October'!$P$2:$P$2000,"Partner")</f>
        <v>0.0</v>
      </c>
      <c r="C20" s="17">
        <f>COUNTIF('October'!$P$2:$P$2000,"Deal Won")</f>
        <v>0.0</v>
      </c>
      <c r="D20" s="17">
        <f>COUNTIF('October'!$P$2:$P$2000,"Deal Lost")</f>
        <v>0.0</v>
      </c>
      <c r="E20" s="17">
        <f>COUNTIF('October'!$P$2:$P$2000,"In Progress")</f>
        <v>0.0</v>
      </c>
      <c r="F20" s="18">
        <f t="shared" si="8"/>
        <v>0.0</v>
      </c>
      <c r="G20" s="1"/>
      <c r="N20" s="1"/>
      <c r="Z20" s="17">
        <f>COUNTIF('September'!$P$2:$P$2000,"Deal Won")+COUNTIF('September'!$P$2:$P$2000,"Deal Lost")+COUNTIF('September'!$P$2:$P$2000,"In Progress")+COUNTIF('September'!$P$2:$P$2000,"Existing customer")+COUNTIF('September'!$P$2:$P$2000,"No Scope for WD")+COUNTIF('September'!$P$2:$P$2000,"Free user")+COUNTIF('September'!$P$2:$P$2000,"Partner")</f>
        <v>0.0</v>
      </c>
      <c r="AA20" s="20" t="s">
        <v>23</v>
      </c>
      <c r="AB20" s="17">
        <f>COUNTIFS('September'!$P$2:$P$2000,"Deal Won",'September'!$N$2:$N$2000,"New Prospect")+COUNTIFS('September'!$P$2:$P$2000,"Deal Lost",'September'!$N$2:$N$2000,"New Prospect")+COUNTIFS('September'!$P$2:$P$2000,"In Progress",'September'!$N$2:$N$2000,"New Prospect")</f>
        <v>0.0</v>
      </c>
      <c r="AC20" s="17">
        <f t="shared" si="15"/>
        <v>0.0</v>
      </c>
    </row>
    <row r="21" ht="14.0">
      <c r="A21" s="16" t="s">
        <v>25</v>
      </c>
      <c r="B21" s="17">
        <f>COUNTIF('November'!$P$2:$P$2000,"Deal Won")+COUNTIF('November'!$P$2:$P$2000,"Deal Lost")+COUNTIF('November'!$P$2:$P$2000,"In Progress")+COUNTIF('November'!$P$2:$P$2000,"Existing customer")+COUNTIF('November'!$P$2:$P$2000,"No Scope for WD")+COUNTIF('November'!$P$2:$P$2000,"Free user")+COUNTIF('November'!$P$2:$P$2000,"Partner")</f>
        <v>0.0</v>
      </c>
      <c r="C21" s="17">
        <f>COUNTIF('November'!$P$2:$P$2000,"Deal Won")</f>
        <v>0.0</v>
      </c>
      <c r="D21" s="17">
        <f>COUNTIF('November'!$P$2:$P$2000,"Deal Lost")</f>
        <v>0.0</v>
      </c>
      <c r="E21" s="17">
        <f>COUNTIF('November'!$P$2:$P$2000,"In Progress")</f>
        <v>0.0</v>
      </c>
      <c r="F21" s="18">
        <f t="shared" si="8"/>
        <v>0.0</v>
      </c>
      <c r="G21" s="1"/>
      <c r="N21" s="1"/>
      <c r="Z21" s="17">
        <f>COUNTIF('October'!$P$2:$P$2000,"Deal Won")+COUNTIF('October'!$P$2:$P$2000,"Deal Lost")+COUNTIF('October'!$P$2:$P$2000,"In Progress")+COUNTIF('October'!$P$2:$P$2000,"Existing customer")+COUNTIF('October'!$P$2:$P$2000,"No Scope for WD")+COUNTIF('October'!$P$2:$P$2000,"Free user")+COUNTIF('October'!$P$2:$P$2000,"Partner")</f>
        <v>0.0</v>
      </c>
      <c r="AA21" s="20" t="s">
        <v>24</v>
      </c>
      <c r="AB21" s="17">
        <f>COUNTIFS('October'!$P$2:$P$2000,"Deal Won",'October'!$N$2:$N$2000,"New Prospect")+COUNTIFS('October'!$P$2:$P$2000,"Deal Lost",'October'!$N$2:$N$2000,"New Prospect")+COUNTIFS('October'!$P$2:$P$2000,"In Progress",'October'!$N$2:$N$2000,"New Prospect")</f>
        <v>0.0</v>
      </c>
      <c r="AC21" s="17">
        <f t="shared" si="15"/>
        <v>0.0</v>
      </c>
    </row>
    <row r="22" ht="14.0">
      <c r="A22" s="16" t="s">
        <v>26</v>
      </c>
      <c r="B22" s="17">
        <f>COUNTIF('December'!$P$2:$P$2000,"Deal Won")+COUNTIF('December'!$P$2:$P$2000,"Deal Lost")+COUNTIF('December'!$P$2:$P$2000,"In Progress")+COUNTIF('December'!$P$2:$P$2000,"Existing customer")+COUNTIF('December'!$P$2:$P$2000,"No Scope for WD")+COUNTIF('December'!$P$2:$P$2000,"Free user")+COUNTIF('December'!$P$2:$P$2000,"Partner")</f>
        <v>0.0</v>
      </c>
      <c r="C22" s="17">
        <f>COUNTIF('December'!$P$2:$P$2000,"Deal Won")</f>
        <v>0.0</v>
      </c>
      <c r="D22" s="17">
        <f>COUNTIF('December'!$P$2:$P$2000,"Deal Lost")</f>
        <v>0.0</v>
      </c>
      <c r="E22" s="17">
        <f>COUNTIF('December'!$P$2:$P$2000,"In Progress")</f>
        <v>0.0</v>
      </c>
      <c r="F22" s="18">
        <f t="shared" si="8"/>
        <v>0.0</v>
      </c>
      <c r="G22" s="1"/>
      <c r="N22" s="1"/>
      <c r="Z22" s="17">
        <f>COUNTIF('November'!$P$2:$P$2000,"Deal Won")+COUNTIF('November'!$P$2:$P$2000,"Deal Lost")+COUNTIF('November'!$P$2:$P$2000,"In Progress")+COUNTIF('November'!$P$2:$P$2000,"Existing customer")+COUNTIF('November'!$P$2:$P$2000,"No Scope for WD")+COUNTIF('November'!$P$2:$P$2000,"Free user")+COUNTIF('November'!$P$2:$P$2000,"Partner")</f>
        <v>0.0</v>
      </c>
      <c r="AA22" s="20" t="s">
        <v>25</v>
      </c>
      <c r="AB22" s="17">
        <f>COUNTIFS('November'!$P$2:$P$2000,"Deal Won",'November'!$N$2:$N$2000,"New Prospect")+COUNTIFS('November'!$P$2:$P$2000,"Deal Lost",'November'!$N$2:$N$2000,"New Prospect")+COUNTIFS('November'!$P$2:$P$2000,"In Progress",'November'!$N$2:$N$2000,"New Prospect")</f>
        <v>0.0</v>
      </c>
      <c r="AC22" s="17">
        <f t="shared" si="15"/>
        <v>0.0</v>
      </c>
    </row>
    <row r="23" ht="14.0">
      <c r="A23" s="21" t="s">
        <v>27</v>
      </c>
      <c r="B23" s="21">
        <f>SUM(B11:B22)</f>
        <v>570.0</v>
      </c>
      <c r="C23" s="21">
        <f>SUM(C11:C22)</f>
        <v>129.0</v>
      </c>
      <c r="D23" s="21">
        <f>SUM(D11:D22)</f>
        <v>238.0</v>
      </c>
      <c r="E23" s="21">
        <f>SUM(E11:E22)</f>
        <v>87.0</v>
      </c>
      <c r="F23" s="22">
        <f t="shared" si="8"/>
        <v>0.35149863760218</v>
      </c>
      <c r="G23" s="23"/>
      <c r="N23" s="1"/>
      <c r="Z23" s="24">
        <f>COUNTIF('December'!$P$2:$P$2000,"Deal Won")+COUNTIF('December'!$P$2:$P$2000,"Deal Lost")+COUNTIF('December'!$P$2:$P$2000,"In Progress")+COUNTIF('December'!$P$2:$P$2000,"Existing customer")+COUNTIF('December'!$P$2:$P$2000,"No Scope for WD")+COUNTIF('December'!$P$2:$P$2000,"Free user")+COUNTIF('December'!$P$2:$P$2000,"Partner")</f>
        <v>0.0</v>
      </c>
      <c r="AA23" s="25" t="s">
        <v>26</v>
      </c>
      <c r="AB23" s="17">
        <f>COUNTIFS('December'!$P$2:$P$2000,"Deal Won",'December'!$N$2:$N$2000,"New Prospect")+COUNTIFS('December'!$P$2:$P$2000,"Deal Lost",'December'!$N$2:$N$2000,"New Prospect")+COUNTIFS('December'!$P$2:$P$2000,"In Progress",'December'!$N$2:$N$2000,"New Prospect")</f>
        <v>0.0</v>
      </c>
      <c r="AC23" s="17">
        <f t="shared" si="15"/>
        <v>0.0</v>
      </c>
    </row>
    <row r="24">
      <c r="A24" s="1"/>
      <c r="B24" s="1"/>
      <c r="C24" s="1"/>
      <c r="D24" s="1"/>
      <c r="E24" s="1"/>
      <c r="F24" s="1"/>
      <c r="G24" s="1"/>
      <c r="H24" s="1"/>
      <c r="I24" s="1"/>
      <c r="J24" s="1"/>
      <c r="K24" s="1"/>
      <c r="L24" s="1"/>
      <c r="M24" s="1"/>
      <c r="Y24" s="1"/>
      <c r="Z24" s="1"/>
      <c r="AA24" s="1"/>
      <c r="AB24" s="1"/>
    </row>
    <row r="25">
      <c r="B25" s="1"/>
      <c r="C25" s="1"/>
      <c r="D25" s="1"/>
      <c r="H25" s="1"/>
      <c r="I25" s="1"/>
      <c r="J25" s="1"/>
      <c r="K25" s="1"/>
      <c r="L25" s="1"/>
      <c r="M25" s="1"/>
      <c r="Z25" s="1"/>
      <c r="AA25" s="1"/>
    </row>
    <row r="26" ht="18.0">
      <c r="A26" s="14" t="s">
        <v>28</v>
      </c>
      <c r="B26" s="14"/>
      <c r="C26" s="14"/>
      <c r="D26" s="14"/>
      <c r="E26" s="14"/>
      <c r="F26" s="14"/>
    </row>
    <row r="27" ht="14.0">
      <c r="A27" s="15" t="s">
        <v>7</v>
      </c>
      <c r="B27" s="15" t="s">
        <v>14</v>
      </c>
      <c r="C27" s="15" t="s">
        <v>9</v>
      </c>
      <c r="D27" s="15" t="s">
        <v>10</v>
      </c>
      <c r="E27" s="15" t="s">
        <v>11</v>
      </c>
      <c r="F27" s="15" t="s">
        <v>29</v>
      </c>
    </row>
    <row r="28" ht="14.0">
      <c r="A28" s="17" t="s">
        <v>13</v>
      </c>
      <c r="B28" s="17">
        <f>COUNTIFS('January'!$P$2:$P$2000,"Deal Won",'January'!$N$2:$N$2000,"New Prospect")+COUNTIFS('January'!$P$2:$P$2000,"Deal Lost",'January'!$N$2:$N$2000,"New Prospect")+COUNTIFS('January'!$P$2:$P$2000,"In Progress",'January'!$N$2:$N$2000,"New Prospect")</f>
        <v>79.0</v>
      </c>
      <c r="C28" s="26">
        <f>COUNTIFS('January'!$P$2:$P$2000,"Deal Won",'January'!$N$2:$N$2000,"New Prospect")</f>
        <v>28.0</v>
      </c>
      <c r="D28" s="17">
        <f>COUNTIFS('January'!$P$2:$P$2000,"Deal Lost",'January'!$N$2:$N$2000,"New Prospect")</f>
        <v>51.0</v>
      </c>
      <c r="E28" s="17">
        <f>COUNTIFS('January'!$P$2:$P$2000,"In Progress",'January'!$N$2:$N$2000,"New Prospect")</f>
        <v>0.0</v>
      </c>
      <c r="F28" s="18">
        <f t="shared" ref="F28:F40" si="86">IF(B28=0,0,C28/B28)</f>
        <v>0.354430379746835</v>
      </c>
    </row>
    <row r="29" ht="14.0">
      <c r="A29" s="17" t="s">
        <v>16</v>
      </c>
      <c r="B29" s="17">
        <f>COUNTIFS('February'!$P$2:$P$2000,"Deal Won",'February'!$N$2:$N$2000,"New Prospect")+COUNTIFS('February'!$P$2:$P$2000,"Deal Lost",'February'!$N$2:$N$2000,"New Prospect")+COUNTIFS('February'!$P$2:$P$2000,"In Progress",'February'!$N$2:$N$2000,"New Prospect")</f>
        <v>71.0</v>
      </c>
      <c r="C29" s="26">
        <f>COUNTIFS('February'!$P$2:$P$2000,"Deal Won",'February'!$N$2:$N$2000,"New Prospect")</f>
        <v>21.0</v>
      </c>
      <c r="D29" s="17">
        <f>COUNTIFS('February'!$P$2:$P$2000,"Deal Lost",'February'!$N$2:$N$2000,"New Prospect")</f>
        <v>48.0</v>
      </c>
      <c r="E29" s="17">
        <f>COUNTIFS('February'!$P$2:$P$2000,"In Progress",'February'!$N$2:$N$2000,"New Prospect")</f>
        <v>2.0</v>
      </c>
      <c r="F29" s="18">
        <f t="shared" si="86"/>
        <v>0.295774647887323</v>
      </c>
    </row>
    <row r="30" ht="14.0">
      <c r="A30" s="17" t="s">
        <v>17</v>
      </c>
      <c r="B30" s="17">
        <f>COUNTIFS('March'!$P$2:$P$2000,"Deal Won",'March'!$N$2:$N$2000,"New Prospect")+COUNTIFS('March'!$P$2:$P$2000,"Deal Lost",'March'!$N$2:$N$2000,"New Prospect")+COUNTIFS('March'!$P$2:$P$2000,"In Progress",'March'!$N$2:$N$2000,"New Prospect")</f>
        <v>74.0</v>
      </c>
      <c r="C30" s="26">
        <f>COUNTIFS('March'!$P$2:$P$2000,"Deal Won",'March'!$N$2:$N$2000,"New Prospect")</f>
        <v>25.0</v>
      </c>
      <c r="D30" s="17">
        <f>COUNTIFS('March'!$P$2:$P$2000,"Deal Lost",'March'!$N$2:$N$2000,"New Prospect")</f>
        <v>43.0</v>
      </c>
      <c r="E30" s="17">
        <f>COUNTIFS('March'!$P$2:$P$2000,"In Progress",'March'!$N$2:$N$2000,"New Prospect")</f>
        <v>6.0</v>
      </c>
      <c r="F30" s="18">
        <f t="shared" si="86"/>
        <v>0.337837837837838</v>
      </c>
    </row>
    <row r="31" ht="14.0">
      <c r="A31" s="17" t="s">
        <v>18</v>
      </c>
      <c r="B31" s="17">
        <f>COUNTIFS('April'!$P$2:$P$2000,"Deal Won",'April'!$N$2:$N$2000,"New Prospect")+COUNTIFS('April'!$P$2:$P$2000,"Deal Lost",'April'!$N$2:$N$2000,"New Prospect")+COUNTIFS('April'!$P$2:$P$2000,"In Progress",'April'!$N$2:$N$2000,"New Prospect")</f>
        <v>61.0</v>
      </c>
      <c r="C31" s="26">
        <f>COUNTIFS('April'!$P$2:$P$2000,"Deal Won",'April'!$N$2:$N$2000,"New Prospect")</f>
        <v>21.0</v>
      </c>
      <c r="D31" s="17">
        <f>COUNTIFS('April'!$P$2:$P$2000,"Deal Lost",'April'!$N$2:$N$2000,"New Prospect")</f>
        <v>32.0</v>
      </c>
      <c r="E31" s="17">
        <f>COUNTIFS('April'!$P$2:$P$2000,"In Progress",'April'!$N$2:$N$2000,"New Prospect")</f>
        <v>8.0</v>
      </c>
      <c r="F31" s="18">
        <f t="shared" si="86"/>
        <v>0.344262295081967</v>
      </c>
    </row>
    <row r="32" ht="14.0">
      <c r="A32" s="17" t="s">
        <v>19</v>
      </c>
      <c r="B32" s="17">
        <f>COUNTIFS('May'!$P$2:$P$2000,"Deal Won",'May'!$N$2:$N$2000,"New Prospect")+COUNTIFS('May'!$P$2:$P$2000,"Deal Lost",'May'!$N$2:$N$2000,"New Prospect")+COUNTIFS('May'!$P$2:$P$2000,"In Progress",'May'!$N$2:$N$2000,"New Prospect")</f>
        <v>63.0</v>
      </c>
      <c r="C32" s="26">
        <f>COUNTIFS('May'!$P$2:$P$2000,"Deal Won",'May'!$N$2:$N$2000,"New Prospect")</f>
        <v>10.0</v>
      </c>
      <c r="D32" s="17">
        <f>COUNTIFS('May'!$P$2:$P$2000,"Deal Lost",'May'!$N$2:$N$2000,"New Prospect")</f>
        <v>37.0</v>
      </c>
      <c r="E32" s="17">
        <f>COUNTIFS('May'!$P$2:$P$2000,"In Progress",'May'!$N$2:$N$2000,"New Prospect")</f>
        <v>16.0</v>
      </c>
      <c r="F32" s="18">
        <f t="shared" si="86"/>
        <v>0.158730158730159</v>
      </c>
    </row>
    <row r="33" ht="14.0">
      <c r="A33" s="17" t="s">
        <v>20</v>
      </c>
      <c r="B33" s="17">
        <f>COUNTIFS('June'!$P$2:$P$2002,"Deal Won",'June'!$N$2:$N$2002,"New Prospect")+COUNTIFS('June'!$P$2:$P$2002,"Deal Lost",'June'!$N$2:$N$2002,"New Prospect")+COUNTIFS('June'!$P$2:$P$2002,"In Progress",'June'!$N$2:$N$2002,"New Prospect")</f>
        <v>38.0</v>
      </c>
      <c r="C33" s="26">
        <f>COUNTIFS('June'!$P$2:$P$2002,"Deal Won",'June'!$N$2:$N$2002,"New Prospect")</f>
        <v>2.0</v>
      </c>
      <c r="D33" s="17">
        <f>COUNTIFS('June'!$P$2:$P$2002,"Deal Lost",'June'!$N$2:$N$2002,"New Prospect")</f>
        <v>0.0</v>
      </c>
      <c r="E33" s="17">
        <f>COUNTIFS('June'!$P$2:$P$2002,"In Progress",'June'!$N$2:$N$2002,"New Prospect")</f>
        <v>36.0</v>
      </c>
      <c r="F33" s="18">
        <f t="shared" si="86"/>
        <v>0.0526315789473684</v>
      </c>
    </row>
    <row r="34" ht="14.0">
      <c r="A34" s="17" t="s">
        <v>21</v>
      </c>
      <c r="B34" s="17">
        <f>COUNTIFS('July'!$P$2:$P$2000,"Deal Won",'July'!$N$2:$N$2000,"New Prospect")+COUNTIFS('July'!$P$2:$P$2000,"Deal Lost",'July'!$N$2:$N$2000,"New Prospect")+COUNTIFS('July'!$P$2:$P$2000,"In Progress",'July'!$N$2:$N$2000,"New Prospect")</f>
        <v>0.0</v>
      </c>
      <c r="C34" s="26">
        <f>COUNTIFS('July'!$P$2:$P$2000,"Deal Won",'July'!$N$2:$N$2000,"New Prospect")</f>
        <v>0.0</v>
      </c>
      <c r="D34" s="17">
        <f>COUNTIFS('July'!$P$2:$P$2000,"Deal Lost",'July'!$N$2:$N$2000,"New Prospect")</f>
        <v>0.0</v>
      </c>
      <c r="E34" s="17">
        <f>COUNTIFS('July'!$P$2:$P$2000,"In Progress",'July'!$N$2:$N$2000,"New Prospect")</f>
        <v>0.0</v>
      </c>
      <c r="F34" s="18">
        <f t="shared" si="86"/>
        <v>0.0</v>
      </c>
    </row>
    <row r="35" ht="14.0">
      <c r="A35" s="17" t="s">
        <v>22</v>
      </c>
      <c r="B35" s="17">
        <f>COUNTIFS('August'!$P$2:$P$2000,"Deal Won",'August'!$N$2:$N$2000,"New Prospect")+COUNTIFS('August'!$P$2:$P$2000,"Deal Lost",'August'!$N$2:$N$2000,"New Prospect")+COUNTIFS('August'!$P$2:$P$2000,"In Progress",'August'!$N$2:$N$2000,"New Prospect")</f>
        <v>0.0</v>
      </c>
      <c r="C35" s="26">
        <f>COUNTIFS('August'!$P$2:$P$2000,"Deal Won",'August'!$N$2:$N$2000,"New Prospect")</f>
        <v>0.0</v>
      </c>
      <c r="D35" s="17">
        <f>COUNTIFS('August'!$P$2:$P$2000,"Deal Lost",'August'!$N$2:$N$2000,"New Prospect")</f>
        <v>0.0</v>
      </c>
      <c r="E35" s="17">
        <f>COUNTIFS('August'!$P$2:$P$2000,"In Progress",'August'!$N$2:$N$2000,"New Prospect")</f>
        <v>0.0</v>
      </c>
      <c r="F35" s="18">
        <f t="shared" si="86"/>
        <v>0.0</v>
      </c>
    </row>
    <row r="36" ht="14.0">
      <c r="A36" s="17" t="s">
        <v>23</v>
      </c>
      <c r="B36" s="17">
        <f>COUNTIFS('September'!$P$2:$P$2000,"Deal Won",'September'!$N$2:$N$2000,"New Prospect")+COUNTIFS('September'!$P$2:$P$2000,"Deal Lost",'September'!$N$2:$N$2000,"New Prospect")+COUNTIFS('September'!$P$2:$P$2000,"In Progress",'September'!$N$2:$N$2000,"New Prospect")</f>
        <v>0.0</v>
      </c>
      <c r="C36" s="26">
        <f>COUNTIFS('September'!$P$2:$P$2000,"Deal Won",'January'!$N$2:$N$2000,"New Prospect")</f>
        <v>0.0</v>
      </c>
      <c r="D36" s="17">
        <f>COUNTIFS('September'!$P$2:$P$2000,"Deal Lost",'September'!$N$2:$N$2000,"New Prospect")</f>
        <v>0.0</v>
      </c>
      <c r="E36" s="17">
        <f>COUNTIFS('September'!$P$2:$P$2000,"In Progress",'September'!$N$2:$N$2000,"New Prospect")</f>
        <v>0.0</v>
      </c>
      <c r="F36" s="18">
        <f t="shared" si="86"/>
        <v>0.0</v>
      </c>
    </row>
    <row r="37" ht="14.0">
      <c r="A37" s="17" t="s">
        <v>24</v>
      </c>
      <c r="B37" s="17">
        <f>COUNTIFS('October'!$P$2:$P$2000,"Deal Won",'October'!$N$2:$N$2000,"New Prospect")+COUNTIFS('October'!$P$2:$P$2000,"Deal Lost",'October'!$N$2:$N$2000,"New Prospect")+COUNTIFS('October'!$P$2:$P$2000,"In Progress",'October'!$N$2:$N$2000,"New Prospect")</f>
        <v>0.0</v>
      </c>
      <c r="C37" s="26">
        <f>COUNTIFS('October'!$P$2:$P$2000,"Deal Won",'October'!$N$2:$N$2000,"New Prospect")</f>
        <v>0.0</v>
      </c>
      <c r="D37" s="17">
        <f>COUNTIFS('October'!$P$2:$P$2000,"Deal Lost",'October'!$N$2:$N$2000,"New Prospect")</f>
        <v>0.0</v>
      </c>
      <c r="E37" s="17">
        <f>COUNTIFS('October'!$P$2:$P$2000,"In Progress",'October'!$N$2:$N$2000,"New Prospect")</f>
        <v>0.0</v>
      </c>
      <c r="F37" s="18">
        <f t="shared" si="86"/>
        <v>0.0</v>
      </c>
      <c r="G37" s="1"/>
      <c r="H37" s="1"/>
      <c r="I37" s="1"/>
      <c r="J37" s="1"/>
      <c r="K37" s="1"/>
    </row>
    <row r="38" ht="14.0">
      <c r="A38" s="17" t="s">
        <v>25</v>
      </c>
      <c r="B38" s="17">
        <f>COUNTIFS('November'!$P$2:$P$2000,"Deal Won",'November'!$N$2:$N$2000,"New Prospect")+COUNTIFS('November'!$P$2:$P$2000,"Deal Lost",'November'!$N$2:$N$2000,"New Prospect")+COUNTIFS('November'!$P$2:$P$2000,"In Progress",'November'!$N$2:$N$2000,"New Prospect")</f>
        <v>0.0</v>
      </c>
      <c r="C38" s="26">
        <f>COUNTIFS('November'!$P$2:$P$2000,"Deal Won",'November'!$N$2:$N$2000,"New Prospect")</f>
        <v>0.0</v>
      </c>
      <c r="D38" s="17">
        <f>COUNTIFS('November'!$P$2:$P$2000,"Deal Lost",'November'!$N$2:$N$2000,"New Prospect")</f>
        <v>0.0</v>
      </c>
      <c r="E38" s="17">
        <f>COUNTIFS('November'!$P$2:$P$2000,"In Progress",'November'!$N$2:$N$2000,"New Prospect")</f>
        <v>0.0</v>
      </c>
      <c r="F38" s="18">
        <f t="shared" si="86"/>
        <v>0.0</v>
      </c>
      <c r="G38" s="1"/>
      <c r="H38" s="1"/>
      <c r="I38" s="1"/>
      <c r="J38" s="1"/>
      <c r="K38" s="1"/>
      <c r="L38" s="1"/>
    </row>
    <row r="39" ht="14.0">
      <c r="A39" s="17" t="s">
        <v>26</v>
      </c>
      <c r="B39" s="17">
        <f>COUNTIFS('December'!$P$2:$P$2000,"Deal Won",'December'!$N$2:$N$2000,"New Prospect")+COUNTIFS('December'!$P$2:$P$2000,"Deal Lost",'December'!$N$2:$N$2000,"New Prospect")+COUNTIFS('December'!$P$2:$P$2000,"In Progress",'December'!$N$2:$N$2000,"New Prospect")</f>
        <v>0.0</v>
      </c>
      <c r="C39" s="26">
        <f>COUNTIFS('December'!$P$2:$P$2000,"Deal Won",'December'!$N$2:$N$2000,"New Prospect")</f>
        <v>0.0</v>
      </c>
      <c r="D39" s="17">
        <f>COUNTIFS('December'!$P$2:$P$2000,"Deal Lost",'December'!$N$2:$N$2000,"New Prospect")</f>
        <v>0.0</v>
      </c>
      <c r="E39" s="17">
        <f>COUNTIFS('December'!$P$2:$P$2000,"In Progress",'December'!$N$2:$N$2000,"New Prospect")</f>
        <v>0.0</v>
      </c>
      <c r="F39" s="18">
        <f t="shared" si="86"/>
        <v>0.0</v>
      </c>
      <c r="G39" s="1"/>
      <c r="H39" s="1"/>
      <c r="I39" s="1"/>
      <c r="J39" s="1"/>
      <c r="K39" s="1"/>
      <c r="L39" s="1"/>
    </row>
    <row r="40" ht="14.0">
      <c r="A40" s="21" t="s">
        <v>27</v>
      </c>
      <c r="B40" s="21">
        <f>SUM(B28:B39)</f>
        <v>386.0</v>
      </c>
      <c r="C40" s="27">
        <f>SUM(C28:C39)</f>
        <v>107.0</v>
      </c>
      <c r="D40" s="27">
        <f>SUM(D28:D39)</f>
        <v>211.0</v>
      </c>
      <c r="E40" s="27">
        <f>SUM(E28:E39)</f>
        <v>68.0</v>
      </c>
      <c r="F40" s="28">
        <f t="shared" si="86"/>
        <v>0.27720207253886</v>
      </c>
      <c r="G40" s="1"/>
      <c r="H40" s="1"/>
      <c r="I40" s="1"/>
      <c r="J40" s="1"/>
      <c r="K40" s="1"/>
      <c r="L40" s="1"/>
    </row>
    <row r="41">
      <c r="E41" s="1"/>
      <c r="F41" s="1"/>
      <c r="G41" s="1"/>
      <c r="H41" s="1"/>
      <c r="I41" s="1"/>
      <c r="J41" s="1"/>
      <c r="K41" s="1"/>
      <c r="L41" s="1"/>
    </row>
    <row r="42">
      <c r="E42" s="1"/>
      <c r="F42" s="1"/>
      <c r="G42" s="1"/>
      <c r="H42" s="1"/>
      <c r="I42" s="1"/>
      <c r="J42" s="1"/>
      <c r="K42" s="1"/>
      <c r="L42" s="1"/>
    </row>
    <row r="43">
      <c r="E43" s="1"/>
      <c r="F43" s="1"/>
      <c r="G43" s="1"/>
      <c r="H43" s="1"/>
      <c r="I43" s="1"/>
      <c r="J43" s="1"/>
      <c r="K43" s="1"/>
      <c r="L43" s="1"/>
    </row>
    <row r="44" ht="18.0">
      <c r="B44" s="14" t="s">
        <v>30</v>
      </c>
      <c r="C44" s="14"/>
      <c r="D44" s="14"/>
      <c r="E44" s="1"/>
      <c r="F44" s="1"/>
      <c r="G44" s="1"/>
      <c r="H44" s="1"/>
      <c r="I44" s="1"/>
      <c r="J44" s="1"/>
      <c r="K44" s="1"/>
      <c r="L44" s="1"/>
    </row>
    <row r="45" ht="14.0">
      <c r="B45" s="29" t="s">
        <v>31</v>
      </c>
      <c r="C45" s="29" t="s">
        <v>32</v>
      </c>
      <c r="D45" s="29" t="s">
        <v>33</v>
      </c>
      <c r="E45" s="1"/>
      <c r="F45" s="1"/>
      <c r="G45" s="1"/>
      <c r="H45" s="1"/>
      <c r="I45" s="1"/>
      <c r="J45" s="1"/>
      <c r="K45" s="1"/>
      <c r="L45" s="1"/>
    </row>
    <row r="46" ht="14.0">
      <c r="B46" s="17" t="s">
        <v>34</v>
      </c>
      <c r="C46" s="26">
        <f>COUNTIFS('January'!$P$2:$P$2000,"Deal Won",'January'!$B$2:$B$2000,$B46)+COUNTIFS('February'!$P$2:$P$2000,"Deal Won",'February'!$B$2:$B$2000,$B46)+COUNTIFS('March'!$P$2:$P$2000,"Deal Won",'March'!$B$2:$B$2000,$B46)+COUNTIFS('April'!$P$2:$P$2000,"Deal Won",'April'!$B$2:$B$2000,$B46)+COUNTIFS('May'!$P$2:$P$2000,"Deal Won",'May'!$B$2:$B$2000,$B46)+COUNTIFS('June'!$P$2:$P$2002,"Deal Won",'June'!$B$2:$B$2002,$B46)+COUNTIFS('July'!$P$2:$P$2000,"Deal Won",'July'!$B$2:$B$2000,$B46)+COUNTIFS('August'!$P$2:$P$2000,"Deal Won",'August'!$B$2:$B$2000,$B46)+COUNTIFS('September'!$P$2:$P$2000,"Deal Won",'September'!$B$2:$B$2000,$B46)+COUNTIFS('October'!$P$2:$P$2000,"Deal Won",'October'!$B$2:$B$2000,$B46)+COUNTIFS('November'!$P$2:$P$2000,"Deal Won",'November'!$B$2:$B$2000,$B46)+COUNTIFS('December'!$P$2:$P$2000,"Deal Won",'December'!$B$2:$B$2000,$B46)</f>
        <v>91.0</v>
      </c>
      <c r="D46" s="18">
        <f t="shared" ref="D46:D53" si="136">IF($F$5=0,0,C46/$F$5)</f>
        <v>0.0</v>
      </c>
      <c r="E46" s="1"/>
      <c r="F46" s="1"/>
      <c r="G46" s="1"/>
      <c r="H46" s="1"/>
      <c r="I46" s="1"/>
      <c r="J46" s="1"/>
      <c r="K46" s="1"/>
      <c r="L46" s="1"/>
    </row>
    <row r="47" ht="14.0">
      <c r="B47" s="17" t="s">
        <v>35</v>
      </c>
      <c r="C47" s="26">
        <f>COUNTIFS('January'!$P$2:$P$2000,"Deal Won",'January'!$B$2:$B$2000,$B47)+COUNTIFS('February'!$P$2:$P$2000,"Deal Won",'February'!$B$2:$B$2000,$B47)+COUNTIFS('March'!$P$2:$P$2000,"Deal Won",'March'!$B$2:$B$2000,$B47)+COUNTIFS('April'!$P$2:$P$2000,"Deal Won",'April'!$B$2:$B$2000,$B47)+COUNTIFS('May'!$P$2:$P$2000,"Deal Won",'May'!$B$2:$B$2000,$B47)+COUNTIFS('June'!$P$2:$P$2002,"Deal Won",'June'!$B$2:$B$2002,$B47)+COUNTIFS('July'!$P$2:$P$2000,"Deal Won",'July'!$B$2:$B$2000,$B47)+COUNTIFS('August'!$P$2:$P$2000,"Deal Won",'August'!$B$2:$B$2000,$B47)+COUNTIFS('September'!$P$2:$P$2000,"Deal Won",'September'!$B$2:$B$2000,$B47)+COUNTIFS('October'!$P$2:$P$2000,"Deal Won",'October'!$B$2:$B$2000,$B47)+COUNTIFS('November'!$P$2:$P$2000,"Deal Won",'November'!$B$2:$B$2000,$B47)+COUNTIFS('December'!$P$2:$P$2000,"Deal Won",'December'!$B$2:$B$2000,$B47)</f>
        <v>16.0</v>
      </c>
      <c r="D47" s="18">
        <f t="shared" si="136"/>
        <v>0.0</v>
      </c>
      <c r="F47" s="1"/>
      <c r="G47" s="1"/>
      <c r="H47" s="1"/>
      <c r="I47" s="1"/>
      <c r="J47" s="1"/>
      <c r="K47" s="1"/>
    </row>
    <row r="48" ht="14.0">
      <c r="B48" s="17" t="s">
        <v>36</v>
      </c>
      <c r="C48" s="26">
        <f>COUNTIFS('January'!$P$2:$P$2000,"Deal Won",'January'!$B$2:$B$2000,$B48)+COUNTIFS('February'!$P$2:$P$2000,"Deal Won",'February'!$B$2:$B$2000,$B48)+COUNTIFS('March'!$P$2:$P$2000,"Deal Won",'March'!$B$2:$B$2000,$B48)+COUNTIFS('April'!$P$2:$P$2000,"Deal Won",'April'!$B$2:$B$2000,$B48)+COUNTIFS('May'!$P$2:$P$2000,"Deal Won",'May'!$B$2:$B$2000,$B48)+COUNTIFS('June'!$P$2:$P$2002,"Deal Won",'June'!$B$2:$B$2002,$B48)+COUNTIFS('July'!$P$2:$P$2000,"Deal Won",'July'!$B$2:$B$2000,$B48)+COUNTIFS('August'!$P$2:$P$2000,"Deal Won",'August'!$B$2:$B$2000,$B48)+COUNTIFS('September'!$P$2:$P$2000,"Deal Won",'September'!$B$2:$B$2000,$B48)+COUNTIFS('October'!$P$2:$P$2000,"Deal Won",'October'!$B$2:$B$2000,$B48)+COUNTIFS('November'!$P$2:$P$2000,"Deal Won",'November'!$B$2:$B$2000,$B48)+COUNTIFS('December'!$P$2:$P$2000,"Deal Won",'December'!$B$2:$B$2000,$B48)</f>
        <v>14.0</v>
      </c>
      <c r="D48" s="18">
        <f t="shared" si="136"/>
        <v>0.0</v>
      </c>
    </row>
    <row r="49" ht="14.0">
      <c r="B49" s="17" t="s">
        <v>37</v>
      </c>
      <c r="C49" s="26">
        <f>COUNTIFS('January'!$P$2:$P$2000,"Deal Won",'January'!$B$2:$B$2000,$B49)+COUNTIFS('February'!$P$2:$P$2000,"Deal Won",'February'!$B$2:$B$2000,$B49)+COUNTIFS('March'!$P$2:$P$2000,"Deal Won",'March'!$B$2:$B$2000,$B49)+COUNTIFS('April'!$P$2:$P$2000,"Deal Won",'April'!$B$2:$B$2000,$B49)+COUNTIFS('May'!$P$2:$P$2000,"Deal Won",'May'!$B$2:$B$2000,$B49)+COUNTIFS('June'!$P$2:$P$2002,"Deal Won",'June'!$B$2:$B$2002,$B49)+COUNTIFS('July'!$P$2:$P$2000,"Deal Won",'July'!$B$2:$B$2000,$B49)+COUNTIFS('August'!$P$2:$P$2000,"Deal Won",'August'!$B$2:$B$2000,$B49)+COUNTIFS('September'!$P$2:$P$2000,"Deal Won",'September'!$B$2:$B$2000,$B49)+COUNTIFS('October'!$P$2:$P$2000,"Deal Won",'October'!$B$2:$B$2000,$B49)+COUNTIFS('November'!$P$2:$P$2000,"Deal Won",'November'!$B$2:$B$2000,$B49)+COUNTIFS('December'!$P$2:$P$2000,"Deal Won",'December'!$B$2:$B$2000,$B49)</f>
        <v>7.0</v>
      </c>
      <c r="D49" s="18">
        <f t="shared" si="136"/>
        <v>0.0</v>
      </c>
    </row>
    <row r="50" ht="14.0">
      <c r="B50" s="17" t="s">
        <v>38</v>
      </c>
      <c r="C50" s="26">
        <f>COUNTIFS('January'!$P$2:$P$2000,"Deal Won",'January'!$B$2:$B$2000,$B50)+COUNTIFS('February'!$P$2:$P$2000,"Deal Won",'February'!$B$2:$B$2000,$B50)+COUNTIFS('March'!$P$2:$P$2000,"Deal Won",'March'!$B$2:$B$2000,$B50)+COUNTIFS('April'!$P$2:$P$2000,"Deal Won",'April'!$B$2:$B$2000,$B50)+COUNTIFS('May'!$P$2:$P$2000,"Deal Won",'May'!$B$2:$B$2000,$B50)+COUNTIFS('June'!$P$2:$P$2002,"Deal Won",'June'!$B$2:$B$2002,$B50)+COUNTIFS('July'!$P$2:$P$2000,"Deal Won",'July'!$B$2:$B$2000,$B50)+COUNTIFS('August'!$P$2:$P$2000,"Deal Won",'August'!$B$2:$B$2000,$B50)+COUNTIFS('September'!$P$2:$P$2000,"Deal Won",'September'!$B$2:$B$2000,$B50)+COUNTIFS('October'!$P$2:$P$2000,"Deal Won",'October'!$B$2:$B$2000,$B50)+COUNTIFS('November'!$P$2:$P$2000,"Deal Won",'November'!$B$2:$B$2000,$B50)+COUNTIFS('December'!$P$2:$P$2000,"Deal Won",'December'!$B$2:$B$2000,$B50)</f>
        <v>0.0</v>
      </c>
      <c r="D50" s="18">
        <f t="shared" si="136"/>
        <v>0.0</v>
      </c>
    </row>
    <row r="51" ht="14.0">
      <c r="B51" s="17" t="s">
        <v>39</v>
      </c>
      <c r="C51" s="26">
        <f>COUNTIFS('January'!$P$2:$P$2000,"Deal Won",'January'!$B$2:$B$2000,$B51)+COUNTIFS('February'!$P$2:$P$2000,"Deal Won",'February'!$B$2:$B$2000,$B51)+COUNTIFS('March'!$P$2:$P$2000,"Deal Won",'March'!$B$2:$B$2000,$B51)+COUNTIFS('April'!$P$2:$P$2000,"Deal Won",'April'!$B$2:$B$2000,$B51)+COUNTIFS('May'!$P$2:$P$2000,"Deal Won",'May'!$B$2:$B$2000,$B51)+COUNTIFS('June'!$P$2:$P$2002,"Deal Won",'June'!$B$2:$B$2002,$B51)+COUNTIFS('July'!$P$2:$P$2000,"Deal Won",'July'!$B$2:$B$2000,$B51)+COUNTIFS('August'!$P$2:$P$2000,"Deal Won",'August'!$B$2:$B$2000,$B51)+COUNTIFS('September'!$P$2:$P$2000,"Deal Won",'September'!$B$2:$B$2000,$B51)+COUNTIFS('October'!$P$2:$P$2000,"Deal Won",'October'!$B$2:$B$2000,$B51)+COUNTIFS('November'!$P$2:$P$2000,"Deal Won",'November'!$B$2:$B$2000,$B51)+COUNTIFS('December'!$P$2:$P$2000,"Deal Won",'December'!$B$2:$B$2000,$B51)</f>
        <v>1.0</v>
      </c>
      <c r="D51" s="18">
        <f t="shared" si="136"/>
        <v>0.0</v>
      </c>
    </row>
    <row r="52" ht="14.0">
      <c r="B52" s="17" t="s">
        <v>40</v>
      </c>
      <c r="C52" s="26">
        <f>COUNTIFS('January'!$P$2:$P$2000,"Deal Won",'January'!$B$2:$B$2000,$B52)+COUNTIFS('February'!$P$2:$P$2000,"Deal Won",'February'!$B$2:$B$2000,$B52)+COUNTIFS('March'!$P$2:$P$2000,"Deal Won",'March'!$B$2:$B$2000,$B52)+COUNTIFS('April'!$P$2:$P$2000,"Deal Won",'April'!$B$2:$B$2000,$B52)+COUNTIFS('May'!$P$2:$P$2000,"Deal Won",'May'!$B$2:$B$2000,$B52)+COUNTIFS('June'!$P$2:$P$2002,"Deal Won",'June'!$B$2:$B$2002,$B52)+COUNTIFS('July'!$P$2:$P$2000,"Deal Won",'July'!$B$2:$B$2000,$B52)+COUNTIFS('August'!$P$2:$P$2000,"Deal Won",'August'!$B$2:$B$2000,$B52)+COUNTIFS('September'!$P$2:$P$2000,"Deal Won",'September'!$B$2:$B$2000,$B52)+COUNTIFS('October'!$P$2:$P$2000,"Deal Won",'October'!$B$2:$B$2000,$B52)+COUNTIFS('November'!$P$2:$P$2000,"Deal Won",'November'!$B$2:$B$2000,$B52)+COUNTIFS('December'!$P$2:$P$2000,"Deal Won",'December'!$B$2:$B$2000,$B52)</f>
        <v>0.0</v>
      </c>
      <c r="D52" s="18">
        <f t="shared" si="136"/>
        <v>0.0</v>
      </c>
    </row>
    <row r="53" ht="14.0">
      <c r="B53" s="30" t="s">
        <v>27</v>
      </c>
      <c r="C53" s="31">
        <f>SUM(C46:C52)</f>
        <v>129.0</v>
      </c>
      <c r="D53" s="32">
        <f t="shared" si="136"/>
        <v>0.0</v>
      </c>
    </row>
    <row r="54">
      <c r="A54" s="1"/>
      <c r="B54" s="1"/>
      <c r="C54" s="1"/>
      <c r="D54" s="1"/>
      <c r="E54" s="1"/>
    </row>
    <row r="55">
      <c r="A55" s="1"/>
      <c r="E55" s="1"/>
    </row>
    <row r="56">
      <c r="A56" s="1"/>
      <c r="E56" s="1"/>
    </row>
    <row r="57">
      <c r="A57" s="1"/>
      <c r="E57" s="1"/>
    </row>
    <row r="58">
      <c r="A58" s="1"/>
      <c r="E58" s="1"/>
    </row>
    <row r="59">
      <c r="A59" s="1"/>
      <c r="E59" s="1"/>
    </row>
    <row r="60">
      <c r="A60" s="1"/>
      <c r="E60" s="1"/>
    </row>
    <row r="61">
      <c r="B61" s="1"/>
      <c r="C61" s="1"/>
      <c r="D61" s="1"/>
    </row>
  </sheetData>
  <mergeCells count="13">
    <mergeCell ref="B44:D44"/>
    <mergeCell ref="A9:F9"/>
    <mergeCell ref="A26:F26"/>
    <mergeCell ref="B6:D7"/>
    <mergeCell ref="B5:D5"/>
    <mergeCell ref="C1:K2"/>
    <mergeCell ref="C3:K4"/>
    <mergeCell ref="E6:G7"/>
    <mergeCell ref="E5:G5"/>
    <mergeCell ref="H6:I7"/>
    <mergeCell ref="H5:I5"/>
    <mergeCell ref="J6:L7"/>
    <mergeCell ref="J5:L5"/>
  </mergeCells>
  <drawing r:id="rId1"/>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W100"/>
  <sheetViews>
    <sheetView workbookViewId="0"/>
  </sheetViews>
  <sheetFormatPr defaultRowHeight="14.0" customHeight="1"/>
  <cols>
    <col min="1" max="1" style="33" width="10.2"/>
    <col min="2" max="2" style="33" width="9.0"/>
    <col min="3" max="3" style="33" width="12.18"/>
    <col min="4" max="4" style="33" width="33.38"/>
    <col min="5" max="5" style="33" width="13.24"/>
    <col min="6" max="6" style="33" width="11.79"/>
    <col min="7" max="7" style="33" width="65.85"/>
    <col min="8" max="8" style="33" width="68.36"/>
    <col min="9" max="10" style="33" width="13.24"/>
    <col min="11" max="11" style="33" width="16.42"/>
    <col min="12" max="12" style="33" width="13.64"/>
    <col min="13" max="13" style="33" width="27.82"/>
    <col min="14" max="14" style="33" width="21.33"/>
    <col min="15" max="15" style="33" width="13.24"/>
    <col min="16" max="19" style="33" width="13.24"/>
    <col min="20" max="20" style="33" width="49.42"/>
    <col min="21" max="21" style="33" width="51.8"/>
    <col min="22" max="22" style="33" width="36.3"/>
    <col min="23" max="23" style="34" width="42.13"/>
    <col min="24" max="24" style="33" width="42.13"/>
    <col min="25" max="25" style="33" width="13.24"/>
    <col min="26" max="2048" style="33" width="13.24"/>
  </cols>
  <sheetData>
    <row r="1" customHeight="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62</v>
      </c>
      <c r="X1" s="1"/>
      <c r="Y1" s="34"/>
      <c r="Z1" s="34"/>
      <c r="AA1" s="34"/>
      <c r="AB1" s="34"/>
      <c r="AC1" s="34"/>
      <c r="AD1" s="34"/>
      <c r="AE1" s="34"/>
      <c r="AF1" s="34"/>
      <c r="AG1" s="34"/>
      <c r="AH1" s="34"/>
      <c r="AI1" s="34"/>
      <c r="AJ1" s="34"/>
      <c r="AK1" s="34"/>
      <c r="AL1" s="34"/>
      <c r="AM1" s="34"/>
      <c r="AN1" s="34"/>
      <c r="AO1" s="34"/>
      <c r="AP1" s="34"/>
      <c r="AQ1" s="34"/>
      <c r="AR1" s="34"/>
      <c r="AS1" s="34"/>
      <c r="AT1" s="34"/>
      <c r="AU1" s="34"/>
      <c r="AV1" s="34"/>
      <c r="AW1" s="34"/>
      <c r="AX1" s="34"/>
      <c r="AY1" s="34"/>
    </row>
    <row r="2" ht="41.0" customFormat="1" s="33">
      <c r="A2" s="36">
        <v>46024</v>
      </c>
      <c r="B2" s="34" t="s">
        <v>34</v>
      </c>
      <c r="C2" s="34" t="s">
        <v>63</v>
      </c>
      <c r="D2" s="37" t="s">
        <v>64</v>
      </c>
      <c r="E2" s="34" t="s">
        <v>65</v>
      </c>
      <c r="F2" s="38" t="s">
        <v>66</v>
      </c>
      <c r="G2" s="34" t="s">
        <v>67</v>
      </c>
      <c r="H2" s="34"/>
      <c r="I2" s="34" t="s">
        <v>68</v>
      </c>
      <c r="J2" s="34"/>
      <c r="K2" s="34" t="s">
        <v>69</v>
      </c>
      <c r="L2" s="34"/>
      <c r="M2" s="34" t="s">
        <v>70</v>
      </c>
      <c r="N2" s="34" t="s">
        <v>71</v>
      </c>
      <c r="O2" s="34" t="s">
        <v>72</v>
      </c>
      <c r="P2" s="34" t="s">
        <v>9</v>
      </c>
      <c r="Q2" s="34">
        <v>8000.0</v>
      </c>
      <c r="R2" s="39">
        <v>72809.97</v>
      </c>
      <c r="S2" s="40" t="s">
        <v>73</v>
      </c>
      <c r="T2" s="34" t="s">
        <v>74</v>
      </c>
      <c r="U2" s="38"/>
      <c r="V2" s="34" t="s">
        <v>75</v>
      </c>
      <c r="W2" s="34"/>
      <c r="X2" s="34"/>
    </row>
    <row r="3" ht="55.0" customFormat="1" s="33">
      <c r="A3" s="36">
        <v>46024</v>
      </c>
      <c r="B3" s="34" t="s">
        <v>34</v>
      </c>
      <c r="C3" s="34" t="s">
        <v>76</v>
      </c>
      <c r="D3" s="37" t="s">
        <v>77</v>
      </c>
      <c r="E3" s="34" t="s">
        <v>78</v>
      </c>
      <c r="F3" s="38" t="s">
        <v>79</v>
      </c>
      <c r="G3" s="34" t="s">
        <v>80</v>
      </c>
      <c r="H3" s="34" t="s">
        <v>81</v>
      </c>
      <c r="I3" s="34" t="s">
        <v>82</v>
      </c>
      <c r="J3" s="34"/>
      <c r="K3" s="34" t="s">
        <v>69</v>
      </c>
      <c r="L3" s="34"/>
      <c r="M3" s="34" t="s">
        <v>83</v>
      </c>
      <c r="N3" s="34" t="s">
        <v>71</v>
      </c>
      <c r="O3" s="34" t="s">
        <v>84</v>
      </c>
      <c r="P3" s="34" t="s">
        <v>9</v>
      </c>
      <c r="Q3" s="34">
        <v>15.0</v>
      </c>
      <c r="R3" s="34"/>
      <c r="S3" s="40" t="s">
        <v>85</v>
      </c>
      <c r="T3" s="34"/>
      <c r="U3" s="38" t="s">
        <v>86</v>
      </c>
      <c r="V3" s="34"/>
      <c r="W3" s="41" t="s">
        <v>87</v>
      </c>
      <c r="X3" s="34"/>
    </row>
    <row r="4" ht="82.0">
      <c r="A4" s="36">
        <v>46028</v>
      </c>
      <c r="B4" s="34" t="s">
        <v>35</v>
      </c>
      <c r="C4" s="34" t="s">
        <v>88</v>
      </c>
      <c r="D4" s="37" t="s">
        <v>89</v>
      </c>
      <c r="E4" s="34" t="s">
        <v>90</v>
      </c>
      <c r="F4" s="38" t="s">
        <v>91</v>
      </c>
      <c r="G4" s="34" t="s">
        <v>92</v>
      </c>
      <c r="H4" s="34"/>
      <c r="I4" s="34" t="s">
        <v>93</v>
      </c>
      <c r="J4" s="34" t="s">
        <v>94</v>
      </c>
      <c r="K4" s="34" t="s">
        <v>95</v>
      </c>
      <c r="L4" s="38" t="s">
        <v>96</v>
      </c>
      <c r="M4" s="34" t="s">
        <v>97</v>
      </c>
      <c r="N4" s="34" t="s">
        <v>71</v>
      </c>
      <c r="O4" s="34" t="s">
        <v>98</v>
      </c>
      <c r="P4" s="34" t="s">
        <v>10</v>
      </c>
      <c r="Q4" s="34">
        <v>30.0</v>
      </c>
      <c r="R4" s="34"/>
      <c r="S4" s="40" t="s">
        <v>99</v>
      </c>
      <c r="T4" s="34" t="s">
        <v>100</v>
      </c>
      <c r="U4" s="34" t="s">
        <v>101</v>
      </c>
      <c r="V4" s="34" t="s">
        <v>102</v>
      </c>
      <c r="X4" s="1"/>
      <c r="Y4" s="34"/>
      <c r="Z4" s="34"/>
      <c r="AA4" s="34"/>
      <c r="AB4" s="34"/>
      <c r="AC4" s="34"/>
      <c r="AD4" s="34"/>
      <c r="AE4" s="34"/>
      <c r="AF4" s="34"/>
      <c r="AG4" s="34"/>
      <c r="AH4" s="34"/>
      <c r="AI4" s="34"/>
      <c r="AJ4" s="34"/>
      <c r="AK4" s="34"/>
      <c r="AL4" s="34"/>
      <c r="AM4" s="34"/>
      <c r="AN4" s="34"/>
      <c r="AO4" s="34"/>
      <c r="AP4" s="34"/>
      <c r="AQ4" s="34"/>
      <c r="AR4" s="34"/>
      <c r="AS4" s="34"/>
      <c r="AT4" s="34"/>
      <c r="AU4" s="34"/>
      <c r="AV4" s="34"/>
      <c r="AW4" s="34"/>
      <c r="AX4" s="34"/>
      <c r="AY4" s="34"/>
    </row>
    <row r="5" ht="41.0">
      <c r="A5" s="36">
        <v>46028</v>
      </c>
      <c r="B5" s="34" t="s">
        <v>34</v>
      </c>
      <c r="C5" s="34" t="s">
        <v>63</v>
      </c>
      <c r="D5" s="37" t="s">
        <v>103</v>
      </c>
      <c r="E5" s="34" t="s">
        <v>104</v>
      </c>
      <c r="F5" s="38" t="s">
        <v>105</v>
      </c>
      <c r="G5" s="34" t="s">
        <v>106</v>
      </c>
      <c r="H5" s="34"/>
      <c r="I5" s="34" t="s">
        <v>107</v>
      </c>
      <c r="J5" s="34"/>
      <c r="K5" s="34" t="s">
        <v>69</v>
      </c>
      <c r="L5" s="34"/>
      <c r="M5" s="34" t="s">
        <v>97</v>
      </c>
      <c r="N5" s="34" t="s">
        <v>71</v>
      </c>
      <c r="O5" s="34" t="s">
        <v>98</v>
      </c>
      <c r="P5" s="34" t="s">
        <v>10</v>
      </c>
      <c r="Q5" s="34">
        <v>1000.0</v>
      </c>
      <c r="R5" s="34"/>
      <c r="S5" s="40" t="s">
        <v>73</v>
      </c>
      <c r="T5" s="34"/>
      <c r="U5" s="34"/>
      <c r="V5" s="34"/>
      <c r="X5" s="34"/>
    </row>
    <row r="6" customHeight="1" ht="76.0">
      <c r="A6" s="36">
        <v>46028</v>
      </c>
      <c r="B6" s="34" t="s">
        <v>34</v>
      </c>
      <c r="C6" s="34" t="s">
        <v>108</v>
      </c>
      <c r="D6" s="37" t="s">
        <v>109</v>
      </c>
      <c r="E6" s="34" t="s">
        <v>110</v>
      </c>
      <c r="F6" s="38" t="s">
        <v>111</v>
      </c>
      <c r="G6" s="34" t="s">
        <v>112</v>
      </c>
      <c r="H6" s="34" t="s">
        <v>113</v>
      </c>
      <c r="I6" s="34" t="s">
        <v>114</v>
      </c>
      <c r="J6" s="34"/>
      <c r="K6" s="34" t="s">
        <v>115</v>
      </c>
      <c r="L6" s="38" t="s">
        <v>116</v>
      </c>
      <c r="M6" s="34" t="s">
        <v>117</v>
      </c>
      <c r="N6" s="34" t="s">
        <v>71</v>
      </c>
      <c r="O6" s="34" t="s">
        <v>84</v>
      </c>
      <c r="P6" s="34" t="s">
        <v>9</v>
      </c>
      <c r="Q6" s="34">
        <v>7.0</v>
      </c>
      <c r="R6" s="39"/>
      <c r="S6" s="40" t="s">
        <v>118</v>
      </c>
      <c r="T6" s="34"/>
      <c r="U6" s="34" t="s">
        <v>119</v>
      </c>
      <c r="V6" s="34"/>
      <c r="W6" s="34" t="s">
        <v>120</v>
      </c>
      <c r="X6" s="34"/>
    </row>
    <row r="7" ht="15.0" customFormat="1" s="33">
      <c r="A7" s="36">
        <v>46028</v>
      </c>
      <c r="B7" s="34" t="s">
        <v>34</v>
      </c>
      <c r="C7" s="34" t="s">
        <v>108</v>
      </c>
      <c r="D7" s="37" t="s">
        <v>121</v>
      </c>
      <c r="E7" s="34" t="s">
        <v>122</v>
      </c>
      <c r="F7" s="38" t="s">
        <v>123</v>
      </c>
      <c r="G7" s="34" t="s">
        <v>124</v>
      </c>
      <c r="H7" s="34"/>
      <c r="I7" s="34"/>
      <c r="J7" s="34"/>
      <c r="K7" s="34" t="s">
        <v>125</v>
      </c>
      <c r="L7" s="41" t="s">
        <v>126</v>
      </c>
      <c r="M7" s="34" t="s">
        <v>97</v>
      </c>
      <c r="N7" s="34" t="s">
        <v>71</v>
      </c>
      <c r="O7" s="34" t="s">
        <v>84</v>
      </c>
      <c r="P7" s="34" t="s">
        <v>9</v>
      </c>
      <c r="Q7" s="34">
        <v>15.0</v>
      </c>
      <c r="R7" s="34"/>
      <c r="S7" s="40" t="s">
        <v>127</v>
      </c>
      <c r="T7" s="34"/>
      <c r="U7" s="34" t="s">
        <v>128</v>
      </c>
      <c r="V7" s="34"/>
      <c r="W7" s="34"/>
      <c r="X7" s="34"/>
    </row>
    <row r="8" ht="55.0" customFormat="1" s="33">
      <c r="A8" s="36">
        <v>46028</v>
      </c>
      <c r="B8" s="34" t="s">
        <v>34</v>
      </c>
      <c r="C8" s="34" t="s">
        <v>76</v>
      </c>
      <c r="D8" s="37" t="s">
        <v>129</v>
      </c>
      <c r="E8" s="34" t="s">
        <v>130</v>
      </c>
      <c r="F8" s="38" t="s">
        <v>131</v>
      </c>
      <c r="G8" s="34" t="s">
        <v>132</v>
      </c>
      <c r="H8" s="34"/>
      <c r="I8" s="34"/>
      <c r="J8" s="34"/>
      <c r="K8" s="34" t="s">
        <v>95</v>
      </c>
      <c r="L8" s="34"/>
      <c r="M8" s="34" t="s">
        <v>117</v>
      </c>
      <c r="N8" s="34" t="s">
        <v>71</v>
      </c>
      <c r="O8" s="34" t="s">
        <v>133</v>
      </c>
      <c r="P8" s="34" t="s">
        <v>10</v>
      </c>
      <c r="Q8" s="34">
        <v>10.0</v>
      </c>
      <c r="R8" s="34"/>
      <c r="S8" s="40" t="s">
        <v>134</v>
      </c>
      <c r="T8" s="34"/>
      <c r="U8" s="38" t="s">
        <v>135</v>
      </c>
      <c r="V8" s="34" t="s">
        <v>136</v>
      </c>
      <c r="W8" s="34"/>
      <c r="X8" s="34"/>
      <c r="Y8" s="34"/>
      <c r="Z8" s="34"/>
      <c r="AA8" s="34"/>
      <c r="AB8" s="34"/>
      <c r="AC8" s="34"/>
      <c r="AD8" s="34"/>
      <c r="AE8" s="34"/>
      <c r="AF8" s="34"/>
      <c r="AG8" s="34"/>
      <c r="AH8" s="34"/>
      <c r="AI8" s="34"/>
      <c r="AJ8" s="34"/>
      <c r="AK8" s="34"/>
      <c r="AL8" s="34"/>
      <c r="AM8" s="34"/>
      <c r="AN8" s="34"/>
      <c r="AO8" s="34"/>
      <c r="AP8" s="34"/>
      <c r="AQ8" s="34"/>
      <c r="AR8" s="34"/>
      <c r="AS8" s="34"/>
      <c r="AT8" s="34"/>
      <c r="AU8" s="34"/>
      <c r="AV8" s="34"/>
    </row>
    <row r="9" ht="41.0">
      <c r="A9" s="36">
        <v>46028</v>
      </c>
      <c r="B9" s="34" t="s">
        <v>34</v>
      </c>
      <c r="C9" s="34" t="s">
        <v>76</v>
      </c>
      <c r="D9" s="37" t="s">
        <v>137</v>
      </c>
      <c r="E9" s="34" t="s">
        <v>78</v>
      </c>
      <c r="F9" s="38" t="s">
        <v>138</v>
      </c>
      <c r="G9" s="34" t="s">
        <v>139</v>
      </c>
      <c r="H9" s="34"/>
      <c r="I9" s="34" t="s">
        <v>140</v>
      </c>
      <c r="J9" s="34"/>
      <c r="K9" s="34" t="s">
        <v>115</v>
      </c>
      <c r="L9" s="34"/>
      <c r="M9" s="34" t="s">
        <v>97</v>
      </c>
      <c r="N9" s="34" t="s">
        <v>71</v>
      </c>
      <c r="O9" s="34" t="s">
        <v>84</v>
      </c>
      <c r="P9" s="34" t="s">
        <v>9</v>
      </c>
      <c r="Q9" s="34">
        <v>1.0</v>
      </c>
      <c r="R9" s="34"/>
      <c r="S9" s="40" t="s">
        <v>134</v>
      </c>
      <c r="T9" s="34"/>
      <c r="U9" s="38" t="s">
        <v>141</v>
      </c>
      <c r="V9" s="34"/>
    </row>
    <row r="10" ht="123.0">
      <c r="A10" s="36">
        <v>46029</v>
      </c>
      <c r="B10" s="34" t="s">
        <v>34</v>
      </c>
      <c r="C10" s="34" t="s">
        <v>63</v>
      </c>
      <c r="D10" s="37" t="s">
        <v>142</v>
      </c>
      <c r="E10" s="34" t="s">
        <v>130</v>
      </c>
      <c r="F10" s="38" t="s">
        <v>143</v>
      </c>
      <c r="G10" s="34" t="s">
        <v>144</v>
      </c>
      <c r="H10" s="34" t="s">
        <v>145</v>
      </c>
      <c r="I10" s="34" t="s">
        <v>146</v>
      </c>
      <c r="J10" s="34"/>
      <c r="K10" s="34" t="s">
        <v>95</v>
      </c>
      <c r="L10" s="34"/>
      <c r="M10" s="34" t="s">
        <v>97</v>
      </c>
      <c r="N10" s="34" t="s">
        <v>71</v>
      </c>
      <c r="O10" s="34" t="s">
        <v>98</v>
      </c>
      <c r="P10" s="34" t="s">
        <v>10</v>
      </c>
      <c r="Q10" s="34">
        <v>500.0</v>
      </c>
      <c r="R10" s="34"/>
      <c r="S10" s="40" t="s">
        <v>127</v>
      </c>
      <c r="T10" s="34" t="s">
        <v>147</v>
      </c>
      <c r="U10" s="38" t="s">
        <v>148</v>
      </c>
      <c r="V10" s="34" t="s">
        <v>149</v>
      </c>
      <c r="W10" s="38" t="s">
        <v>150</v>
      </c>
      <c r="X10" s="34"/>
      <c r="Y10" s="34"/>
      <c r="Z10" s="34"/>
      <c r="AA10" s="34"/>
      <c r="AB10" s="34"/>
      <c r="AC10" s="34"/>
      <c r="AD10" s="34"/>
      <c r="AE10" s="34"/>
      <c r="AF10" s="34"/>
      <c r="AG10" s="34"/>
      <c r="AH10" s="34"/>
      <c r="AI10" s="34"/>
      <c r="AJ10" s="34"/>
      <c r="AK10" s="34"/>
      <c r="AL10" s="34"/>
      <c r="AM10" s="34"/>
      <c r="AN10" s="34"/>
      <c r="AO10" s="34"/>
      <c r="AP10" s="34"/>
      <c r="AQ10" s="34"/>
      <c r="AR10" s="34"/>
      <c r="AS10" s="34"/>
      <c r="AT10" s="34"/>
      <c r="AU10" s="34"/>
      <c r="AV10" s="34"/>
      <c r="AW10" s="34"/>
    </row>
    <row r="11" ht="27.0">
      <c r="A11" s="36">
        <v>46029</v>
      </c>
      <c r="B11" s="34" t="s">
        <v>35</v>
      </c>
      <c r="C11" s="34" t="s">
        <v>108</v>
      </c>
      <c r="D11" s="37" t="s">
        <v>151</v>
      </c>
      <c r="E11" s="34" t="s">
        <v>152</v>
      </c>
      <c r="F11" s="38" t="s">
        <v>153</v>
      </c>
      <c r="G11" s="34" t="s">
        <v>154</v>
      </c>
      <c r="H11" s="34"/>
      <c r="I11" s="34"/>
      <c r="J11" s="34"/>
      <c r="K11" s="34" t="s">
        <v>69</v>
      </c>
      <c r="L11" s="34" t="s">
        <v>155</v>
      </c>
      <c r="M11" s="34" t="s">
        <v>97</v>
      </c>
      <c r="N11" s="34" t="s">
        <v>156</v>
      </c>
      <c r="O11" s="34" t="s">
        <v>157</v>
      </c>
      <c r="P11" s="34" t="s">
        <v>158</v>
      </c>
      <c r="Q11" s="34">
        <v>7.0</v>
      </c>
      <c r="R11" s="34"/>
      <c r="S11" s="40" t="s">
        <v>85</v>
      </c>
      <c r="T11" s="34"/>
      <c r="U11" s="34" t="s">
        <v>101</v>
      </c>
      <c r="V11" s="34"/>
    </row>
    <row r="12" ht="82.0">
      <c r="A12" s="36">
        <v>46029</v>
      </c>
      <c r="B12" s="34" t="s">
        <v>36</v>
      </c>
      <c r="C12" s="34" t="s">
        <v>108</v>
      </c>
      <c r="D12" s="37" t="s">
        <v>159</v>
      </c>
      <c r="E12" s="34" t="s">
        <v>160</v>
      </c>
      <c r="F12" s="38" t="s">
        <v>161</v>
      </c>
      <c r="G12" s="34" t="s">
        <v>162</v>
      </c>
      <c r="H12" s="34" t="s">
        <v>163</v>
      </c>
      <c r="I12" s="34" t="s">
        <v>164</v>
      </c>
      <c r="J12" s="34"/>
      <c r="K12" s="34" t="s">
        <v>95</v>
      </c>
      <c r="L12" s="41" t="s">
        <v>165</v>
      </c>
      <c r="M12" s="34" t="s">
        <v>117</v>
      </c>
      <c r="N12" s="34" t="s">
        <v>71</v>
      </c>
      <c r="O12" s="34" t="s">
        <v>84</v>
      </c>
      <c r="P12" s="34" t="s">
        <v>10</v>
      </c>
      <c r="Q12" s="34" t="s">
        <v>166</v>
      </c>
      <c r="R12" s="34"/>
      <c r="S12" s="40" t="s">
        <v>127</v>
      </c>
      <c r="T12" s="34"/>
      <c r="U12" s="38" t="s">
        <v>167</v>
      </c>
      <c r="V12" s="34" t="s">
        <v>168</v>
      </c>
    </row>
    <row r="13" ht="27.0">
      <c r="A13" s="36">
        <v>46029</v>
      </c>
      <c r="B13" s="34" t="s">
        <v>35</v>
      </c>
      <c r="C13" s="34" t="s">
        <v>108</v>
      </c>
      <c r="D13" s="37" t="s">
        <v>169</v>
      </c>
      <c r="E13" s="34" t="s">
        <v>170</v>
      </c>
      <c r="F13" s="38" t="s">
        <v>171</v>
      </c>
      <c r="G13" s="34" t="s">
        <v>172</v>
      </c>
      <c r="H13" s="34" t="s">
        <v>163</v>
      </c>
      <c r="I13" s="34" t="s">
        <v>163</v>
      </c>
      <c r="J13" s="34"/>
      <c r="K13" s="34" t="s">
        <v>173</v>
      </c>
      <c r="L13" s="34" t="s">
        <v>155</v>
      </c>
      <c r="M13" s="34" t="s">
        <v>97</v>
      </c>
      <c r="N13" s="34" t="s">
        <v>71</v>
      </c>
      <c r="O13" s="34" t="s">
        <v>84</v>
      </c>
      <c r="P13" s="34" t="s">
        <v>10</v>
      </c>
      <c r="Q13" s="34">
        <v>4.0</v>
      </c>
      <c r="R13" s="34"/>
      <c r="S13" s="40"/>
      <c r="T13" s="34" t="s">
        <v>174</v>
      </c>
      <c r="U13" s="38" t="s">
        <v>175</v>
      </c>
      <c r="V13" s="34"/>
    </row>
    <row r="14" ht="55.0">
      <c r="A14" s="36">
        <v>46029</v>
      </c>
      <c r="B14" s="34" t="s">
        <v>34</v>
      </c>
      <c r="C14" s="34" t="s">
        <v>108</v>
      </c>
      <c r="D14" s="37" t="s">
        <v>176</v>
      </c>
      <c r="E14" s="34" t="s">
        <v>177</v>
      </c>
      <c r="F14" s="38" t="s">
        <v>178</v>
      </c>
      <c r="G14" s="34" t="s">
        <v>179</v>
      </c>
      <c r="H14" s="34" t="s">
        <v>163</v>
      </c>
      <c r="I14" s="34" t="s">
        <v>180</v>
      </c>
      <c r="J14" s="34"/>
      <c r="K14" s="34" t="s">
        <v>95</v>
      </c>
      <c r="L14" s="34" t="s">
        <v>155</v>
      </c>
      <c r="M14" s="34" t="s">
        <v>97</v>
      </c>
      <c r="N14" s="34" t="s">
        <v>71</v>
      </c>
      <c r="O14" s="34" t="s">
        <v>84</v>
      </c>
      <c r="P14" s="34" t="s">
        <v>10</v>
      </c>
      <c r="Q14" s="34">
        <v>5.0</v>
      </c>
      <c r="R14" s="34"/>
      <c r="S14" s="40" t="s">
        <v>134</v>
      </c>
      <c r="T14" s="34"/>
      <c r="U14" s="34" t="s">
        <v>101</v>
      </c>
      <c r="V14" s="34" t="s">
        <v>174</v>
      </c>
    </row>
    <row r="15" customHeight="1" ht="13.0">
      <c r="A15" s="36">
        <v>46030</v>
      </c>
      <c r="B15" s="34" t="s">
        <v>34</v>
      </c>
      <c r="C15" s="34" t="s">
        <v>76</v>
      </c>
      <c r="D15" s="37" t="s">
        <v>181</v>
      </c>
      <c r="E15" s="34" t="s">
        <v>78</v>
      </c>
      <c r="F15" s="38" t="s">
        <v>182</v>
      </c>
      <c r="G15" s="34" t="s">
        <v>183</v>
      </c>
      <c r="H15" s="34" t="s">
        <v>163</v>
      </c>
      <c r="I15" s="34"/>
      <c r="J15" s="34"/>
      <c r="K15" s="34" t="s">
        <v>184</v>
      </c>
      <c r="L15" s="34"/>
      <c r="M15" s="34" t="s">
        <v>117</v>
      </c>
      <c r="N15" s="34" t="s">
        <v>71</v>
      </c>
      <c r="O15" s="34" t="s">
        <v>133</v>
      </c>
      <c r="P15" s="34" t="s">
        <v>10</v>
      </c>
      <c r="Q15" s="34">
        <v>3.0</v>
      </c>
      <c r="R15" s="34"/>
      <c r="S15" s="40" t="s">
        <v>134</v>
      </c>
      <c r="T15" s="34"/>
      <c r="U15" s="38" t="s">
        <v>185</v>
      </c>
      <c r="V15" s="34" t="s">
        <v>186</v>
      </c>
      <c r="X15" s="34"/>
    </row>
    <row r="16" ht="27.0">
      <c r="A16" s="36">
        <v>46030</v>
      </c>
      <c r="B16" s="34" t="s">
        <v>34</v>
      </c>
      <c r="C16" s="34" t="s">
        <v>76</v>
      </c>
      <c r="D16" s="37" t="s">
        <v>187</v>
      </c>
      <c r="E16" s="34" t="s">
        <v>78</v>
      </c>
      <c r="F16" s="38" t="s">
        <v>188</v>
      </c>
      <c r="G16" s="34" t="s">
        <v>189</v>
      </c>
      <c r="H16" s="34" t="s">
        <v>163</v>
      </c>
      <c r="I16" s="34"/>
      <c r="J16" s="34"/>
      <c r="K16" s="34" t="s">
        <v>95</v>
      </c>
      <c r="L16" s="34"/>
      <c r="M16" s="34" t="s">
        <v>117</v>
      </c>
      <c r="N16" s="34" t="s">
        <v>71</v>
      </c>
      <c r="O16" s="34" t="s">
        <v>98</v>
      </c>
      <c r="P16" s="34" t="s">
        <v>10</v>
      </c>
      <c r="Q16" s="34">
        <v>10.0</v>
      </c>
      <c r="R16" s="34"/>
      <c r="S16" s="40" t="s">
        <v>99</v>
      </c>
      <c r="T16" s="34"/>
      <c r="U16" s="38" t="s">
        <v>190</v>
      </c>
      <c r="V16" s="34" t="s">
        <v>191</v>
      </c>
      <c r="X16" s="34"/>
    </row>
    <row r="17" ht="33.0">
      <c r="A17" s="36">
        <v>46030</v>
      </c>
      <c r="B17" s="34" t="s">
        <v>34</v>
      </c>
      <c r="C17" s="34" t="s">
        <v>76</v>
      </c>
      <c r="D17" s="37" t="s">
        <v>192</v>
      </c>
      <c r="E17" s="34" t="s">
        <v>193</v>
      </c>
      <c r="F17" s="38" t="s">
        <v>194</v>
      </c>
      <c r="G17" s="42" t="s">
        <v>195</v>
      </c>
      <c r="H17" s="34" t="s">
        <v>163</v>
      </c>
      <c r="I17" s="34"/>
      <c r="J17" s="34"/>
      <c r="K17" s="34" t="s">
        <v>125</v>
      </c>
      <c r="L17" s="34"/>
      <c r="M17" s="34" t="s">
        <v>83</v>
      </c>
      <c r="N17" s="34" t="s">
        <v>71</v>
      </c>
      <c r="O17" s="34" t="s">
        <v>84</v>
      </c>
      <c r="P17" s="34" t="s">
        <v>9</v>
      </c>
      <c r="Q17" s="34">
        <v>30.0</v>
      </c>
      <c r="R17" s="34"/>
      <c r="S17" s="40" t="s">
        <v>99</v>
      </c>
      <c r="T17" s="34" t="s">
        <v>196</v>
      </c>
      <c r="U17" s="38" t="s">
        <v>197</v>
      </c>
      <c r="V17" s="34"/>
    </row>
    <row r="18" ht="41.0">
      <c r="A18" s="36">
        <v>46030</v>
      </c>
      <c r="B18" s="34" t="s">
        <v>34</v>
      </c>
      <c r="C18" s="34" t="s">
        <v>63</v>
      </c>
      <c r="D18" s="37" t="s">
        <v>198</v>
      </c>
      <c r="E18" s="34" t="s">
        <v>199</v>
      </c>
      <c r="F18" s="34" t="s">
        <v>200</v>
      </c>
      <c r="G18" s="34" t="s">
        <v>201</v>
      </c>
      <c r="H18" s="34"/>
      <c r="I18" s="34"/>
      <c r="J18" s="34"/>
      <c r="K18" s="34" t="s">
        <v>115</v>
      </c>
      <c r="L18" s="34"/>
      <c r="M18" s="34" t="s">
        <v>97</v>
      </c>
      <c r="N18" s="34" t="s">
        <v>71</v>
      </c>
      <c r="O18" s="34" t="s">
        <v>98</v>
      </c>
      <c r="P18" s="34" t="s">
        <v>10</v>
      </c>
      <c r="Q18" s="34">
        <v>3.0</v>
      </c>
      <c r="R18" s="34"/>
      <c r="S18" s="40" t="s">
        <v>134</v>
      </c>
      <c r="T18" s="34"/>
      <c r="U18" s="34"/>
      <c r="V18" s="34"/>
    </row>
    <row r="19" ht="41.0">
      <c r="A19" s="36">
        <v>46030</v>
      </c>
      <c r="B19" s="34" t="s">
        <v>34</v>
      </c>
      <c r="C19" s="34" t="s">
        <v>108</v>
      </c>
      <c r="D19" s="37" t="s">
        <v>202</v>
      </c>
      <c r="E19" s="34" t="s">
        <v>203</v>
      </c>
      <c r="F19" s="38" t="s">
        <v>204</v>
      </c>
      <c r="G19" s="34" t="s">
        <v>205</v>
      </c>
      <c r="H19" s="34" t="s">
        <v>163</v>
      </c>
      <c r="I19" s="34" t="s">
        <v>140</v>
      </c>
      <c r="J19" s="34" t="s">
        <v>206</v>
      </c>
      <c r="K19" s="34" t="s">
        <v>95</v>
      </c>
      <c r="L19" s="34" t="s">
        <v>155</v>
      </c>
      <c r="M19" s="34" t="s">
        <v>97</v>
      </c>
      <c r="N19" s="34" t="s">
        <v>71</v>
      </c>
      <c r="O19" s="34" t="s">
        <v>207</v>
      </c>
      <c r="P19" s="34" t="s">
        <v>10</v>
      </c>
      <c r="Q19" s="34">
        <v>4.0</v>
      </c>
      <c r="R19" s="39"/>
      <c r="S19" s="40" t="s">
        <v>127</v>
      </c>
      <c r="T19" s="34"/>
      <c r="U19" s="34" t="s">
        <v>119</v>
      </c>
      <c r="V19" s="34" t="s">
        <v>174</v>
      </c>
      <c r="X19" s="34"/>
    </row>
    <row r="20" ht="27.0">
      <c r="A20" s="36">
        <v>46030</v>
      </c>
      <c r="B20" s="34" t="s">
        <v>34</v>
      </c>
      <c r="C20" s="34" t="s">
        <v>108</v>
      </c>
      <c r="D20" s="37" t="s">
        <v>208</v>
      </c>
      <c r="E20" s="34" t="s">
        <v>160</v>
      </c>
      <c r="F20" s="38" t="s">
        <v>209</v>
      </c>
      <c r="G20" s="34" t="s">
        <v>210</v>
      </c>
      <c r="H20" s="34" t="s">
        <v>163</v>
      </c>
      <c r="I20" s="34"/>
      <c r="J20" s="34"/>
      <c r="K20" s="34" t="s">
        <v>69</v>
      </c>
      <c r="L20" s="34"/>
      <c r="M20" s="34" t="s">
        <v>117</v>
      </c>
      <c r="N20" s="34" t="s">
        <v>71</v>
      </c>
      <c r="O20" s="34" t="s">
        <v>84</v>
      </c>
      <c r="P20" s="34" t="s">
        <v>9</v>
      </c>
      <c r="Q20" s="34">
        <v>4.0</v>
      </c>
      <c r="R20" s="34"/>
      <c r="S20" s="40" t="s">
        <v>134</v>
      </c>
      <c r="T20" s="34"/>
      <c r="U20" s="38" t="s">
        <v>211</v>
      </c>
      <c r="V20" s="34"/>
      <c r="X20" s="34"/>
    </row>
    <row r="21" ht="68.0">
      <c r="A21" s="36">
        <v>46030</v>
      </c>
      <c r="B21" s="34" t="s">
        <v>34</v>
      </c>
      <c r="C21" s="34" t="s">
        <v>108</v>
      </c>
      <c r="D21" s="37" t="s">
        <v>212</v>
      </c>
      <c r="E21" s="34" t="s">
        <v>213</v>
      </c>
      <c r="F21" s="38" t="s">
        <v>214</v>
      </c>
      <c r="G21" s="34" t="s">
        <v>215</v>
      </c>
      <c r="H21" s="34" t="s">
        <v>163</v>
      </c>
      <c r="I21" s="34" t="s">
        <v>140</v>
      </c>
      <c r="J21" s="34" t="s">
        <v>216</v>
      </c>
      <c r="K21" s="34" t="s">
        <v>95</v>
      </c>
      <c r="L21" s="34" t="s">
        <v>155</v>
      </c>
      <c r="M21" s="34" t="s">
        <v>83</v>
      </c>
      <c r="N21" s="34" t="s">
        <v>71</v>
      </c>
      <c r="O21" s="34" t="s">
        <v>133</v>
      </c>
      <c r="P21" s="34" t="s">
        <v>10</v>
      </c>
      <c r="Q21" s="34"/>
      <c r="R21" s="34"/>
      <c r="S21" s="40" t="s">
        <v>127</v>
      </c>
      <c r="T21" s="34"/>
      <c r="U21" s="38" t="s">
        <v>217</v>
      </c>
      <c r="V21" s="34" t="s">
        <v>174</v>
      </c>
    </row>
    <row r="22" ht="96.0">
      <c r="A22" s="36">
        <v>46030</v>
      </c>
      <c r="B22" s="34" t="s">
        <v>35</v>
      </c>
      <c r="C22" s="34" t="s">
        <v>108</v>
      </c>
      <c r="D22" s="37" t="s">
        <v>218</v>
      </c>
      <c r="E22" s="34" t="s">
        <v>219</v>
      </c>
      <c r="F22" s="38" t="s">
        <v>220</v>
      </c>
      <c r="G22" s="34" t="s">
        <v>221</v>
      </c>
      <c r="H22" s="34" t="s">
        <v>163</v>
      </c>
      <c r="I22" s="34"/>
      <c r="J22" s="34"/>
      <c r="K22" s="34" t="s">
        <v>95</v>
      </c>
      <c r="L22" s="34" t="s">
        <v>155</v>
      </c>
      <c r="M22" s="34" t="s">
        <v>97</v>
      </c>
      <c r="N22" s="34" t="s">
        <v>71</v>
      </c>
      <c r="O22" s="34" t="s">
        <v>133</v>
      </c>
      <c r="P22" s="34" t="s">
        <v>10</v>
      </c>
      <c r="Q22" s="34">
        <v>10.0</v>
      </c>
      <c r="R22" s="34"/>
      <c r="S22" s="40" t="s">
        <v>127</v>
      </c>
      <c r="T22" s="34"/>
      <c r="U22" s="41" t="s">
        <v>222</v>
      </c>
      <c r="V22" s="34" t="s">
        <v>174</v>
      </c>
    </row>
    <row r="23" customHeight="1" ht="53.0">
      <c r="A23" s="36">
        <v>46031</v>
      </c>
      <c r="B23" s="34" t="s">
        <v>34</v>
      </c>
      <c r="C23" s="34" t="s">
        <v>63</v>
      </c>
      <c r="D23" s="37" t="s">
        <v>223</v>
      </c>
      <c r="E23" s="34" t="s">
        <v>224</v>
      </c>
      <c r="F23" s="38" t="s">
        <v>225</v>
      </c>
      <c r="G23" s="34" t="s">
        <v>226</v>
      </c>
      <c r="H23" s="34"/>
      <c r="I23" s="34"/>
      <c r="J23" s="34"/>
      <c r="K23" s="34" t="s">
        <v>115</v>
      </c>
      <c r="L23" s="34"/>
      <c r="M23" s="34" t="s">
        <v>97</v>
      </c>
      <c r="N23" s="34" t="s">
        <v>71</v>
      </c>
      <c r="O23" s="34" t="s">
        <v>98</v>
      </c>
      <c r="P23" s="34" t="s">
        <v>10</v>
      </c>
      <c r="Q23" s="34">
        <v>50.0</v>
      </c>
      <c r="R23" s="34"/>
      <c r="S23" s="40" t="s">
        <v>127</v>
      </c>
      <c r="T23" s="34"/>
      <c r="U23" s="38" t="s">
        <v>227</v>
      </c>
      <c r="V23" s="34"/>
    </row>
    <row r="24" ht="41.0">
      <c r="A24" s="36">
        <v>46031</v>
      </c>
      <c r="B24" s="34" t="s">
        <v>34</v>
      </c>
      <c r="C24" s="34" t="s">
        <v>63</v>
      </c>
      <c r="D24" s="37" t="s">
        <v>228</v>
      </c>
      <c r="E24" s="34" t="s">
        <v>130</v>
      </c>
      <c r="F24" s="38" t="s">
        <v>229</v>
      </c>
      <c r="G24" s="34" t="s">
        <v>230</v>
      </c>
      <c r="H24" s="34" t="s">
        <v>231</v>
      </c>
      <c r="I24" s="34"/>
      <c r="J24" s="34"/>
      <c r="K24" s="34" t="s">
        <v>125</v>
      </c>
      <c r="L24" s="34"/>
      <c r="M24" s="34" t="s">
        <v>83</v>
      </c>
      <c r="N24" s="34" t="s">
        <v>71</v>
      </c>
      <c r="O24" s="34" t="s">
        <v>133</v>
      </c>
      <c r="P24" s="34" t="s">
        <v>10</v>
      </c>
      <c r="Q24" s="34">
        <v>12.0</v>
      </c>
      <c r="R24" s="34"/>
      <c r="S24" s="40" t="s">
        <v>127</v>
      </c>
      <c r="T24" s="34"/>
      <c r="U24" s="38" t="s">
        <v>232</v>
      </c>
      <c r="V24" s="34"/>
      <c r="W24" s="41" t="s">
        <v>233</v>
      </c>
      <c r="X24" s="34"/>
    </row>
    <row r="25" ht="27.0">
      <c r="A25" s="36">
        <v>46031</v>
      </c>
      <c r="B25" s="34" t="s">
        <v>34</v>
      </c>
      <c r="C25" s="34" t="s">
        <v>76</v>
      </c>
      <c r="D25" s="37" t="s">
        <v>234</v>
      </c>
      <c r="E25" s="34" t="s">
        <v>78</v>
      </c>
      <c r="F25" s="38" t="s">
        <v>235</v>
      </c>
      <c r="G25" s="34" t="s">
        <v>236</v>
      </c>
      <c r="H25" s="34"/>
      <c r="I25" s="34"/>
      <c r="J25" s="34"/>
      <c r="K25" s="34" t="s">
        <v>95</v>
      </c>
      <c r="L25" s="34"/>
      <c r="M25" s="34" t="s">
        <v>97</v>
      </c>
      <c r="N25" s="34" t="s">
        <v>71</v>
      </c>
      <c r="O25" s="34" t="s">
        <v>98</v>
      </c>
      <c r="P25" s="34" t="s">
        <v>10</v>
      </c>
      <c r="Q25" s="43">
        <v>46298</v>
      </c>
      <c r="R25" s="34"/>
      <c r="S25" s="40" t="s">
        <v>134</v>
      </c>
      <c r="T25" s="34"/>
      <c r="U25" s="38" t="s">
        <v>237</v>
      </c>
      <c r="V25" s="34"/>
    </row>
    <row r="26" ht="55.0">
      <c r="A26" s="36">
        <v>46031</v>
      </c>
      <c r="B26" s="34" t="s">
        <v>34</v>
      </c>
      <c r="C26" s="34" t="s">
        <v>76</v>
      </c>
      <c r="D26" s="37" t="s">
        <v>238</v>
      </c>
      <c r="E26" s="34" t="s">
        <v>239</v>
      </c>
      <c r="F26" s="38" t="s">
        <v>240</v>
      </c>
      <c r="G26" s="34" t="s">
        <v>241</v>
      </c>
      <c r="H26" s="34"/>
      <c r="I26" s="34"/>
      <c r="J26" s="34"/>
      <c r="K26" s="34" t="s">
        <v>125</v>
      </c>
      <c r="L26" s="34"/>
      <c r="M26" s="34" t="s">
        <v>117</v>
      </c>
      <c r="N26" s="34" t="s">
        <v>71</v>
      </c>
      <c r="O26" s="34" t="s">
        <v>84</v>
      </c>
      <c r="P26" s="34" t="s">
        <v>9</v>
      </c>
      <c r="Q26" s="34">
        <v>380.0</v>
      </c>
      <c r="R26" s="39">
        <v>4965.84</v>
      </c>
      <c r="S26" s="40" t="s">
        <v>134</v>
      </c>
      <c r="T26" s="34"/>
      <c r="U26" s="38" t="s">
        <v>242</v>
      </c>
      <c r="V26" s="34"/>
    </row>
    <row r="27" ht="27.0">
      <c r="A27" s="36">
        <v>46031</v>
      </c>
      <c r="B27" s="34" t="s">
        <v>34</v>
      </c>
      <c r="C27" s="34" t="s">
        <v>76</v>
      </c>
      <c r="D27" s="37" t="s">
        <v>243</v>
      </c>
      <c r="E27" s="34" t="s">
        <v>244</v>
      </c>
      <c r="F27" s="38" t="s">
        <v>245</v>
      </c>
      <c r="G27" s="34" t="s">
        <v>246</v>
      </c>
      <c r="H27" s="34" t="s">
        <v>247</v>
      </c>
      <c r="I27" s="34"/>
      <c r="J27" s="34"/>
      <c r="K27" s="34" t="s">
        <v>173</v>
      </c>
      <c r="L27" s="34"/>
      <c r="M27" s="34" t="s">
        <v>83</v>
      </c>
      <c r="N27" s="34" t="s">
        <v>71</v>
      </c>
      <c r="O27" s="34" t="s">
        <v>98</v>
      </c>
      <c r="P27" s="34" t="s">
        <v>10</v>
      </c>
      <c r="Q27" s="34" t="s">
        <v>248</v>
      </c>
      <c r="R27" s="34"/>
      <c r="S27" s="40" t="s">
        <v>134</v>
      </c>
      <c r="T27" s="34"/>
      <c r="U27" s="38" t="s">
        <v>249</v>
      </c>
      <c r="V27" s="34"/>
    </row>
    <row r="28" ht="27.0">
      <c r="A28" s="36">
        <v>46031</v>
      </c>
      <c r="B28" s="34" t="s">
        <v>34</v>
      </c>
      <c r="C28" s="34" t="s">
        <v>76</v>
      </c>
      <c r="D28" s="37" t="s">
        <v>250</v>
      </c>
      <c r="E28" s="34" t="s">
        <v>78</v>
      </c>
      <c r="F28" s="38" t="s">
        <v>251</v>
      </c>
      <c r="G28" s="34" t="s">
        <v>252</v>
      </c>
      <c r="H28" s="34"/>
      <c r="I28" s="34"/>
      <c r="J28" s="34"/>
      <c r="K28" s="34" t="s">
        <v>95</v>
      </c>
      <c r="L28" s="34"/>
      <c r="M28" s="34" t="s">
        <v>97</v>
      </c>
      <c r="N28" s="34" t="s">
        <v>71</v>
      </c>
      <c r="O28" s="34" t="s">
        <v>84</v>
      </c>
      <c r="P28" s="34" t="s">
        <v>10</v>
      </c>
      <c r="Q28" s="43">
        <v>46176</v>
      </c>
      <c r="R28" s="34"/>
      <c r="S28" s="40" t="s">
        <v>85</v>
      </c>
      <c r="T28" s="34" t="s">
        <v>253</v>
      </c>
      <c r="U28" s="38" t="s">
        <v>254</v>
      </c>
      <c r="V28" s="34"/>
    </row>
    <row r="29" ht="123.0">
      <c r="A29" s="36">
        <v>46031</v>
      </c>
      <c r="B29" s="34" t="s">
        <v>34</v>
      </c>
      <c r="C29" s="34" t="s">
        <v>76</v>
      </c>
      <c r="D29" s="37" t="s">
        <v>255</v>
      </c>
      <c r="E29" s="34" t="s">
        <v>256</v>
      </c>
      <c r="F29" s="38" t="s">
        <v>257</v>
      </c>
      <c r="G29" s="34" t="s">
        <v>258</v>
      </c>
      <c r="H29" s="34" t="s">
        <v>259</v>
      </c>
      <c r="I29" s="34"/>
      <c r="J29" s="34"/>
      <c r="K29" s="34" t="s">
        <v>95</v>
      </c>
      <c r="L29" s="34"/>
      <c r="M29" s="34" t="s">
        <v>117</v>
      </c>
      <c r="N29" s="34" t="s">
        <v>71</v>
      </c>
      <c r="O29" s="34" t="s">
        <v>133</v>
      </c>
      <c r="P29" s="34" t="s">
        <v>10</v>
      </c>
      <c r="Q29" s="34">
        <v>15.0</v>
      </c>
      <c r="R29" s="34"/>
      <c r="S29" s="40" t="s">
        <v>127</v>
      </c>
      <c r="T29" s="34"/>
      <c r="U29" s="38" t="s">
        <v>260</v>
      </c>
      <c r="V29" s="34" t="s">
        <v>261</v>
      </c>
    </row>
    <row r="30" ht="55.0">
      <c r="A30" s="36">
        <v>46031</v>
      </c>
      <c r="B30" s="34" t="s">
        <v>34</v>
      </c>
      <c r="C30" s="34" t="s">
        <v>108</v>
      </c>
      <c r="D30" s="37" t="s">
        <v>262</v>
      </c>
      <c r="E30" s="34" t="s">
        <v>263</v>
      </c>
      <c r="F30" s="38" t="s">
        <v>264</v>
      </c>
      <c r="G30" s="34" t="s">
        <v>265</v>
      </c>
      <c r="H30" s="34" t="s">
        <v>163</v>
      </c>
      <c r="I30" s="34" t="s">
        <v>266</v>
      </c>
      <c r="J30" s="34"/>
      <c r="K30" s="34" t="s">
        <v>267</v>
      </c>
      <c r="L30" s="38" t="s">
        <v>268</v>
      </c>
      <c r="M30" s="34" t="s">
        <v>117</v>
      </c>
      <c r="N30" s="34" t="s">
        <v>71</v>
      </c>
      <c r="O30" s="34" t="s">
        <v>84</v>
      </c>
      <c r="P30" s="34" t="s">
        <v>9</v>
      </c>
      <c r="Q30" s="34">
        <v>13.0</v>
      </c>
      <c r="R30" s="34"/>
      <c r="S30" s="40" t="s">
        <v>127</v>
      </c>
      <c r="T30" s="34"/>
      <c r="U30" s="38" t="s">
        <v>269</v>
      </c>
      <c r="V30" s="34"/>
      <c r="X30" s="34"/>
    </row>
    <row r="31" ht="55.0">
      <c r="A31" s="36">
        <v>46031</v>
      </c>
      <c r="B31" s="34" t="s">
        <v>34</v>
      </c>
      <c r="C31" s="34" t="s">
        <v>63</v>
      </c>
      <c r="D31" s="37" t="s">
        <v>270</v>
      </c>
      <c r="E31" s="34" t="s">
        <v>130</v>
      </c>
      <c r="F31" s="38" t="s">
        <v>229</v>
      </c>
      <c r="G31" s="34" t="s">
        <v>271</v>
      </c>
      <c r="H31" s="34"/>
      <c r="I31" s="34"/>
      <c r="J31" s="34"/>
      <c r="K31" s="34" t="s">
        <v>115</v>
      </c>
      <c r="L31" s="34"/>
      <c r="M31" s="34" t="s">
        <v>83</v>
      </c>
      <c r="N31" s="34" t="s">
        <v>71</v>
      </c>
      <c r="O31" s="34" t="s">
        <v>84</v>
      </c>
      <c r="P31" s="34" t="s">
        <v>9</v>
      </c>
      <c r="Q31" s="34">
        <v>11.0</v>
      </c>
      <c r="R31" s="39">
        <v>402.93</v>
      </c>
      <c r="S31" s="40" t="s">
        <v>99</v>
      </c>
      <c r="T31" s="34"/>
      <c r="U31" s="38" t="s">
        <v>272</v>
      </c>
      <c r="V31" s="34"/>
      <c r="X31" s="34"/>
    </row>
    <row r="32" ht="15.0">
      <c r="A32" s="36">
        <v>46031</v>
      </c>
      <c r="B32" s="34" t="s">
        <v>34</v>
      </c>
      <c r="C32" s="34" t="s">
        <v>108</v>
      </c>
      <c r="D32" s="37" t="s">
        <v>273</v>
      </c>
      <c r="E32" s="34" t="s">
        <v>274</v>
      </c>
      <c r="F32" s="38" t="s">
        <v>275</v>
      </c>
      <c r="G32" s="34" t="s">
        <v>276</v>
      </c>
      <c r="H32" s="34"/>
      <c r="I32" s="34" t="s">
        <v>277</v>
      </c>
      <c r="J32" s="34"/>
      <c r="K32" s="34" t="s">
        <v>95</v>
      </c>
      <c r="L32" s="34" t="s">
        <v>155</v>
      </c>
      <c r="M32" s="34" t="s">
        <v>83</v>
      </c>
      <c r="N32" s="34" t="s">
        <v>71</v>
      </c>
      <c r="O32" s="34" t="s">
        <v>98</v>
      </c>
      <c r="P32" s="34" t="s">
        <v>10</v>
      </c>
      <c r="Q32" s="34"/>
      <c r="R32" s="34"/>
      <c r="S32" s="40"/>
      <c r="T32" s="34"/>
      <c r="U32" s="34" t="s">
        <v>101</v>
      </c>
      <c r="V32" s="34" t="s">
        <v>174</v>
      </c>
      <c r="X32" s="34"/>
    </row>
    <row r="33" ht="27.0">
      <c r="A33" s="36">
        <v>46031</v>
      </c>
      <c r="B33" s="34" t="s">
        <v>34</v>
      </c>
      <c r="C33" s="34" t="s">
        <v>108</v>
      </c>
      <c r="D33" s="37" t="s">
        <v>278</v>
      </c>
      <c r="E33" s="34" t="s">
        <v>279</v>
      </c>
      <c r="F33" s="38" t="s">
        <v>280</v>
      </c>
      <c r="G33" s="34" t="s">
        <v>281</v>
      </c>
      <c r="H33" s="34" t="s">
        <v>282</v>
      </c>
      <c r="I33" s="34" t="s">
        <v>163</v>
      </c>
      <c r="J33" s="34"/>
      <c r="K33" s="34" t="s">
        <v>173</v>
      </c>
      <c r="L33" s="34" t="s">
        <v>155</v>
      </c>
      <c r="M33" s="34" t="s">
        <v>97</v>
      </c>
      <c r="N33" s="34" t="s">
        <v>71</v>
      </c>
      <c r="O33" s="34" t="s">
        <v>98</v>
      </c>
      <c r="P33" s="34" t="s">
        <v>10</v>
      </c>
      <c r="Q33" s="34">
        <v>2.0</v>
      </c>
      <c r="R33" s="34"/>
      <c r="S33" s="40" t="s">
        <v>134</v>
      </c>
      <c r="T33" s="34" t="s">
        <v>174</v>
      </c>
      <c r="U33" s="34" t="s">
        <v>101</v>
      </c>
      <c r="V33" s="34"/>
      <c r="X33" s="34"/>
    </row>
    <row r="34" customHeight="1" ht="47.0">
      <c r="A34" s="36">
        <v>46031</v>
      </c>
      <c r="B34" s="34" t="s">
        <v>34</v>
      </c>
      <c r="C34" s="34" t="s">
        <v>88</v>
      </c>
      <c r="D34" s="37" t="s">
        <v>283</v>
      </c>
      <c r="E34" s="34" t="s">
        <v>284</v>
      </c>
      <c r="F34" s="38" t="s">
        <v>285</v>
      </c>
      <c r="G34" s="34" t="s">
        <v>286</v>
      </c>
      <c r="H34" s="34"/>
      <c r="I34" s="34" t="s">
        <v>287</v>
      </c>
      <c r="J34" s="34" t="s">
        <v>288</v>
      </c>
      <c r="K34" s="34" t="s">
        <v>184</v>
      </c>
      <c r="L34" s="38" t="s">
        <v>289</v>
      </c>
      <c r="M34" s="34" t="s">
        <v>83</v>
      </c>
      <c r="N34" s="34" t="s">
        <v>71</v>
      </c>
      <c r="O34" s="34" t="s">
        <v>84</v>
      </c>
      <c r="P34" s="34" t="s">
        <v>9</v>
      </c>
      <c r="Q34" s="34">
        <v>3.0</v>
      </c>
      <c r="R34" s="34"/>
      <c r="S34" s="40" t="s">
        <v>134</v>
      </c>
      <c r="T34" s="34"/>
      <c r="U34" s="38" t="s">
        <v>290</v>
      </c>
      <c r="V34" s="34"/>
      <c r="X34" s="1"/>
      <c r="Y34" s="34"/>
      <c r="Z34" s="34"/>
      <c r="AA34" s="34"/>
      <c r="AB34" s="34"/>
      <c r="AC34" s="34"/>
      <c r="AD34" s="34"/>
      <c r="AE34" s="34"/>
      <c r="AF34" s="34"/>
      <c r="AG34" s="34"/>
      <c r="AH34" s="34"/>
      <c r="AI34" s="34"/>
      <c r="AJ34" s="34"/>
      <c r="AK34" s="34"/>
      <c r="AL34" s="34"/>
      <c r="AM34" s="34"/>
      <c r="AN34" s="34"/>
      <c r="AO34" s="34"/>
      <c r="AP34" s="34"/>
      <c r="AQ34" s="34"/>
      <c r="AR34" s="34"/>
      <c r="AS34" s="34"/>
      <c r="AT34" s="34"/>
      <c r="AU34" s="34"/>
      <c r="AV34" s="34"/>
      <c r="AW34" s="34"/>
      <c r="AX34" s="34"/>
      <c r="AY34" s="34"/>
    </row>
    <row r="35" customHeight="1" ht="47.0">
      <c r="A35" s="36">
        <v>46034</v>
      </c>
      <c r="B35" s="34" t="s">
        <v>34</v>
      </c>
      <c r="C35" s="34" t="s">
        <v>76</v>
      </c>
      <c r="D35" s="37" t="s">
        <v>291</v>
      </c>
      <c r="E35" s="34" t="s">
        <v>78</v>
      </c>
      <c r="F35" s="38" t="s">
        <v>292</v>
      </c>
      <c r="G35" s="34" t="s">
        <v>293</v>
      </c>
      <c r="H35" s="34"/>
      <c r="I35" s="34"/>
      <c r="J35" s="34"/>
      <c r="K35" s="34" t="s">
        <v>184</v>
      </c>
      <c r="L35" s="34"/>
      <c r="M35" s="34" t="s">
        <v>117</v>
      </c>
      <c r="N35" s="34" t="s">
        <v>71</v>
      </c>
      <c r="O35" s="34" t="s">
        <v>98</v>
      </c>
      <c r="P35" s="34" t="s">
        <v>10</v>
      </c>
      <c r="Q35" s="34">
        <v>15.0</v>
      </c>
      <c r="R35" s="34"/>
      <c r="S35" s="40" t="s">
        <v>294</v>
      </c>
      <c r="T35" s="34"/>
      <c r="U35" s="38" t="s">
        <v>295</v>
      </c>
      <c r="V35" s="34"/>
      <c r="X35" s="34"/>
      <c r="Y35" s="34"/>
      <c r="Z35" s="34"/>
      <c r="AA35" s="34"/>
      <c r="AB35" s="34"/>
      <c r="AC35" s="34"/>
      <c r="AD35" s="34"/>
      <c r="AE35" s="34"/>
      <c r="AF35" s="34"/>
      <c r="AG35" s="34"/>
      <c r="AH35" s="34"/>
      <c r="AI35" s="34"/>
      <c r="AJ35" s="34"/>
      <c r="AK35" s="34"/>
      <c r="AL35" s="34"/>
      <c r="AM35" s="34"/>
      <c r="AN35" s="34"/>
      <c r="AO35" s="34"/>
      <c r="AP35" s="34"/>
      <c r="AQ35" s="34"/>
      <c r="AR35" s="34"/>
      <c r="AS35" s="34"/>
      <c r="AT35" s="34"/>
      <c r="AU35" s="34"/>
      <c r="AV35" s="34"/>
      <c r="AW35" s="34"/>
      <c r="AX35" s="34"/>
    </row>
    <row r="36" customHeight="1" ht="47.0">
      <c r="A36" s="36">
        <v>46034</v>
      </c>
      <c r="B36" s="34" t="s">
        <v>34</v>
      </c>
      <c r="C36" s="34" t="s">
        <v>76</v>
      </c>
      <c r="D36" s="37" t="s">
        <v>296</v>
      </c>
      <c r="E36" s="34" t="s">
        <v>297</v>
      </c>
      <c r="F36" s="38" t="s">
        <v>298</v>
      </c>
      <c r="G36" s="34" t="s">
        <v>299</v>
      </c>
      <c r="H36" s="34"/>
      <c r="I36" s="34"/>
      <c r="J36" s="34"/>
      <c r="K36" s="34" t="s">
        <v>125</v>
      </c>
      <c r="L36" s="34"/>
      <c r="M36" s="34" t="s">
        <v>97</v>
      </c>
      <c r="N36" s="34" t="s">
        <v>71</v>
      </c>
      <c r="O36" s="34" t="s">
        <v>98</v>
      </c>
      <c r="P36" s="34" t="s">
        <v>10</v>
      </c>
      <c r="Q36" s="34">
        <v>10.0</v>
      </c>
      <c r="R36" s="34"/>
      <c r="S36" s="40" t="s">
        <v>134</v>
      </c>
      <c r="T36" s="34"/>
      <c r="U36" s="38" t="s">
        <v>300</v>
      </c>
      <c r="V36" s="34"/>
    </row>
    <row r="37" ht="68.0">
      <c r="A37" s="36">
        <v>46034</v>
      </c>
      <c r="B37" s="34" t="s">
        <v>34</v>
      </c>
      <c r="C37" s="34" t="s">
        <v>108</v>
      </c>
      <c r="D37" s="37" t="s">
        <v>301</v>
      </c>
      <c r="E37" s="34" t="s">
        <v>302</v>
      </c>
      <c r="F37" s="38" t="s">
        <v>303</v>
      </c>
      <c r="G37" s="34" t="s">
        <v>304</v>
      </c>
      <c r="H37" s="34" t="s">
        <v>163</v>
      </c>
      <c r="I37" s="34" t="s">
        <v>305</v>
      </c>
      <c r="J37" s="34"/>
      <c r="K37" s="34" t="s">
        <v>125</v>
      </c>
      <c r="L37" s="34" t="s">
        <v>155</v>
      </c>
      <c r="M37" s="34" t="s">
        <v>97</v>
      </c>
      <c r="N37" s="34" t="s">
        <v>71</v>
      </c>
      <c r="O37" s="34" t="s">
        <v>84</v>
      </c>
      <c r="P37" s="34" t="s">
        <v>9</v>
      </c>
      <c r="Q37" s="34">
        <v>4.0</v>
      </c>
      <c r="R37" s="34"/>
      <c r="S37" s="40" t="s">
        <v>134</v>
      </c>
      <c r="T37" s="34"/>
      <c r="U37" s="38" t="s">
        <v>306</v>
      </c>
      <c r="V37" s="34"/>
    </row>
    <row r="38" ht="15.0" customFormat="1" s="33">
      <c r="A38" s="36">
        <v>46034</v>
      </c>
      <c r="B38" s="34" t="s">
        <v>34</v>
      </c>
      <c r="C38" s="34" t="s">
        <v>108</v>
      </c>
      <c r="D38" s="37" t="s">
        <v>121</v>
      </c>
      <c r="E38" s="34" t="s">
        <v>122</v>
      </c>
      <c r="F38" s="38" t="s">
        <v>123</v>
      </c>
      <c r="G38" s="34" t="s">
        <v>307</v>
      </c>
      <c r="H38" s="34"/>
      <c r="I38" s="34"/>
      <c r="J38" s="34"/>
      <c r="K38" s="34" t="s">
        <v>125</v>
      </c>
      <c r="L38" s="41" t="s">
        <v>308</v>
      </c>
      <c r="M38" s="34" t="s">
        <v>97</v>
      </c>
      <c r="N38" s="34" t="s">
        <v>309</v>
      </c>
      <c r="O38" s="34" t="s">
        <v>84</v>
      </c>
      <c r="P38" s="34" t="s">
        <v>9</v>
      </c>
      <c r="Q38" s="34">
        <v>15.0</v>
      </c>
      <c r="R38" s="39">
        <v>1034.5</v>
      </c>
      <c r="S38" s="40" t="s">
        <v>127</v>
      </c>
      <c r="T38" s="34"/>
      <c r="U38" s="34" t="s">
        <v>128</v>
      </c>
      <c r="V38" s="34"/>
      <c r="W38" s="34"/>
      <c r="X38" s="34"/>
    </row>
    <row r="39" ht="109.0">
      <c r="A39" s="36">
        <v>46034</v>
      </c>
      <c r="B39" s="34" t="s">
        <v>36</v>
      </c>
      <c r="C39" s="34" t="s">
        <v>108</v>
      </c>
      <c r="D39" s="37" t="s">
        <v>310</v>
      </c>
      <c r="E39" s="34" t="s">
        <v>311</v>
      </c>
      <c r="F39" s="38" t="s">
        <v>312</v>
      </c>
      <c r="G39" s="34" t="s">
        <v>313</v>
      </c>
      <c r="H39" s="34" t="s">
        <v>163</v>
      </c>
      <c r="I39" s="34" t="s">
        <v>163</v>
      </c>
      <c r="J39" s="34"/>
      <c r="K39" s="34" t="s">
        <v>125</v>
      </c>
      <c r="L39" s="38" t="s">
        <v>314</v>
      </c>
      <c r="M39" s="34" t="s">
        <v>97</v>
      </c>
      <c r="N39" s="34" t="s">
        <v>71</v>
      </c>
      <c r="O39" s="34" t="s">
        <v>133</v>
      </c>
      <c r="P39" s="34" t="s">
        <v>10</v>
      </c>
      <c r="Q39" s="34">
        <v>30.0</v>
      </c>
      <c r="R39" s="34"/>
      <c r="S39" s="40" t="s">
        <v>127</v>
      </c>
      <c r="T39" s="34"/>
      <c r="U39" s="38" t="s">
        <v>315</v>
      </c>
      <c r="V39" s="34" t="s">
        <v>316</v>
      </c>
    </row>
    <row r="40" customHeight="1" ht="59.0">
      <c r="A40" s="36">
        <v>46034</v>
      </c>
      <c r="B40" s="34" t="s">
        <v>34</v>
      </c>
      <c r="C40" s="34" t="s">
        <v>108</v>
      </c>
      <c r="D40" s="37" t="s">
        <v>317</v>
      </c>
      <c r="E40" s="34" t="s">
        <v>318</v>
      </c>
      <c r="F40" s="38" t="s">
        <v>319</v>
      </c>
      <c r="G40" s="34" t="s">
        <v>320</v>
      </c>
      <c r="H40" s="34" t="s">
        <v>163</v>
      </c>
      <c r="I40" s="34" t="s">
        <v>321</v>
      </c>
      <c r="J40" s="34" t="s">
        <v>322</v>
      </c>
      <c r="K40" s="34" t="s">
        <v>267</v>
      </c>
      <c r="L40" s="38" t="s">
        <v>323</v>
      </c>
      <c r="M40" s="34" t="s">
        <v>97</v>
      </c>
      <c r="N40" s="34" t="s">
        <v>71</v>
      </c>
      <c r="O40" s="34" t="s">
        <v>84</v>
      </c>
      <c r="P40" s="34" t="s">
        <v>9</v>
      </c>
      <c r="Q40" s="34">
        <v>5.0</v>
      </c>
      <c r="R40" s="34"/>
      <c r="S40" s="40" t="s">
        <v>99</v>
      </c>
      <c r="T40" s="34"/>
      <c r="U40" s="38" t="s">
        <v>324</v>
      </c>
      <c r="V40" s="34"/>
    </row>
    <row r="41" customHeight="1" ht="59.0">
      <c r="A41" s="36">
        <v>46034</v>
      </c>
      <c r="B41" s="34" t="s">
        <v>34</v>
      </c>
      <c r="C41" s="34" t="s">
        <v>108</v>
      </c>
      <c r="D41" s="37" t="s">
        <v>325</v>
      </c>
      <c r="E41" s="34" t="s">
        <v>326</v>
      </c>
      <c r="F41" s="38" t="s">
        <v>327</v>
      </c>
      <c r="G41" s="34" t="s">
        <v>328</v>
      </c>
      <c r="H41" s="34" t="s">
        <v>163</v>
      </c>
      <c r="I41" s="34"/>
      <c r="J41" s="34"/>
      <c r="K41" s="34" t="s">
        <v>69</v>
      </c>
      <c r="L41" s="34"/>
      <c r="M41" s="34" t="s">
        <v>83</v>
      </c>
      <c r="N41" s="34" t="s">
        <v>71</v>
      </c>
      <c r="O41" s="34" t="s">
        <v>84</v>
      </c>
      <c r="P41" s="34" t="s">
        <v>9</v>
      </c>
      <c r="Q41" s="34">
        <v>8.0</v>
      </c>
      <c r="R41" s="34"/>
      <c r="S41" s="40" t="s">
        <v>294</v>
      </c>
      <c r="T41" s="34" t="s">
        <v>329</v>
      </c>
      <c r="U41" s="34" t="s">
        <v>101</v>
      </c>
      <c r="V41" s="34"/>
      <c r="X41" s="34"/>
    </row>
    <row r="42" customHeight="1" ht="59.0">
      <c r="A42" s="36">
        <v>46035</v>
      </c>
      <c r="B42" s="34" t="s">
        <v>34</v>
      </c>
      <c r="C42" s="34" t="s">
        <v>76</v>
      </c>
      <c r="D42" s="37" t="s">
        <v>330</v>
      </c>
      <c r="E42" s="34" t="s">
        <v>297</v>
      </c>
      <c r="F42" s="38" t="s">
        <v>331</v>
      </c>
      <c r="G42" s="34" t="s">
        <v>332</v>
      </c>
      <c r="H42" s="34"/>
      <c r="I42" s="34"/>
      <c r="J42" s="34"/>
      <c r="K42" s="34" t="s">
        <v>184</v>
      </c>
      <c r="L42" s="34"/>
      <c r="M42" s="34" t="s">
        <v>97</v>
      </c>
      <c r="N42" s="34" t="s">
        <v>71</v>
      </c>
      <c r="O42" s="34" t="s">
        <v>98</v>
      </c>
      <c r="P42" s="34" t="s">
        <v>10</v>
      </c>
      <c r="Q42" s="34">
        <v>1.0</v>
      </c>
      <c r="R42" s="34"/>
      <c r="S42" s="40" t="s">
        <v>134</v>
      </c>
      <c r="T42" s="34"/>
      <c r="U42" s="38" t="s">
        <v>333</v>
      </c>
      <c r="V42" s="34"/>
      <c r="X42" s="34"/>
    </row>
    <row r="43" ht="68.0">
      <c r="A43" s="36">
        <v>46035</v>
      </c>
      <c r="B43" s="34" t="s">
        <v>36</v>
      </c>
      <c r="C43" s="34" t="s">
        <v>108</v>
      </c>
      <c r="D43" s="37" t="s">
        <v>334</v>
      </c>
      <c r="E43" s="34" t="s">
        <v>244</v>
      </c>
      <c r="F43" s="38" t="s">
        <v>335</v>
      </c>
      <c r="G43" s="34" t="s">
        <v>336</v>
      </c>
      <c r="H43" s="34" t="s">
        <v>163</v>
      </c>
      <c r="I43" s="34" t="s">
        <v>337</v>
      </c>
      <c r="J43" s="34"/>
      <c r="K43" s="34" t="s">
        <v>125</v>
      </c>
      <c r="L43" s="38" t="s">
        <v>338</v>
      </c>
      <c r="M43" s="34" t="s">
        <v>97</v>
      </c>
      <c r="N43" s="34" t="s">
        <v>71</v>
      </c>
      <c r="O43" s="34" t="s">
        <v>84</v>
      </c>
      <c r="P43" s="34" t="s">
        <v>9</v>
      </c>
      <c r="Q43" s="34">
        <v>10.0</v>
      </c>
      <c r="R43" s="44">
        <v>47880.0</v>
      </c>
      <c r="S43" s="40" t="s">
        <v>118</v>
      </c>
      <c r="T43" s="34" t="s">
        <v>339</v>
      </c>
      <c r="U43" s="38" t="s">
        <v>340</v>
      </c>
      <c r="V43" s="34" t="s">
        <v>341</v>
      </c>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row>
    <row r="44" ht="41.0">
      <c r="A44" s="36">
        <v>46035</v>
      </c>
      <c r="B44" s="34" t="s">
        <v>34</v>
      </c>
      <c r="C44" s="34" t="s">
        <v>88</v>
      </c>
      <c r="D44" s="37" t="s">
        <v>342</v>
      </c>
      <c r="E44" s="34" t="s">
        <v>244</v>
      </c>
      <c r="F44" s="38" t="s">
        <v>343</v>
      </c>
      <c r="G44" s="34" t="s">
        <v>344</v>
      </c>
      <c r="H44" s="34" t="s">
        <v>163</v>
      </c>
      <c r="I44" s="34" t="s">
        <v>345</v>
      </c>
      <c r="J44" s="34"/>
      <c r="K44" s="34" t="s">
        <v>125</v>
      </c>
      <c r="L44" s="34" t="s">
        <v>155</v>
      </c>
      <c r="M44" s="34" t="s">
        <v>117</v>
      </c>
      <c r="N44" s="34" t="s">
        <v>71</v>
      </c>
      <c r="O44" s="34" t="s">
        <v>84</v>
      </c>
      <c r="P44" s="34" t="s">
        <v>9</v>
      </c>
      <c r="Q44" s="34">
        <v>10.0</v>
      </c>
      <c r="R44" s="44">
        <v>33000.0</v>
      </c>
      <c r="S44" s="40" t="s">
        <v>99</v>
      </c>
      <c r="T44" s="34"/>
      <c r="U44" s="38" t="s">
        <v>346</v>
      </c>
      <c r="V44" s="34"/>
      <c r="X44" s="1"/>
      <c r="Y44" s="34"/>
      <c r="Z44" s="34"/>
      <c r="AA44" s="34"/>
      <c r="AB44" s="34"/>
      <c r="AC44" s="34"/>
      <c r="AD44" s="34"/>
      <c r="AE44" s="34"/>
      <c r="AF44" s="34"/>
      <c r="AG44" s="34"/>
      <c r="AH44" s="34"/>
      <c r="AI44" s="34"/>
      <c r="AJ44" s="34"/>
      <c r="AK44" s="34"/>
      <c r="AL44" s="34"/>
      <c r="AM44" s="34"/>
      <c r="AN44" s="34"/>
      <c r="AO44" s="34"/>
      <c r="AP44" s="34"/>
      <c r="AQ44" s="34"/>
      <c r="AR44" s="34"/>
      <c r="AS44" s="34"/>
      <c r="AT44" s="34"/>
      <c r="AU44" s="34"/>
      <c r="AV44" s="34"/>
      <c r="AW44" s="34"/>
      <c r="AX44" s="34"/>
      <c r="AY44" s="34"/>
    </row>
    <row r="45" ht="41.0">
      <c r="A45" s="36">
        <v>46035</v>
      </c>
      <c r="B45" s="34" t="s">
        <v>36</v>
      </c>
      <c r="C45" s="34" t="s">
        <v>108</v>
      </c>
      <c r="D45" s="37" t="s">
        <v>347</v>
      </c>
      <c r="E45" s="34" t="s">
        <v>348</v>
      </c>
      <c r="F45" s="38" t="s">
        <v>349</v>
      </c>
      <c r="G45" s="34" t="s">
        <v>350</v>
      </c>
      <c r="H45" s="34" t="s">
        <v>163</v>
      </c>
      <c r="I45" s="34" t="s">
        <v>351</v>
      </c>
      <c r="J45" s="34"/>
      <c r="K45" s="34" t="s">
        <v>115</v>
      </c>
      <c r="L45" s="34" t="s">
        <v>155</v>
      </c>
      <c r="M45" s="34" t="s">
        <v>97</v>
      </c>
      <c r="N45" s="34" t="s">
        <v>71</v>
      </c>
      <c r="O45" s="34" t="s">
        <v>84</v>
      </c>
      <c r="P45" s="34" t="s">
        <v>9</v>
      </c>
      <c r="Q45" s="34">
        <v>3.0</v>
      </c>
      <c r="R45" s="34"/>
      <c r="S45" s="40" t="s">
        <v>134</v>
      </c>
      <c r="T45" s="34"/>
      <c r="U45" s="38" t="s">
        <v>352</v>
      </c>
      <c r="V45" s="34"/>
      <c r="X45" s="34"/>
      <c r="Y45" s="34"/>
      <c r="Z45" s="34"/>
      <c r="AA45" s="34"/>
      <c r="AB45" s="34"/>
      <c r="AC45" s="34"/>
      <c r="AD45" s="34"/>
      <c r="AE45" s="34"/>
      <c r="AF45" s="34"/>
      <c r="AG45" s="34"/>
      <c r="AH45" s="34"/>
      <c r="AI45" s="34"/>
      <c r="AJ45" s="34"/>
      <c r="AK45" s="34"/>
      <c r="AL45" s="34"/>
      <c r="AM45" s="34"/>
      <c r="AN45" s="34"/>
      <c r="AO45" s="34"/>
      <c r="AP45" s="34"/>
      <c r="AQ45" s="34"/>
      <c r="AR45" s="34"/>
      <c r="AS45" s="34"/>
      <c r="AT45" s="34"/>
      <c r="AU45" s="34"/>
      <c r="AV45" s="34"/>
      <c r="AW45" s="34"/>
      <c r="AX45" s="34"/>
    </row>
    <row r="46" ht="55.0">
      <c r="A46" s="36">
        <v>46035</v>
      </c>
      <c r="B46" s="34" t="s">
        <v>36</v>
      </c>
      <c r="C46" s="34" t="s">
        <v>108</v>
      </c>
      <c r="D46" s="37" t="s">
        <v>353</v>
      </c>
      <c r="E46" s="34" t="s">
        <v>354</v>
      </c>
      <c r="F46" s="38" t="s">
        <v>355</v>
      </c>
      <c r="G46" s="34" t="s">
        <v>356</v>
      </c>
      <c r="H46" s="34" t="s">
        <v>357</v>
      </c>
      <c r="I46" s="34" t="s">
        <v>163</v>
      </c>
      <c r="J46" s="34"/>
      <c r="K46" s="34" t="s">
        <v>184</v>
      </c>
      <c r="L46" s="38" t="s">
        <v>358</v>
      </c>
      <c r="M46" s="34" t="s">
        <v>97</v>
      </c>
      <c r="N46" s="34" t="s">
        <v>71</v>
      </c>
      <c r="O46" s="34" t="s">
        <v>84</v>
      </c>
      <c r="P46" s="34" t="s">
        <v>9</v>
      </c>
      <c r="Q46" s="34">
        <v>6.0</v>
      </c>
      <c r="R46" s="34"/>
      <c r="S46" s="40" t="s">
        <v>134</v>
      </c>
      <c r="T46" s="34"/>
      <c r="U46" s="38" t="s">
        <v>359</v>
      </c>
      <c r="V46" s="34"/>
      <c r="W46" s="34" t="s">
        <v>360</v>
      </c>
      <c r="X46" s="34"/>
    </row>
    <row r="47" ht="41.0">
      <c r="A47" s="36">
        <v>46036</v>
      </c>
      <c r="B47" s="34" t="s">
        <v>36</v>
      </c>
      <c r="C47" s="34" t="s">
        <v>88</v>
      </c>
      <c r="D47" s="37" t="s">
        <v>361</v>
      </c>
      <c r="E47" s="34" t="s">
        <v>130</v>
      </c>
      <c r="F47" s="38" t="s">
        <v>362</v>
      </c>
      <c r="G47" s="34" t="s">
        <v>363</v>
      </c>
      <c r="H47" s="34"/>
      <c r="I47" s="34" t="s">
        <v>266</v>
      </c>
      <c r="J47" s="34"/>
      <c r="K47" s="34" t="s">
        <v>125</v>
      </c>
      <c r="L47" s="34" t="s">
        <v>155</v>
      </c>
      <c r="M47" s="34" t="s">
        <v>97</v>
      </c>
      <c r="N47" s="34" t="s">
        <v>71</v>
      </c>
      <c r="O47" s="34" t="s">
        <v>84</v>
      </c>
      <c r="P47" s="34" t="s">
        <v>9</v>
      </c>
      <c r="Q47" s="34">
        <v>3.0</v>
      </c>
      <c r="R47" s="39">
        <v>86.41</v>
      </c>
      <c r="S47" s="40" t="s">
        <v>134</v>
      </c>
      <c r="T47" s="34"/>
      <c r="U47" s="38" t="s">
        <v>364</v>
      </c>
      <c r="V47" s="34"/>
      <c r="X47" s="1"/>
      <c r="Y47" s="34"/>
      <c r="Z47" s="34"/>
      <c r="AA47" s="34"/>
      <c r="AB47" s="34"/>
      <c r="AC47" s="34"/>
      <c r="AD47" s="34"/>
      <c r="AE47" s="34"/>
      <c r="AF47" s="34"/>
      <c r="AG47" s="34"/>
      <c r="AH47" s="34"/>
      <c r="AI47" s="34"/>
      <c r="AJ47" s="34"/>
      <c r="AK47" s="34"/>
      <c r="AL47" s="34"/>
      <c r="AM47" s="34"/>
      <c r="AN47" s="34"/>
      <c r="AO47" s="34"/>
      <c r="AP47" s="34"/>
      <c r="AQ47" s="34"/>
      <c r="AR47" s="34"/>
      <c r="AS47" s="34"/>
      <c r="AT47" s="34"/>
      <c r="AU47" s="34"/>
      <c r="AV47" s="34"/>
      <c r="AW47" s="34"/>
      <c r="AX47" s="34"/>
      <c r="AY47" s="34"/>
    </row>
    <row r="48" ht="27.0">
      <c r="A48" s="45">
        <v>46037</v>
      </c>
      <c r="B48" s="34" t="s">
        <v>34</v>
      </c>
      <c r="C48" s="34" t="s">
        <v>76</v>
      </c>
      <c r="D48" s="37" t="s">
        <v>365</v>
      </c>
      <c r="E48" s="34" t="s">
        <v>130</v>
      </c>
      <c r="F48" s="38" t="s">
        <v>366</v>
      </c>
      <c r="G48" s="34" t="s">
        <v>367</v>
      </c>
      <c r="H48" s="34"/>
      <c r="I48" s="34"/>
      <c r="J48" s="34"/>
      <c r="K48" s="34" t="s">
        <v>115</v>
      </c>
      <c r="L48" s="34"/>
      <c r="M48" s="34" t="s">
        <v>97</v>
      </c>
      <c r="N48" s="34" t="s">
        <v>71</v>
      </c>
      <c r="O48" s="34" t="s">
        <v>84</v>
      </c>
      <c r="P48" s="34" t="s">
        <v>9</v>
      </c>
      <c r="Q48" s="34">
        <v>15.0</v>
      </c>
      <c r="R48" s="34"/>
      <c r="S48" s="40" t="s">
        <v>134</v>
      </c>
      <c r="T48" s="34"/>
      <c r="U48" s="38" t="s">
        <v>368</v>
      </c>
      <c r="V48" s="34"/>
      <c r="X48" s="34"/>
      <c r="Y48" s="34"/>
      <c r="Z48" s="34"/>
      <c r="AA48" s="34"/>
      <c r="AB48" s="34"/>
      <c r="AC48" s="34"/>
      <c r="AD48" s="34"/>
      <c r="AE48" s="34"/>
      <c r="AF48" s="34"/>
      <c r="AG48" s="34"/>
      <c r="AH48" s="34"/>
      <c r="AI48" s="34"/>
      <c r="AJ48" s="34"/>
      <c r="AK48" s="34"/>
      <c r="AL48" s="34"/>
      <c r="AM48" s="34"/>
      <c r="AN48" s="34"/>
      <c r="AO48" s="34"/>
      <c r="AP48" s="34"/>
      <c r="AQ48" s="34"/>
      <c r="AR48" s="34"/>
      <c r="AS48" s="34"/>
      <c r="AT48" s="34"/>
      <c r="AU48" s="34"/>
      <c r="AV48" s="34"/>
      <c r="AW48" s="34"/>
      <c r="AX48" s="34"/>
    </row>
    <row r="49" ht="41.0">
      <c r="A49" s="45">
        <v>46037</v>
      </c>
      <c r="B49" s="34" t="s">
        <v>34</v>
      </c>
      <c r="C49" s="34" t="s">
        <v>88</v>
      </c>
      <c r="D49" s="46" t="s">
        <v>369</v>
      </c>
      <c r="E49" s="47" t="s">
        <v>370</v>
      </c>
      <c r="F49" s="46" t="s">
        <v>371</v>
      </c>
      <c r="G49" s="47" t="s">
        <v>372</v>
      </c>
      <c r="H49" s="47" t="s">
        <v>163</v>
      </c>
      <c r="I49" s="47" t="s">
        <v>373</v>
      </c>
      <c r="J49" s="47"/>
      <c r="K49" s="34" t="s">
        <v>125</v>
      </c>
      <c r="L49" s="34" t="s">
        <v>155</v>
      </c>
      <c r="M49" s="34" t="s">
        <v>97</v>
      </c>
      <c r="N49" s="34" t="s">
        <v>71</v>
      </c>
      <c r="O49" s="34" t="s">
        <v>84</v>
      </c>
      <c r="P49" s="34" t="s">
        <v>9</v>
      </c>
      <c r="Q49" s="47">
        <v>8.0</v>
      </c>
      <c r="R49" s="48">
        <v>13440.0</v>
      </c>
      <c r="S49" s="40" t="s">
        <v>134</v>
      </c>
      <c r="T49" s="46" t="s">
        <v>374</v>
      </c>
      <c r="U49" s="47" t="s">
        <v>375</v>
      </c>
      <c r="V49" s="47"/>
      <c r="X49" s="1"/>
    </row>
    <row r="50" ht="27.0">
      <c r="A50" s="36">
        <v>46038</v>
      </c>
      <c r="B50" s="34" t="s">
        <v>34</v>
      </c>
      <c r="C50" s="34" t="s">
        <v>76</v>
      </c>
      <c r="D50" s="46" t="s">
        <v>376</v>
      </c>
      <c r="E50" s="47" t="s">
        <v>377</v>
      </c>
      <c r="F50" s="46" t="s">
        <v>378</v>
      </c>
      <c r="G50" s="47" t="s">
        <v>379</v>
      </c>
      <c r="H50" s="47"/>
      <c r="I50" s="47"/>
      <c r="J50" s="47"/>
      <c r="K50" s="34" t="s">
        <v>184</v>
      </c>
      <c r="L50" s="34"/>
      <c r="M50" s="34" t="s">
        <v>97</v>
      </c>
      <c r="N50" s="34" t="s">
        <v>71</v>
      </c>
      <c r="O50" s="34" t="s">
        <v>84</v>
      </c>
      <c r="P50" s="34" t="s">
        <v>9</v>
      </c>
      <c r="Q50" s="47">
        <v>5.0</v>
      </c>
      <c r="R50" s="47"/>
      <c r="S50" s="40" t="s">
        <v>134</v>
      </c>
      <c r="T50" s="49"/>
      <c r="U50" s="49" t="s">
        <v>380</v>
      </c>
      <c r="V50" s="47"/>
      <c r="X50" s="34"/>
    </row>
    <row r="51" ht="27.0">
      <c r="A51" s="36">
        <v>46038</v>
      </c>
      <c r="B51" s="34" t="s">
        <v>34</v>
      </c>
      <c r="C51" s="34" t="s">
        <v>63</v>
      </c>
      <c r="D51" s="37" t="s">
        <v>381</v>
      </c>
      <c r="E51" s="34" t="s">
        <v>382</v>
      </c>
      <c r="F51" s="38" t="s">
        <v>383</v>
      </c>
      <c r="G51" s="34" t="s">
        <v>384</v>
      </c>
      <c r="H51" s="34"/>
      <c r="I51" s="34" t="s">
        <v>68</v>
      </c>
      <c r="J51" s="34"/>
      <c r="K51" s="34" t="s">
        <v>115</v>
      </c>
      <c r="L51" s="34"/>
      <c r="M51" s="34" t="s">
        <v>70</v>
      </c>
      <c r="N51" s="34" t="s">
        <v>71</v>
      </c>
      <c r="O51" s="34" t="s">
        <v>98</v>
      </c>
      <c r="P51" s="34" t="s">
        <v>10</v>
      </c>
      <c r="Q51" s="34"/>
      <c r="R51" s="34"/>
      <c r="S51" s="40" t="s">
        <v>294</v>
      </c>
      <c r="T51" s="34"/>
      <c r="U51" s="38" t="s">
        <v>385</v>
      </c>
      <c r="V51" s="34"/>
      <c r="X51" s="34"/>
    </row>
    <row r="52" customHeight="1" ht="37.0">
      <c r="A52" s="36">
        <v>46038</v>
      </c>
      <c r="B52" s="34" t="s">
        <v>34</v>
      </c>
      <c r="C52" s="34" t="s">
        <v>63</v>
      </c>
      <c r="D52" s="37" t="s">
        <v>386</v>
      </c>
      <c r="E52" s="34" t="s">
        <v>387</v>
      </c>
      <c r="F52" s="38" t="s">
        <v>388</v>
      </c>
      <c r="G52" s="34" t="s">
        <v>389</v>
      </c>
      <c r="H52" s="34" t="s">
        <v>390</v>
      </c>
      <c r="I52" s="34"/>
      <c r="J52" s="34"/>
      <c r="K52" s="34" t="s">
        <v>115</v>
      </c>
      <c r="L52" s="34"/>
      <c r="M52" s="34" t="s">
        <v>83</v>
      </c>
      <c r="N52" s="34" t="s">
        <v>71</v>
      </c>
      <c r="O52" s="34" t="s">
        <v>207</v>
      </c>
      <c r="P52" s="34" t="s">
        <v>10</v>
      </c>
      <c r="Q52" s="34">
        <v>35.0</v>
      </c>
      <c r="R52" s="34"/>
      <c r="S52" s="40" t="s">
        <v>134</v>
      </c>
      <c r="T52" s="34"/>
      <c r="U52" s="38" t="s">
        <v>391</v>
      </c>
      <c r="V52" s="34"/>
      <c r="X52" s="34"/>
    </row>
    <row r="53" ht="76.0">
      <c r="A53" s="36">
        <v>46041</v>
      </c>
      <c r="B53" s="34" t="s">
        <v>38</v>
      </c>
      <c r="C53" s="34" t="s">
        <v>76</v>
      </c>
      <c r="D53" s="37" t="s">
        <v>392</v>
      </c>
      <c r="E53" s="34" t="s">
        <v>65</v>
      </c>
      <c r="F53" s="38" t="s">
        <v>393</v>
      </c>
      <c r="G53" s="50" t="s">
        <v>394</v>
      </c>
      <c r="H53" s="34"/>
      <c r="I53" s="34"/>
      <c r="J53" s="34"/>
      <c r="K53" s="34" t="s">
        <v>69</v>
      </c>
      <c r="L53" s="34"/>
      <c r="M53" s="34" t="s">
        <v>97</v>
      </c>
      <c r="N53" s="34" t="s">
        <v>71</v>
      </c>
      <c r="O53" s="34" t="s">
        <v>98</v>
      </c>
      <c r="P53" s="34" t="s">
        <v>395</v>
      </c>
      <c r="Q53" s="34"/>
      <c r="R53" s="34"/>
      <c r="S53" s="40" t="s">
        <v>85</v>
      </c>
      <c r="T53" s="34"/>
      <c r="U53" s="34"/>
      <c r="V53" s="34"/>
      <c r="X53" s="34"/>
    </row>
    <row r="54" ht="27.0">
      <c r="A54" s="36">
        <v>46041</v>
      </c>
      <c r="B54" s="34" t="s">
        <v>34</v>
      </c>
      <c r="C54" s="34" t="s">
        <v>76</v>
      </c>
      <c r="D54" s="51" t="s">
        <v>396</v>
      </c>
      <c r="E54" s="34" t="s">
        <v>78</v>
      </c>
      <c r="F54" s="38" t="s">
        <v>397</v>
      </c>
      <c r="G54" s="50" t="s">
        <v>398</v>
      </c>
      <c r="H54" s="34"/>
      <c r="I54" s="34"/>
      <c r="J54" s="34"/>
      <c r="K54" s="34" t="s">
        <v>69</v>
      </c>
      <c r="L54" s="34"/>
      <c r="M54" s="34" t="s">
        <v>97</v>
      </c>
      <c r="N54" s="34" t="s">
        <v>71</v>
      </c>
      <c r="O54" s="34" t="s">
        <v>98</v>
      </c>
      <c r="P54" s="34" t="s">
        <v>158</v>
      </c>
      <c r="Q54" s="34"/>
      <c r="R54" s="34"/>
      <c r="S54" s="40" t="s">
        <v>85</v>
      </c>
      <c r="T54" s="34"/>
      <c r="U54" s="34"/>
      <c r="V54" s="34"/>
      <c r="X54" s="34"/>
    </row>
    <row r="55" ht="60.0">
      <c r="A55" s="36">
        <v>46041</v>
      </c>
      <c r="B55" s="34" t="s">
        <v>34</v>
      </c>
      <c r="C55" s="34" t="s">
        <v>108</v>
      </c>
      <c r="D55" s="51" t="s">
        <v>399</v>
      </c>
      <c r="E55" s="34" t="s">
        <v>400</v>
      </c>
      <c r="F55" s="38" t="s">
        <v>401</v>
      </c>
      <c r="G55" s="50" t="s">
        <v>402</v>
      </c>
      <c r="H55" s="34" t="s">
        <v>163</v>
      </c>
      <c r="I55" s="34" t="s">
        <v>266</v>
      </c>
      <c r="J55" s="34"/>
      <c r="K55" s="34" t="s">
        <v>125</v>
      </c>
      <c r="L55" s="34" t="s">
        <v>155</v>
      </c>
      <c r="M55" s="34" t="s">
        <v>83</v>
      </c>
      <c r="N55" s="34" t="s">
        <v>71</v>
      </c>
      <c r="O55" s="34" t="s">
        <v>207</v>
      </c>
      <c r="P55" s="34" t="s">
        <v>10</v>
      </c>
      <c r="Q55" s="43">
        <v>46209</v>
      </c>
      <c r="R55" s="34"/>
      <c r="S55" s="40" t="s">
        <v>134</v>
      </c>
      <c r="T55" s="34"/>
      <c r="U55" s="34" t="s">
        <v>101</v>
      </c>
      <c r="V55" s="34" t="s">
        <v>403</v>
      </c>
      <c r="X55" s="34"/>
    </row>
    <row r="56" ht="27.0">
      <c r="A56" s="36">
        <v>46041</v>
      </c>
      <c r="B56" s="34" t="s">
        <v>34</v>
      </c>
      <c r="C56" s="34" t="s">
        <v>108</v>
      </c>
      <c r="D56" s="51" t="s">
        <v>404</v>
      </c>
      <c r="E56" s="34" t="s">
        <v>405</v>
      </c>
      <c r="F56" s="38" t="s">
        <v>406</v>
      </c>
      <c r="G56" s="50" t="s">
        <v>407</v>
      </c>
      <c r="H56" s="34" t="s">
        <v>163</v>
      </c>
      <c r="I56" s="34"/>
      <c r="J56" s="34"/>
      <c r="K56" s="34" t="s">
        <v>69</v>
      </c>
      <c r="L56" s="34"/>
      <c r="M56" s="34" t="s">
        <v>97</v>
      </c>
      <c r="N56" s="34" t="s">
        <v>71</v>
      </c>
      <c r="O56" s="34" t="s">
        <v>157</v>
      </c>
      <c r="P56" s="34" t="s">
        <v>158</v>
      </c>
      <c r="Q56" s="34">
        <v>7.0</v>
      </c>
      <c r="R56" s="34"/>
      <c r="S56" s="40" t="s">
        <v>118</v>
      </c>
      <c r="T56" s="34"/>
      <c r="U56" s="34"/>
      <c r="V56" s="34"/>
      <c r="X56" s="34"/>
    </row>
    <row r="57" ht="96.0">
      <c r="A57" s="36">
        <v>46041</v>
      </c>
      <c r="B57" s="34" t="s">
        <v>34</v>
      </c>
      <c r="C57" s="34" t="s">
        <v>63</v>
      </c>
      <c r="D57" s="37" t="s">
        <v>408</v>
      </c>
      <c r="E57" s="34" t="s">
        <v>409</v>
      </c>
      <c r="F57" s="38" t="s">
        <v>410</v>
      </c>
      <c r="G57" s="34" t="s">
        <v>411</v>
      </c>
      <c r="H57" s="34"/>
      <c r="I57" s="34" t="s">
        <v>107</v>
      </c>
      <c r="J57" s="34"/>
      <c r="K57" s="34" t="s">
        <v>173</v>
      </c>
      <c r="L57" s="34"/>
      <c r="M57" s="34" t="s">
        <v>117</v>
      </c>
      <c r="N57" s="34" t="s">
        <v>71</v>
      </c>
      <c r="O57" s="34" t="s">
        <v>72</v>
      </c>
      <c r="P57" s="34" t="s">
        <v>10</v>
      </c>
      <c r="Q57" s="34" t="s">
        <v>412</v>
      </c>
      <c r="R57" s="34"/>
      <c r="S57" s="40" t="s">
        <v>73</v>
      </c>
      <c r="T57" s="34"/>
      <c r="U57" s="34" t="s">
        <v>413</v>
      </c>
      <c r="V57" s="34" t="s">
        <v>414</v>
      </c>
      <c r="X57" s="34"/>
    </row>
    <row r="58" ht="41.0">
      <c r="A58" s="36">
        <v>46042</v>
      </c>
      <c r="B58" s="34" t="s">
        <v>37</v>
      </c>
      <c r="C58" s="34" t="s">
        <v>88</v>
      </c>
      <c r="D58" s="37" t="s">
        <v>415</v>
      </c>
      <c r="E58" s="34" t="s">
        <v>416</v>
      </c>
      <c r="F58" s="38" t="s">
        <v>417</v>
      </c>
      <c r="G58" s="34" t="s">
        <v>418</v>
      </c>
      <c r="H58" s="34"/>
      <c r="I58" s="34" t="s">
        <v>68</v>
      </c>
      <c r="J58" s="34" t="s">
        <v>419</v>
      </c>
      <c r="K58" s="34" t="s">
        <v>420</v>
      </c>
      <c r="L58" s="34" t="s">
        <v>155</v>
      </c>
      <c r="M58" s="34" t="s">
        <v>97</v>
      </c>
      <c r="N58" s="34" t="s">
        <v>71</v>
      </c>
      <c r="O58" s="34" t="s">
        <v>133</v>
      </c>
      <c r="P58" s="34" t="s">
        <v>10</v>
      </c>
      <c r="Q58" s="34">
        <v>5.0</v>
      </c>
      <c r="R58" s="34"/>
      <c r="S58" s="40" t="s">
        <v>294</v>
      </c>
      <c r="T58" s="34" t="s">
        <v>421</v>
      </c>
      <c r="U58" s="38" t="s">
        <v>422</v>
      </c>
      <c r="V58" s="34"/>
      <c r="X58" s="1"/>
    </row>
    <row r="59" ht="27.0">
      <c r="A59" s="36">
        <v>46042</v>
      </c>
      <c r="B59" s="34" t="s">
        <v>34</v>
      </c>
      <c r="C59" s="34" t="s">
        <v>108</v>
      </c>
      <c r="D59" s="37" t="s">
        <v>423</v>
      </c>
      <c r="E59" s="34" t="s">
        <v>424</v>
      </c>
      <c r="F59" s="38" t="s">
        <v>425</v>
      </c>
      <c r="G59" s="34" t="s">
        <v>307</v>
      </c>
      <c r="H59" s="34"/>
      <c r="I59" s="34"/>
      <c r="J59" s="34"/>
      <c r="K59" s="34" t="s">
        <v>69</v>
      </c>
      <c r="L59" s="34" t="s">
        <v>155</v>
      </c>
      <c r="M59" s="34" t="s">
        <v>117</v>
      </c>
      <c r="N59" s="34" t="s">
        <v>71</v>
      </c>
      <c r="O59" s="34" t="s">
        <v>157</v>
      </c>
      <c r="P59" s="34" t="s">
        <v>158</v>
      </c>
      <c r="Q59" s="34">
        <v>33.0</v>
      </c>
      <c r="R59" s="34"/>
      <c r="S59" s="40" t="s">
        <v>118</v>
      </c>
      <c r="T59" s="34"/>
      <c r="U59" s="34"/>
      <c r="V59" s="34"/>
      <c r="X59" s="34"/>
    </row>
    <row r="60" ht="55.0">
      <c r="A60" s="36">
        <v>46042</v>
      </c>
      <c r="B60" s="34" t="s">
        <v>35</v>
      </c>
      <c r="C60" s="34" t="s">
        <v>88</v>
      </c>
      <c r="D60" s="37" t="s">
        <v>426</v>
      </c>
      <c r="E60" s="34" t="s">
        <v>110</v>
      </c>
      <c r="F60" s="38" t="s">
        <v>427</v>
      </c>
      <c r="G60" s="34" t="s">
        <v>428</v>
      </c>
      <c r="H60" s="34"/>
      <c r="I60" s="34"/>
      <c r="J60" s="34"/>
      <c r="K60" s="34" t="s">
        <v>173</v>
      </c>
      <c r="L60" s="38" t="s">
        <v>429</v>
      </c>
      <c r="M60" s="34" t="s">
        <v>97</v>
      </c>
      <c r="N60" s="34" t="s">
        <v>71</v>
      </c>
      <c r="O60" s="34" t="s">
        <v>98</v>
      </c>
      <c r="P60" s="34" t="s">
        <v>10</v>
      </c>
      <c r="Q60" s="43">
        <v>46298</v>
      </c>
      <c r="R60" s="34"/>
      <c r="S60" s="40" t="s">
        <v>127</v>
      </c>
      <c r="T60" s="34" t="s">
        <v>430</v>
      </c>
      <c r="U60" s="38" t="s">
        <v>431</v>
      </c>
      <c r="V60" s="34"/>
      <c r="X60" s="1"/>
    </row>
    <row r="61" ht="41.0">
      <c r="A61" s="36">
        <v>46043</v>
      </c>
      <c r="B61" s="34" t="s">
        <v>34</v>
      </c>
      <c r="C61" s="34" t="s">
        <v>76</v>
      </c>
      <c r="D61" s="37" t="s">
        <v>432</v>
      </c>
      <c r="E61" s="34" t="s">
        <v>433</v>
      </c>
      <c r="F61" s="38" t="s">
        <v>434</v>
      </c>
      <c r="G61" s="34" t="s">
        <v>435</v>
      </c>
      <c r="H61" s="34"/>
      <c r="I61" s="34"/>
      <c r="J61" s="34"/>
      <c r="K61" s="34" t="s">
        <v>267</v>
      </c>
      <c r="L61" s="34"/>
      <c r="M61" s="34" t="s">
        <v>97</v>
      </c>
      <c r="N61" s="34" t="s">
        <v>71</v>
      </c>
      <c r="O61" s="34" t="s">
        <v>98</v>
      </c>
      <c r="P61" s="34" t="s">
        <v>10</v>
      </c>
      <c r="Q61" s="34">
        <v>20.0</v>
      </c>
      <c r="R61" s="34"/>
      <c r="S61" s="40" t="s">
        <v>99</v>
      </c>
      <c r="T61" s="34"/>
      <c r="U61" s="38" t="s">
        <v>436</v>
      </c>
      <c r="V61" s="34"/>
      <c r="X61" s="34"/>
    </row>
    <row r="62" ht="55.0">
      <c r="A62" s="36">
        <v>46043</v>
      </c>
      <c r="B62" s="34" t="s">
        <v>35</v>
      </c>
      <c r="C62" s="34" t="s">
        <v>88</v>
      </c>
      <c r="D62" s="37" t="s">
        <v>437</v>
      </c>
      <c r="E62" s="34" t="s">
        <v>438</v>
      </c>
      <c r="F62" s="38" t="s">
        <v>439</v>
      </c>
      <c r="G62" s="34" t="s">
        <v>440</v>
      </c>
      <c r="H62" s="34"/>
      <c r="I62" s="34" t="s">
        <v>68</v>
      </c>
      <c r="J62" s="34"/>
      <c r="K62" s="34" t="s">
        <v>420</v>
      </c>
      <c r="L62" s="38" t="s">
        <v>441</v>
      </c>
      <c r="M62" s="34" t="s">
        <v>97</v>
      </c>
      <c r="N62" s="34" t="s">
        <v>71</v>
      </c>
      <c r="O62" s="34" t="s">
        <v>98</v>
      </c>
      <c r="P62" s="34" t="s">
        <v>10</v>
      </c>
      <c r="Q62" s="34">
        <v>10.0</v>
      </c>
      <c r="R62" s="34"/>
      <c r="S62" s="40" t="s">
        <v>294</v>
      </c>
      <c r="T62" s="34"/>
      <c r="U62" s="38" t="s">
        <v>442</v>
      </c>
      <c r="V62" s="34"/>
      <c r="X62" s="1"/>
    </row>
    <row r="63" ht="41.0">
      <c r="A63" s="36">
        <v>46043</v>
      </c>
      <c r="B63" s="34" t="s">
        <v>34</v>
      </c>
      <c r="C63" s="34" t="s">
        <v>108</v>
      </c>
      <c r="D63" s="37" t="s">
        <v>443</v>
      </c>
      <c r="E63" s="34" t="s">
        <v>444</v>
      </c>
      <c r="F63" s="38" t="s">
        <v>445</v>
      </c>
      <c r="G63" s="34" t="s">
        <v>446</v>
      </c>
      <c r="H63" s="34" t="s">
        <v>163</v>
      </c>
      <c r="I63" s="34" t="s">
        <v>277</v>
      </c>
      <c r="J63" s="34" t="s">
        <v>206</v>
      </c>
      <c r="K63" s="34" t="s">
        <v>125</v>
      </c>
      <c r="L63" s="34" t="s">
        <v>155</v>
      </c>
      <c r="M63" s="34" t="s">
        <v>97</v>
      </c>
      <c r="N63" s="34" t="s">
        <v>71</v>
      </c>
      <c r="O63" s="34" t="s">
        <v>98</v>
      </c>
      <c r="P63" s="34" t="s">
        <v>10</v>
      </c>
      <c r="Q63" s="34">
        <v>10.0</v>
      </c>
      <c r="R63" s="34"/>
      <c r="S63" s="40" t="s">
        <v>99</v>
      </c>
      <c r="T63" s="34"/>
      <c r="U63" s="34"/>
      <c r="V63" s="34"/>
      <c r="X63" s="34"/>
    </row>
    <row r="64" ht="55.0">
      <c r="A64" s="36">
        <v>46043</v>
      </c>
      <c r="B64" s="34" t="s">
        <v>38</v>
      </c>
      <c r="C64" s="34" t="s">
        <v>108</v>
      </c>
      <c r="D64" s="37" t="s">
        <v>447</v>
      </c>
      <c r="E64" s="34" t="s">
        <v>377</v>
      </c>
      <c r="F64" s="38" t="s">
        <v>448</v>
      </c>
      <c r="G64" s="34" t="s">
        <v>449</v>
      </c>
      <c r="H64" s="34" t="s">
        <v>163</v>
      </c>
      <c r="I64" s="34" t="s">
        <v>266</v>
      </c>
      <c r="J64" s="34"/>
      <c r="K64" s="34" t="s">
        <v>95</v>
      </c>
      <c r="L64" s="38" t="s">
        <v>450</v>
      </c>
      <c r="M64" s="34" t="s">
        <v>117</v>
      </c>
      <c r="N64" s="34" t="s">
        <v>71</v>
      </c>
      <c r="O64" s="34" t="s">
        <v>98</v>
      </c>
      <c r="P64" s="34" t="s">
        <v>10</v>
      </c>
      <c r="Q64" s="34"/>
      <c r="R64" s="34"/>
      <c r="S64" s="40" t="s">
        <v>127</v>
      </c>
      <c r="T64" s="34"/>
      <c r="U64" s="34"/>
      <c r="V64" s="34" t="s">
        <v>451</v>
      </c>
    </row>
    <row r="65" ht="27.0">
      <c r="A65" s="36">
        <v>46043</v>
      </c>
      <c r="B65" s="34" t="s">
        <v>34</v>
      </c>
      <c r="C65" s="34" t="s">
        <v>108</v>
      </c>
      <c r="D65" s="37" t="s">
        <v>452</v>
      </c>
      <c r="E65" s="34" t="s">
        <v>453</v>
      </c>
      <c r="F65" s="38" t="s">
        <v>454</v>
      </c>
      <c r="G65" s="34" t="s">
        <v>455</v>
      </c>
      <c r="H65" s="34" t="s">
        <v>163</v>
      </c>
      <c r="I65" s="34"/>
      <c r="J65" s="34"/>
      <c r="K65" s="34" t="s">
        <v>69</v>
      </c>
      <c r="L65" s="34" t="s">
        <v>155</v>
      </c>
      <c r="M65" s="34" t="s">
        <v>97</v>
      </c>
      <c r="N65" s="34" t="s">
        <v>156</v>
      </c>
      <c r="O65" s="34" t="s">
        <v>157</v>
      </c>
      <c r="P65" s="34" t="s">
        <v>158</v>
      </c>
      <c r="Q65" s="34">
        <v>20.0</v>
      </c>
      <c r="R65" s="34"/>
      <c r="S65" s="40" t="s">
        <v>118</v>
      </c>
      <c r="T65" s="34"/>
      <c r="U65" s="34" t="s">
        <v>456</v>
      </c>
      <c r="V65" s="34"/>
      <c r="X65" s="34"/>
      <c r="Y65" s="34"/>
      <c r="Z65" s="34"/>
      <c r="AA65" s="34"/>
      <c r="AB65" s="34"/>
      <c r="AC65" s="34"/>
      <c r="AD65" s="34"/>
      <c r="AE65" s="34"/>
      <c r="AF65" s="34"/>
      <c r="AG65" s="34"/>
      <c r="AH65" s="34"/>
      <c r="AI65" s="34"/>
      <c r="AJ65" s="34"/>
      <c r="AK65" s="34"/>
      <c r="AL65" s="34"/>
      <c r="AM65" s="34"/>
      <c r="AN65" s="34"/>
      <c r="AO65" s="34"/>
      <c r="AP65" s="34"/>
      <c r="AQ65" s="34"/>
      <c r="AR65" s="34"/>
      <c r="AS65" s="34"/>
      <c r="AT65" s="34"/>
      <c r="AU65" s="34"/>
      <c r="AV65" s="34"/>
      <c r="AW65" s="34"/>
      <c r="AX65" s="34"/>
    </row>
    <row r="66" ht="41.0">
      <c r="A66" s="36">
        <v>46043</v>
      </c>
      <c r="B66" s="34" t="s">
        <v>34</v>
      </c>
      <c r="C66" s="34" t="s">
        <v>88</v>
      </c>
      <c r="D66" s="37" t="s">
        <v>457</v>
      </c>
      <c r="E66" s="34" t="s">
        <v>458</v>
      </c>
      <c r="F66" s="38" t="s">
        <v>459</v>
      </c>
      <c r="G66" s="34" t="s">
        <v>460</v>
      </c>
      <c r="H66" s="34" t="s">
        <v>163</v>
      </c>
      <c r="I66" s="34" t="s">
        <v>266</v>
      </c>
      <c r="J66" s="34"/>
      <c r="K66" s="34" t="s">
        <v>125</v>
      </c>
      <c r="L66" s="38" t="s">
        <v>461</v>
      </c>
      <c r="M66" s="34" t="s">
        <v>97</v>
      </c>
      <c r="N66" s="34" t="s">
        <v>71</v>
      </c>
      <c r="O66" s="34" t="s">
        <v>133</v>
      </c>
      <c r="P66" s="34" t="s">
        <v>10</v>
      </c>
      <c r="Q66" s="34">
        <v>1.0</v>
      </c>
      <c r="R66" s="34"/>
      <c r="S66" s="40" t="s">
        <v>99</v>
      </c>
      <c r="T66" s="34"/>
      <c r="U66" s="38" t="s">
        <v>462</v>
      </c>
      <c r="V66" s="34"/>
      <c r="X66" s="1"/>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c r="AW66" s="34"/>
      <c r="AX66" s="34"/>
      <c r="AY66" s="34"/>
    </row>
    <row r="67" ht="96.0">
      <c r="A67" s="36">
        <v>46043</v>
      </c>
      <c r="B67" s="34" t="s">
        <v>34</v>
      </c>
      <c r="C67" s="34" t="s">
        <v>63</v>
      </c>
      <c r="D67" s="37" t="s">
        <v>463</v>
      </c>
      <c r="E67" s="34" t="s">
        <v>464</v>
      </c>
      <c r="F67" s="38" t="s">
        <v>465</v>
      </c>
      <c r="G67" s="34" t="s">
        <v>466</v>
      </c>
      <c r="H67" s="34" t="s">
        <v>467</v>
      </c>
      <c r="I67" s="34" t="s">
        <v>107</v>
      </c>
      <c r="J67" s="34"/>
      <c r="K67" s="34" t="s">
        <v>95</v>
      </c>
      <c r="L67" s="34"/>
      <c r="M67" s="34" t="s">
        <v>117</v>
      </c>
      <c r="N67" s="34" t="s">
        <v>71</v>
      </c>
      <c r="O67" s="34" t="s">
        <v>207</v>
      </c>
      <c r="P67" s="34" t="s">
        <v>10</v>
      </c>
      <c r="Q67" s="34">
        <v>800.0</v>
      </c>
      <c r="R67" s="34"/>
      <c r="S67" s="40" t="s">
        <v>468</v>
      </c>
      <c r="T67" s="34"/>
      <c r="U67" s="34" t="s">
        <v>469</v>
      </c>
      <c r="V67" s="34" t="s">
        <v>470</v>
      </c>
      <c r="X67" s="34"/>
      <c r="Y67" s="34"/>
      <c r="Z67" s="34"/>
      <c r="AA67" s="34"/>
      <c r="AB67" s="34"/>
      <c r="AC67" s="34"/>
      <c r="AD67" s="34"/>
      <c r="AE67" s="34"/>
      <c r="AF67" s="34"/>
      <c r="AG67" s="34"/>
      <c r="AH67" s="34"/>
      <c r="AI67" s="34"/>
      <c r="AJ67" s="34"/>
      <c r="AK67" s="34"/>
      <c r="AL67" s="34"/>
      <c r="AM67" s="34"/>
      <c r="AN67" s="34"/>
      <c r="AO67" s="34"/>
      <c r="AP67" s="34"/>
      <c r="AQ67" s="34"/>
      <c r="AR67" s="34"/>
      <c r="AS67" s="34"/>
      <c r="AT67" s="34"/>
      <c r="AU67" s="34"/>
      <c r="AV67" s="34"/>
      <c r="AW67" s="34"/>
      <c r="AX67" s="34"/>
    </row>
    <row r="68" ht="27.0">
      <c r="A68" s="36">
        <v>46043</v>
      </c>
      <c r="B68" s="34" t="s">
        <v>34</v>
      </c>
      <c r="C68" s="34" t="s">
        <v>63</v>
      </c>
      <c r="D68" s="37" t="s">
        <v>471</v>
      </c>
      <c r="E68" s="34" t="s">
        <v>224</v>
      </c>
      <c r="F68" s="38" t="s">
        <v>472</v>
      </c>
      <c r="G68" s="34" t="s">
        <v>473</v>
      </c>
      <c r="H68" s="34"/>
      <c r="I68" s="34" t="s">
        <v>107</v>
      </c>
      <c r="J68" s="34"/>
      <c r="K68" s="34" t="s">
        <v>115</v>
      </c>
      <c r="L68" s="34"/>
      <c r="M68" s="34" t="s">
        <v>474</v>
      </c>
      <c r="N68" s="34" t="s">
        <v>309</v>
      </c>
      <c r="O68" s="34" t="s">
        <v>72</v>
      </c>
      <c r="P68" s="34" t="s">
        <v>9</v>
      </c>
      <c r="Q68" s="34">
        <v>500.0</v>
      </c>
      <c r="R68" s="34"/>
      <c r="S68" s="40" t="s">
        <v>118</v>
      </c>
      <c r="T68" s="34"/>
      <c r="U68" s="34"/>
      <c r="V68" s="34"/>
      <c r="X68" s="34"/>
    </row>
    <row r="69" ht="41.0">
      <c r="A69" s="36">
        <v>46043</v>
      </c>
      <c r="B69" s="34" t="s">
        <v>34</v>
      </c>
      <c r="C69" s="34" t="s">
        <v>88</v>
      </c>
      <c r="D69" s="37" t="s">
        <v>457</v>
      </c>
      <c r="E69" s="34" t="s">
        <v>458</v>
      </c>
      <c r="F69" s="38" t="s">
        <v>459</v>
      </c>
      <c r="G69" s="34" t="s">
        <v>460</v>
      </c>
      <c r="H69" s="34" t="s">
        <v>163</v>
      </c>
      <c r="I69" s="34" t="s">
        <v>266</v>
      </c>
      <c r="J69" s="34"/>
      <c r="K69" s="34" t="s">
        <v>125</v>
      </c>
      <c r="L69" s="38" t="s">
        <v>461</v>
      </c>
      <c r="M69" s="34" t="s">
        <v>97</v>
      </c>
      <c r="N69" s="34" t="s">
        <v>309</v>
      </c>
      <c r="O69" s="34" t="s">
        <v>133</v>
      </c>
      <c r="P69" s="34" t="s">
        <v>10</v>
      </c>
      <c r="Q69" s="34">
        <v>1.0</v>
      </c>
      <c r="R69" s="34"/>
      <c r="S69" s="40" t="s">
        <v>99</v>
      </c>
      <c r="T69" s="34"/>
      <c r="U69" s="38" t="s">
        <v>462</v>
      </c>
      <c r="V69" s="34"/>
      <c r="X69" s="1"/>
    </row>
    <row r="70" ht="41.0">
      <c r="A70" s="36">
        <v>46044</v>
      </c>
      <c r="B70" s="34" t="s">
        <v>38</v>
      </c>
      <c r="C70" s="34" t="s">
        <v>76</v>
      </c>
      <c r="D70" s="37" t="s">
        <v>475</v>
      </c>
      <c r="E70" s="34" t="s">
        <v>476</v>
      </c>
      <c r="F70" s="38" t="s">
        <v>477</v>
      </c>
      <c r="G70" s="34" t="s">
        <v>478</v>
      </c>
      <c r="H70" s="34"/>
      <c r="I70" s="34"/>
      <c r="J70" s="34"/>
      <c r="K70" s="34" t="s">
        <v>184</v>
      </c>
      <c r="L70" s="34"/>
      <c r="M70" s="34" t="s">
        <v>117</v>
      </c>
      <c r="N70" s="34" t="s">
        <v>71</v>
      </c>
      <c r="O70" s="34" t="s">
        <v>207</v>
      </c>
      <c r="P70" s="34" t="s">
        <v>10</v>
      </c>
      <c r="Q70" s="34" t="s">
        <v>479</v>
      </c>
      <c r="R70" s="34"/>
      <c r="S70" s="40" t="s">
        <v>134</v>
      </c>
      <c r="T70" s="34"/>
      <c r="U70" s="38" t="s">
        <v>480</v>
      </c>
      <c r="V70" s="34" t="s">
        <v>481</v>
      </c>
      <c r="X70" s="34"/>
    </row>
    <row r="71" ht="27.0">
      <c r="A71" s="36">
        <v>46044</v>
      </c>
      <c r="B71" s="34" t="s">
        <v>37</v>
      </c>
      <c r="C71" s="34" t="s">
        <v>108</v>
      </c>
      <c r="D71" s="37" t="s">
        <v>482</v>
      </c>
      <c r="E71" s="34" t="s">
        <v>483</v>
      </c>
      <c r="F71" s="38" t="s">
        <v>484</v>
      </c>
      <c r="G71" s="34" t="s">
        <v>485</v>
      </c>
      <c r="H71" s="34"/>
      <c r="I71" s="34"/>
      <c r="J71" s="34"/>
      <c r="K71" s="34" t="s">
        <v>69</v>
      </c>
      <c r="L71" s="34" t="s">
        <v>155</v>
      </c>
      <c r="M71" s="34" t="s">
        <v>474</v>
      </c>
      <c r="N71" s="34" t="s">
        <v>156</v>
      </c>
      <c r="O71" s="34" t="s">
        <v>157</v>
      </c>
      <c r="P71" s="34" t="s">
        <v>158</v>
      </c>
      <c r="Q71" s="34"/>
      <c r="R71" s="34"/>
      <c r="S71" s="40" t="s">
        <v>85</v>
      </c>
      <c r="T71" s="34"/>
      <c r="U71" s="34"/>
      <c r="V71" s="34"/>
      <c r="X71" s="34"/>
    </row>
    <row r="72" ht="41.0">
      <c r="A72" s="36">
        <v>46044</v>
      </c>
      <c r="B72" s="34" t="s">
        <v>35</v>
      </c>
      <c r="C72" s="34" t="s">
        <v>108</v>
      </c>
      <c r="D72" s="37" t="s">
        <v>486</v>
      </c>
      <c r="E72" s="34" t="s">
        <v>487</v>
      </c>
      <c r="F72" s="38" t="s">
        <v>488</v>
      </c>
      <c r="G72" s="34" t="s">
        <v>489</v>
      </c>
      <c r="H72" s="34" t="s">
        <v>163</v>
      </c>
      <c r="I72" s="34" t="s">
        <v>490</v>
      </c>
      <c r="J72" s="34"/>
      <c r="K72" s="34" t="s">
        <v>125</v>
      </c>
      <c r="L72" s="38" t="s">
        <v>491</v>
      </c>
      <c r="M72" s="34" t="s">
        <v>97</v>
      </c>
      <c r="N72" s="34" t="s">
        <v>71</v>
      </c>
      <c r="O72" s="34" t="s">
        <v>84</v>
      </c>
      <c r="P72" s="34" t="s">
        <v>9</v>
      </c>
      <c r="Q72" s="34">
        <v>2.0</v>
      </c>
      <c r="R72" s="39">
        <v>60.0</v>
      </c>
      <c r="S72" s="40" t="s">
        <v>134</v>
      </c>
      <c r="T72" s="34"/>
      <c r="U72" s="38" t="s">
        <v>492</v>
      </c>
      <c r="V72" s="34" t="s">
        <v>493</v>
      </c>
      <c r="X72" s="34"/>
    </row>
    <row r="73" ht="55.0">
      <c r="A73" s="36">
        <v>46044</v>
      </c>
      <c r="B73" s="34" t="s">
        <v>35</v>
      </c>
      <c r="C73" s="34" t="s">
        <v>88</v>
      </c>
      <c r="D73" s="37" t="s">
        <v>494</v>
      </c>
      <c r="E73" s="34" t="s">
        <v>495</v>
      </c>
      <c r="F73" s="38" t="s">
        <v>496</v>
      </c>
      <c r="G73" s="34" t="s">
        <v>497</v>
      </c>
      <c r="H73" s="34" t="s">
        <v>163</v>
      </c>
      <c r="I73" s="34" t="s">
        <v>140</v>
      </c>
      <c r="J73" s="34"/>
      <c r="K73" s="34" t="s">
        <v>95</v>
      </c>
      <c r="L73" s="34" t="s">
        <v>155</v>
      </c>
      <c r="M73" s="34" t="s">
        <v>97</v>
      </c>
      <c r="N73" s="34" t="s">
        <v>71</v>
      </c>
      <c r="O73" s="34" t="s">
        <v>98</v>
      </c>
      <c r="P73" s="34" t="s">
        <v>10</v>
      </c>
      <c r="Q73" s="34">
        <v>50.0</v>
      </c>
      <c r="R73" s="34"/>
      <c r="S73" s="40"/>
      <c r="T73" s="34"/>
      <c r="U73" s="38" t="s">
        <v>498</v>
      </c>
      <c r="V73" s="34"/>
      <c r="X73" s="1"/>
    </row>
    <row r="74" ht="55.0">
      <c r="A74" s="36">
        <v>46044</v>
      </c>
      <c r="B74" s="34" t="s">
        <v>34</v>
      </c>
      <c r="C74" s="34" t="s">
        <v>63</v>
      </c>
      <c r="D74" s="37" t="s">
        <v>499</v>
      </c>
      <c r="E74" s="34" t="s">
        <v>500</v>
      </c>
      <c r="F74" s="38" t="s">
        <v>501</v>
      </c>
      <c r="G74" s="34" t="s">
        <v>502</v>
      </c>
      <c r="H74" s="34"/>
      <c r="I74" s="34" t="s">
        <v>503</v>
      </c>
      <c r="J74" s="34"/>
      <c r="K74" s="34" t="s">
        <v>95</v>
      </c>
      <c r="L74" s="34"/>
      <c r="M74" s="34" t="s">
        <v>117</v>
      </c>
      <c r="N74" s="34" t="s">
        <v>71</v>
      </c>
      <c r="O74" s="34" t="s">
        <v>84</v>
      </c>
      <c r="P74" s="34" t="s">
        <v>9</v>
      </c>
      <c r="Q74" s="34">
        <v>100.0</v>
      </c>
      <c r="R74" s="52">
        <v>194040.0</v>
      </c>
      <c r="S74" s="40" t="s">
        <v>127</v>
      </c>
      <c r="T74" s="34"/>
      <c r="U74" s="34" t="s">
        <v>504</v>
      </c>
      <c r="V74" s="34"/>
      <c r="X74" s="34"/>
    </row>
    <row r="75" ht="27.0">
      <c r="A75" s="36">
        <v>46045</v>
      </c>
      <c r="B75" s="34" t="s">
        <v>34</v>
      </c>
      <c r="C75" s="34" t="s">
        <v>76</v>
      </c>
      <c r="D75" s="37" t="s">
        <v>505</v>
      </c>
      <c r="E75" s="34" t="s">
        <v>506</v>
      </c>
      <c r="F75" s="38" t="s">
        <v>507</v>
      </c>
      <c r="G75" s="34" t="s">
        <v>508</v>
      </c>
      <c r="H75" s="34"/>
      <c r="I75" s="34"/>
      <c r="J75" s="34"/>
      <c r="K75" s="34" t="s">
        <v>69</v>
      </c>
      <c r="L75" s="34"/>
      <c r="M75" s="34" t="s">
        <v>97</v>
      </c>
      <c r="N75" s="34" t="s">
        <v>156</v>
      </c>
      <c r="O75" s="34" t="s">
        <v>157</v>
      </c>
      <c r="P75" s="34" t="s">
        <v>158</v>
      </c>
      <c r="Q75" s="34"/>
      <c r="R75" s="34"/>
      <c r="S75" s="40"/>
      <c r="T75" s="34"/>
      <c r="U75" s="38" t="s">
        <v>509</v>
      </c>
      <c r="V75" s="34"/>
      <c r="X75" s="34"/>
    </row>
    <row r="76" ht="27.0">
      <c r="A76" s="36">
        <v>46045</v>
      </c>
      <c r="B76" s="34" t="s">
        <v>34</v>
      </c>
      <c r="C76" s="34" t="s">
        <v>76</v>
      </c>
      <c r="D76" s="37" t="s">
        <v>510</v>
      </c>
      <c r="E76" s="34" t="s">
        <v>511</v>
      </c>
      <c r="F76" s="38" t="s">
        <v>512</v>
      </c>
      <c r="G76" s="34" t="s">
        <v>513</v>
      </c>
      <c r="H76" s="34"/>
      <c r="I76" s="34"/>
      <c r="J76" s="34"/>
      <c r="K76" s="34" t="s">
        <v>125</v>
      </c>
      <c r="L76" s="34"/>
      <c r="M76" s="34" t="s">
        <v>117</v>
      </c>
      <c r="N76" s="34" t="s">
        <v>71</v>
      </c>
      <c r="O76" s="34" t="s">
        <v>98</v>
      </c>
      <c r="P76" s="34" t="s">
        <v>10</v>
      </c>
      <c r="Q76" s="34" t="s">
        <v>514</v>
      </c>
      <c r="R76" s="34"/>
      <c r="S76" s="40" t="s">
        <v>127</v>
      </c>
      <c r="T76" s="34"/>
      <c r="U76" s="38" t="s">
        <v>515</v>
      </c>
      <c r="V76" s="34"/>
      <c r="X76" s="34"/>
    </row>
    <row r="77" ht="55.0">
      <c r="A77" s="36">
        <v>46045</v>
      </c>
      <c r="B77" s="34" t="s">
        <v>35</v>
      </c>
      <c r="C77" s="34" t="s">
        <v>108</v>
      </c>
      <c r="D77" s="37" t="s">
        <v>516</v>
      </c>
      <c r="E77" s="34" t="s">
        <v>517</v>
      </c>
      <c r="F77" s="38" t="s">
        <v>518</v>
      </c>
      <c r="G77" s="34" t="s">
        <v>519</v>
      </c>
      <c r="H77" s="34"/>
      <c r="I77" s="34" t="s">
        <v>140</v>
      </c>
      <c r="J77" s="34"/>
      <c r="K77" s="34" t="s">
        <v>69</v>
      </c>
      <c r="L77" s="34" t="s">
        <v>155</v>
      </c>
      <c r="M77" s="34" t="s">
        <v>97</v>
      </c>
      <c r="N77" s="34" t="s">
        <v>71</v>
      </c>
      <c r="O77" s="34" t="s">
        <v>98</v>
      </c>
      <c r="P77" s="34" t="s">
        <v>395</v>
      </c>
      <c r="Q77" s="34"/>
      <c r="R77" s="34"/>
      <c r="S77" s="40"/>
      <c r="T77" s="34" t="s">
        <v>520</v>
      </c>
      <c r="U77" s="34" t="s">
        <v>456</v>
      </c>
      <c r="V77" s="34"/>
      <c r="X77" s="34"/>
    </row>
    <row r="78" ht="55.0">
      <c r="A78" s="36">
        <v>46048</v>
      </c>
      <c r="B78" s="34" t="s">
        <v>36</v>
      </c>
      <c r="C78" s="34" t="s">
        <v>108</v>
      </c>
      <c r="D78" s="37" t="s">
        <v>521</v>
      </c>
      <c r="E78" s="34" t="s">
        <v>522</v>
      </c>
      <c r="F78" s="38" t="s">
        <v>523</v>
      </c>
      <c r="G78" s="34" t="s">
        <v>524</v>
      </c>
      <c r="H78" s="34" t="s">
        <v>163</v>
      </c>
      <c r="I78" s="34" t="s">
        <v>525</v>
      </c>
      <c r="J78" s="34"/>
      <c r="K78" s="34" t="s">
        <v>125</v>
      </c>
      <c r="L78" s="38" t="s">
        <v>526</v>
      </c>
      <c r="M78" s="34" t="s">
        <v>117</v>
      </c>
      <c r="N78" s="34" t="s">
        <v>71</v>
      </c>
      <c r="O78" s="34" t="s">
        <v>133</v>
      </c>
      <c r="P78" s="34" t="s">
        <v>10</v>
      </c>
      <c r="Q78" s="34">
        <v>4.0</v>
      </c>
      <c r="R78" s="34"/>
      <c r="S78" s="40" t="s">
        <v>127</v>
      </c>
      <c r="T78" s="34"/>
      <c r="U78" s="38" t="s">
        <v>527</v>
      </c>
      <c r="V78" s="34" t="s">
        <v>528</v>
      </c>
    </row>
    <row r="79" ht="55.0">
      <c r="A79" s="36">
        <v>46048</v>
      </c>
      <c r="B79" s="34" t="s">
        <v>34</v>
      </c>
      <c r="C79" s="34" t="s">
        <v>108</v>
      </c>
      <c r="D79" s="37" t="s">
        <v>529</v>
      </c>
      <c r="E79" s="34" t="s">
        <v>530</v>
      </c>
      <c r="F79" s="38" t="s">
        <v>531</v>
      </c>
      <c r="G79" s="34" t="s">
        <v>532</v>
      </c>
      <c r="H79" s="34" t="s">
        <v>163</v>
      </c>
      <c r="I79" s="34" t="s">
        <v>163</v>
      </c>
      <c r="J79" s="34"/>
      <c r="K79" s="34" t="s">
        <v>69</v>
      </c>
      <c r="L79" s="38" t="s">
        <v>533</v>
      </c>
      <c r="M79" s="34" t="s">
        <v>117</v>
      </c>
      <c r="N79" s="34" t="s">
        <v>534</v>
      </c>
      <c r="O79" s="34" t="s">
        <v>207</v>
      </c>
      <c r="P79" s="34" t="s">
        <v>535</v>
      </c>
      <c r="Q79" s="34"/>
      <c r="R79" s="34"/>
      <c r="S79" s="40"/>
      <c r="T79" s="34" t="s">
        <v>536</v>
      </c>
      <c r="U79" s="38" t="s">
        <v>537</v>
      </c>
      <c r="V79" s="34"/>
      <c r="X79" s="34"/>
      <c r="Y79" s="34"/>
      <c r="Z79" s="34"/>
      <c r="AA79" s="34"/>
      <c r="AB79" s="34"/>
      <c r="AC79" s="34"/>
      <c r="AD79" s="34"/>
      <c r="AE79" s="34"/>
      <c r="AF79" s="34"/>
      <c r="AG79" s="34"/>
      <c r="AH79" s="34"/>
      <c r="AI79" s="34"/>
      <c r="AJ79" s="34"/>
      <c r="AK79" s="34"/>
      <c r="AL79" s="34"/>
      <c r="AM79" s="34"/>
      <c r="AN79" s="34"/>
      <c r="AO79" s="34"/>
      <c r="AP79" s="34"/>
      <c r="AQ79" s="34"/>
      <c r="AR79" s="34"/>
      <c r="AS79" s="34"/>
      <c r="AT79" s="34"/>
      <c r="AU79" s="34"/>
      <c r="AV79" s="34"/>
      <c r="AW79" s="34"/>
      <c r="AX79" s="34"/>
    </row>
    <row r="80" ht="82.0">
      <c r="A80" s="36">
        <v>46049</v>
      </c>
      <c r="B80" s="34" t="s">
        <v>35</v>
      </c>
      <c r="C80" s="34" t="s">
        <v>88</v>
      </c>
      <c r="D80" s="37" t="s">
        <v>538</v>
      </c>
      <c r="E80" s="34" t="s">
        <v>539</v>
      </c>
      <c r="F80" s="38" t="s">
        <v>540</v>
      </c>
      <c r="G80" s="34" t="s">
        <v>541</v>
      </c>
      <c r="H80" s="34" t="s">
        <v>163</v>
      </c>
      <c r="I80" s="34" t="s">
        <v>140</v>
      </c>
      <c r="J80" s="34"/>
      <c r="K80" s="34" t="s">
        <v>267</v>
      </c>
      <c r="L80" s="34" t="s">
        <v>155</v>
      </c>
      <c r="M80" s="34" t="s">
        <v>83</v>
      </c>
      <c r="N80" s="34" t="s">
        <v>71</v>
      </c>
      <c r="O80" s="34" t="s">
        <v>98</v>
      </c>
      <c r="P80" s="34" t="s">
        <v>10</v>
      </c>
      <c r="Q80" s="34" t="s">
        <v>248</v>
      </c>
      <c r="R80" s="34"/>
      <c r="S80" s="40" t="s">
        <v>134</v>
      </c>
      <c r="T80" s="34" t="s">
        <v>542</v>
      </c>
      <c r="U80" s="38" t="s">
        <v>543</v>
      </c>
      <c r="V80" s="34"/>
      <c r="X80" s="1"/>
      <c r="Y80" s="34"/>
      <c r="Z80" s="34"/>
      <c r="AA80" s="34"/>
      <c r="AB80" s="34"/>
      <c r="AC80" s="34"/>
      <c r="AD80" s="34"/>
      <c r="AE80" s="34"/>
      <c r="AF80" s="34"/>
      <c r="AG80" s="34"/>
      <c r="AH80" s="34"/>
      <c r="AI80" s="34"/>
      <c r="AJ80" s="34"/>
      <c r="AK80" s="34"/>
      <c r="AL80" s="34"/>
      <c r="AM80" s="34"/>
      <c r="AN80" s="34"/>
      <c r="AO80" s="34"/>
      <c r="AP80" s="34"/>
      <c r="AQ80" s="34"/>
      <c r="AR80" s="34"/>
      <c r="AS80" s="34"/>
      <c r="AT80" s="34"/>
      <c r="AU80" s="34"/>
      <c r="AV80" s="34"/>
      <c r="AW80" s="34"/>
      <c r="AX80" s="34"/>
      <c r="AY80" s="34"/>
    </row>
    <row r="81" ht="29.0">
      <c r="A81" s="36">
        <v>46049</v>
      </c>
      <c r="B81" s="34" t="s">
        <v>34</v>
      </c>
      <c r="C81" s="34" t="s">
        <v>76</v>
      </c>
      <c r="D81" s="37" t="s">
        <v>544</v>
      </c>
      <c r="E81" s="34" t="s">
        <v>244</v>
      </c>
      <c r="F81" s="38" t="s">
        <v>545</v>
      </c>
      <c r="G81" s="53" t="s">
        <v>546</v>
      </c>
      <c r="H81" s="34"/>
      <c r="I81" s="34"/>
      <c r="J81" s="34"/>
      <c r="K81" s="34" t="s">
        <v>69</v>
      </c>
      <c r="L81" s="34"/>
      <c r="M81" s="34" t="s">
        <v>97</v>
      </c>
      <c r="N81" s="34" t="s">
        <v>156</v>
      </c>
      <c r="O81" s="34" t="s">
        <v>157</v>
      </c>
      <c r="P81" s="34" t="s">
        <v>158</v>
      </c>
      <c r="Q81" s="34"/>
      <c r="R81" s="34"/>
      <c r="S81" s="40" t="s">
        <v>99</v>
      </c>
      <c r="T81" s="34"/>
      <c r="U81" s="34"/>
      <c r="V81" s="34"/>
      <c r="X81" s="34"/>
      <c r="Y81" s="34"/>
      <c r="Z81" s="34"/>
      <c r="AA81" s="34"/>
      <c r="AB81" s="34"/>
      <c r="AC81" s="34"/>
      <c r="AD81" s="34"/>
      <c r="AE81" s="34"/>
      <c r="AF81" s="34"/>
      <c r="AG81" s="34"/>
      <c r="AH81" s="34"/>
      <c r="AI81" s="34"/>
      <c r="AJ81" s="34"/>
      <c r="AK81" s="34"/>
      <c r="AL81" s="34"/>
      <c r="AM81" s="34"/>
      <c r="AN81" s="34"/>
      <c r="AO81" s="34"/>
      <c r="AP81" s="34"/>
      <c r="AQ81" s="34"/>
      <c r="AR81" s="34"/>
      <c r="AS81" s="34"/>
      <c r="AT81" s="34"/>
      <c r="AU81" s="34"/>
      <c r="AV81" s="34"/>
      <c r="AW81" s="34"/>
      <c r="AX81" s="34"/>
    </row>
    <row r="82" ht="29.0">
      <c r="A82" s="36">
        <v>46049</v>
      </c>
      <c r="B82" s="34" t="s">
        <v>34</v>
      </c>
      <c r="C82" s="34" t="s">
        <v>76</v>
      </c>
      <c r="D82" s="37" t="s">
        <v>547</v>
      </c>
      <c r="E82" s="34" t="s">
        <v>548</v>
      </c>
      <c r="F82" s="38" t="s">
        <v>549</v>
      </c>
      <c r="G82" s="53" t="s">
        <v>550</v>
      </c>
      <c r="H82" s="34"/>
      <c r="I82" s="34"/>
      <c r="J82" s="34"/>
      <c r="K82" s="34" t="s">
        <v>95</v>
      </c>
      <c r="L82" s="34"/>
      <c r="M82" s="34" t="s">
        <v>117</v>
      </c>
      <c r="N82" s="34" t="s">
        <v>71</v>
      </c>
      <c r="O82" s="34" t="s">
        <v>84</v>
      </c>
      <c r="P82" s="34" t="s">
        <v>535</v>
      </c>
      <c r="Q82" s="54">
        <v>46298</v>
      </c>
      <c r="R82" s="34"/>
      <c r="S82" s="40" t="s">
        <v>134</v>
      </c>
      <c r="T82" s="34"/>
      <c r="U82" s="38" t="s">
        <v>551</v>
      </c>
      <c r="V82" s="34"/>
    </row>
    <row r="83" ht="82.0">
      <c r="A83" s="36">
        <v>46049</v>
      </c>
      <c r="B83" s="34" t="s">
        <v>34</v>
      </c>
      <c r="C83" s="34" t="s">
        <v>108</v>
      </c>
      <c r="D83" s="37" t="s">
        <v>552</v>
      </c>
      <c r="E83" s="34" t="s">
        <v>438</v>
      </c>
      <c r="F83" s="38" t="s">
        <v>553</v>
      </c>
      <c r="G83" s="42" t="s">
        <v>554</v>
      </c>
      <c r="H83" s="34" t="s">
        <v>163</v>
      </c>
      <c r="I83" s="34"/>
      <c r="J83" s="34"/>
      <c r="K83" s="34" t="s">
        <v>125</v>
      </c>
      <c r="L83" s="38" t="s">
        <v>555</v>
      </c>
      <c r="M83" s="34" t="s">
        <v>70</v>
      </c>
      <c r="N83" s="34" t="s">
        <v>309</v>
      </c>
      <c r="O83" s="34" t="s">
        <v>98</v>
      </c>
      <c r="P83" s="34" t="s">
        <v>10</v>
      </c>
      <c r="Q83" s="54"/>
      <c r="R83" s="34"/>
      <c r="S83" s="40" t="s">
        <v>118</v>
      </c>
      <c r="T83" s="34"/>
      <c r="U83" s="34" t="s">
        <v>456</v>
      </c>
      <c r="V83" s="34" t="s">
        <v>556</v>
      </c>
      <c r="X83" s="34"/>
      <c r="Y83" s="34"/>
      <c r="Z83" s="34"/>
      <c r="AA83" s="34"/>
      <c r="AB83" s="34"/>
      <c r="AC83" s="34"/>
      <c r="AD83" s="34"/>
      <c r="AE83" s="34"/>
      <c r="AF83" s="34"/>
      <c r="AG83" s="34"/>
      <c r="AH83" s="34"/>
      <c r="AI83" s="34"/>
      <c r="AJ83" s="34"/>
      <c r="AK83" s="34"/>
      <c r="AL83" s="34"/>
      <c r="AM83" s="34"/>
      <c r="AN83" s="34"/>
      <c r="AO83" s="34"/>
      <c r="AP83" s="34"/>
      <c r="AQ83" s="34"/>
      <c r="AR83" s="34"/>
      <c r="AS83" s="34"/>
      <c r="AT83" s="34"/>
      <c r="AU83" s="34"/>
      <c r="AV83" s="34"/>
      <c r="AW83" s="34"/>
      <c r="AX83" s="34"/>
    </row>
    <row r="84" ht="41.0">
      <c r="A84" s="36">
        <v>46050</v>
      </c>
      <c r="B84" s="34" t="s">
        <v>35</v>
      </c>
      <c r="C84" s="34" t="s">
        <v>88</v>
      </c>
      <c r="D84" s="37" t="s">
        <v>557</v>
      </c>
      <c r="E84" s="34" t="s">
        <v>558</v>
      </c>
      <c r="F84" s="38" t="s">
        <v>559</v>
      </c>
      <c r="G84" s="34" t="s">
        <v>560</v>
      </c>
      <c r="H84" s="34" t="s">
        <v>163</v>
      </c>
      <c r="I84" s="34" t="s">
        <v>277</v>
      </c>
      <c r="J84" s="34" t="s">
        <v>561</v>
      </c>
      <c r="K84" s="34" t="s">
        <v>95</v>
      </c>
      <c r="L84" s="38" t="s">
        <v>562</v>
      </c>
      <c r="M84" s="34" t="s">
        <v>117</v>
      </c>
      <c r="N84" s="34" t="s">
        <v>71</v>
      </c>
      <c r="O84" s="34" t="s">
        <v>98</v>
      </c>
      <c r="P84" s="34" t="s">
        <v>10</v>
      </c>
      <c r="Q84" s="43">
        <v>46300</v>
      </c>
      <c r="R84" s="34"/>
      <c r="S84" s="40" t="s">
        <v>134</v>
      </c>
      <c r="T84" s="34"/>
      <c r="U84" s="34" t="s">
        <v>563</v>
      </c>
      <c r="V84" s="34" t="s">
        <v>564</v>
      </c>
      <c r="X84" s="1"/>
      <c r="Y84" s="34"/>
      <c r="Z84" s="34"/>
      <c r="AA84" s="34"/>
      <c r="AB84" s="34"/>
      <c r="AC84" s="34"/>
      <c r="AD84" s="34"/>
      <c r="AE84" s="34"/>
      <c r="AF84" s="34"/>
      <c r="AG84" s="34"/>
      <c r="AH84" s="34"/>
      <c r="AI84" s="34"/>
      <c r="AJ84" s="34"/>
      <c r="AK84" s="34"/>
      <c r="AL84" s="34"/>
      <c r="AM84" s="34"/>
      <c r="AN84" s="34"/>
      <c r="AO84" s="34"/>
      <c r="AP84" s="34"/>
      <c r="AQ84" s="34"/>
      <c r="AR84" s="34"/>
      <c r="AS84" s="34"/>
      <c r="AT84" s="34"/>
      <c r="AU84" s="34"/>
      <c r="AV84" s="34"/>
      <c r="AW84" s="34"/>
      <c r="AX84" s="34"/>
      <c r="AY84" s="34"/>
    </row>
    <row r="85" customHeight="1" ht="119.0">
      <c r="A85" s="36">
        <v>46050</v>
      </c>
      <c r="B85" s="34" t="s">
        <v>34</v>
      </c>
      <c r="C85" s="34" t="s">
        <v>76</v>
      </c>
      <c r="D85" s="37" t="s">
        <v>565</v>
      </c>
      <c r="E85" s="34" t="s">
        <v>78</v>
      </c>
      <c r="F85" s="38" t="s">
        <v>566</v>
      </c>
      <c r="G85" s="53" t="s">
        <v>567</v>
      </c>
      <c r="H85" s="34"/>
      <c r="I85" s="34"/>
      <c r="J85" s="34"/>
      <c r="K85" s="34" t="s">
        <v>184</v>
      </c>
      <c r="L85" s="34"/>
      <c r="M85" s="34" t="s">
        <v>83</v>
      </c>
      <c r="N85" s="34" t="s">
        <v>71</v>
      </c>
      <c r="O85" s="34" t="s">
        <v>84</v>
      </c>
      <c r="P85" s="34" t="s">
        <v>9</v>
      </c>
      <c r="Q85" s="34">
        <v>1.0</v>
      </c>
      <c r="R85" s="34"/>
      <c r="S85" s="40" t="s">
        <v>568</v>
      </c>
      <c r="T85" s="34"/>
      <c r="U85" s="38" t="s">
        <v>569</v>
      </c>
      <c r="V85" s="34"/>
      <c r="X85" s="34"/>
      <c r="Y85" s="34"/>
      <c r="Z85" s="34"/>
      <c r="AA85" s="34"/>
      <c r="AB85" s="34"/>
      <c r="AC85" s="34"/>
      <c r="AD85" s="34"/>
      <c r="AE85" s="34"/>
      <c r="AF85" s="34"/>
      <c r="AG85" s="34"/>
      <c r="AH85" s="34"/>
      <c r="AI85" s="34"/>
      <c r="AJ85" s="34"/>
      <c r="AK85" s="34"/>
      <c r="AL85" s="34"/>
      <c r="AM85" s="34"/>
      <c r="AN85" s="34"/>
      <c r="AO85" s="34"/>
      <c r="AP85" s="34"/>
      <c r="AQ85" s="34"/>
      <c r="AR85" s="34"/>
      <c r="AS85" s="34"/>
      <c r="AT85" s="34"/>
      <c r="AU85" s="34"/>
      <c r="AV85" s="34"/>
      <c r="AW85" s="34"/>
      <c r="AX85" s="34"/>
    </row>
    <row r="86" ht="27.0" customFormat="1" s="33">
      <c r="A86" s="36">
        <v>46050</v>
      </c>
      <c r="B86" s="34" t="s">
        <v>38</v>
      </c>
      <c r="C86" s="34" t="s">
        <v>76</v>
      </c>
      <c r="D86" s="37" t="s">
        <v>570</v>
      </c>
      <c r="E86" s="34" t="s">
        <v>571</v>
      </c>
      <c r="F86" s="38" t="s">
        <v>572</v>
      </c>
      <c r="G86" s="34" t="s">
        <v>573</v>
      </c>
      <c r="H86" s="34"/>
      <c r="I86" s="34"/>
      <c r="J86" s="34"/>
      <c r="K86" s="34" t="s">
        <v>184</v>
      </c>
      <c r="L86" s="34"/>
      <c r="M86" s="34" t="s">
        <v>97</v>
      </c>
      <c r="N86" s="34" t="s">
        <v>71</v>
      </c>
      <c r="O86" s="34" t="s">
        <v>98</v>
      </c>
      <c r="P86" s="34" t="s">
        <v>10</v>
      </c>
      <c r="Q86" s="34">
        <v>15.0</v>
      </c>
      <c r="R86" s="34"/>
      <c r="S86" s="40" t="s">
        <v>294</v>
      </c>
      <c r="T86" s="34"/>
      <c r="U86" s="38" t="s">
        <v>574</v>
      </c>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c r="AT86" s="34"/>
      <c r="AU86" s="34"/>
      <c r="AV86" s="34"/>
    </row>
    <row r="87" ht="96.0">
      <c r="A87" s="36">
        <v>46050</v>
      </c>
      <c r="B87" s="34" t="s">
        <v>34</v>
      </c>
      <c r="C87" s="34" t="s">
        <v>63</v>
      </c>
      <c r="D87" s="37" t="s">
        <v>575</v>
      </c>
      <c r="E87" s="34" t="s">
        <v>576</v>
      </c>
      <c r="F87" s="38" t="s">
        <v>577</v>
      </c>
      <c r="G87" s="34" t="s">
        <v>578</v>
      </c>
      <c r="H87" s="55" t="s">
        <v>579</v>
      </c>
      <c r="I87" s="34" t="s">
        <v>266</v>
      </c>
      <c r="J87" s="34"/>
      <c r="K87" s="34" t="s">
        <v>115</v>
      </c>
      <c r="L87" s="34"/>
      <c r="M87" s="34" t="s">
        <v>97</v>
      </c>
      <c r="N87" s="34" t="s">
        <v>71</v>
      </c>
      <c r="O87" s="34" t="s">
        <v>98</v>
      </c>
      <c r="P87" s="34" t="s">
        <v>10</v>
      </c>
      <c r="Q87" s="34">
        <v>100.0</v>
      </c>
      <c r="R87" s="34"/>
      <c r="S87" s="40" t="s">
        <v>127</v>
      </c>
      <c r="T87" s="34"/>
      <c r="U87" s="34"/>
      <c r="V87" s="34"/>
    </row>
    <row r="88" ht="27.0" customFormat="1" s="33">
      <c r="A88" s="36">
        <v>46050</v>
      </c>
      <c r="B88" s="34" t="s">
        <v>34</v>
      </c>
      <c r="C88" s="34" t="s">
        <v>108</v>
      </c>
      <c r="D88" s="56" t="s">
        <v>580</v>
      </c>
      <c r="E88" s="34" t="s">
        <v>581</v>
      </c>
      <c r="F88" s="38" t="s">
        <v>582</v>
      </c>
      <c r="G88" s="34" t="s">
        <v>583</v>
      </c>
      <c r="H88" s="34"/>
      <c r="I88" s="34" t="s">
        <v>584</v>
      </c>
      <c r="J88" s="34"/>
      <c r="K88" s="34" t="s">
        <v>69</v>
      </c>
      <c r="L88" s="34" t="s">
        <v>155</v>
      </c>
      <c r="M88" s="34" t="s">
        <v>97</v>
      </c>
      <c r="N88" s="34" t="s">
        <v>71</v>
      </c>
      <c r="O88" s="34" t="s">
        <v>84</v>
      </c>
      <c r="P88" s="34" t="s">
        <v>395</v>
      </c>
      <c r="Q88" s="34"/>
      <c r="R88" s="34"/>
      <c r="S88" s="40"/>
      <c r="T88" s="34"/>
      <c r="U88" s="38" t="s">
        <v>585</v>
      </c>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c r="AT88" s="34"/>
      <c r="AU88" s="34"/>
      <c r="AV88" s="34"/>
    </row>
    <row r="89" ht="27.0" customFormat="1" s="33">
      <c r="A89" s="36">
        <v>46050</v>
      </c>
      <c r="B89" s="34" t="s">
        <v>34</v>
      </c>
      <c r="C89" s="34" t="s">
        <v>88</v>
      </c>
      <c r="D89" s="37" t="s">
        <v>586</v>
      </c>
      <c r="E89" s="34" t="s">
        <v>587</v>
      </c>
      <c r="F89" s="38" t="s">
        <v>588</v>
      </c>
      <c r="G89" s="34" t="s">
        <v>589</v>
      </c>
      <c r="H89" s="34"/>
      <c r="I89" s="34" t="s">
        <v>590</v>
      </c>
      <c r="J89" s="34" t="s">
        <v>591</v>
      </c>
      <c r="K89" s="34" t="s">
        <v>125</v>
      </c>
      <c r="L89" s="38" t="s">
        <v>592</v>
      </c>
      <c r="M89" s="34" t="s">
        <v>97</v>
      </c>
      <c r="N89" s="34" t="s">
        <v>71</v>
      </c>
      <c r="O89" s="34" t="s">
        <v>98</v>
      </c>
      <c r="P89" s="34" t="s">
        <v>10</v>
      </c>
      <c r="Q89" s="34">
        <v>10.0</v>
      </c>
      <c r="R89" s="34"/>
      <c r="S89" s="40" t="s">
        <v>127</v>
      </c>
      <c r="T89" s="34"/>
      <c r="U89" s="34" t="s">
        <v>563</v>
      </c>
      <c r="V89" s="34"/>
      <c r="W89" s="34"/>
      <c r="X89" s="1"/>
      <c r="Y89" s="34"/>
      <c r="Z89" s="34"/>
      <c r="AA89" s="34"/>
      <c r="AB89" s="34"/>
      <c r="AC89" s="34"/>
      <c r="AD89" s="34"/>
      <c r="AE89" s="34"/>
      <c r="AF89" s="34"/>
      <c r="AG89" s="34"/>
      <c r="AH89" s="34"/>
      <c r="AI89" s="34"/>
      <c r="AJ89" s="34"/>
      <c r="AK89" s="34"/>
      <c r="AL89" s="34"/>
      <c r="AM89" s="34"/>
      <c r="AN89" s="34"/>
      <c r="AO89" s="34"/>
      <c r="AP89" s="34"/>
      <c r="AQ89" s="34"/>
      <c r="AR89" s="34"/>
      <c r="AS89" s="34"/>
      <c r="AT89" s="34"/>
      <c r="AU89" s="34"/>
      <c r="AV89" s="34"/>
      <c r="AW89" s="34"/>
      <c r="AX89" s="34"/>
      <c r="AY89" s="34"/>
    </row>
    <row r="90" ht="41.0">
      <c r="A90" s="36">
        <v>46051</v>
      </c>
      <c r="B90" s="34" t="s">
        <v>34</v>
      </c>
      <c r="C90" s="34" t="s">
        <v>88</v>
      </c>
      <c r="D90" s="37" t="s">
        <v>593</v>
      </c>
      <c r="E90" s="34" t="s">
        <v>594</v>
      </c>
      <c r="F90" s="38" t="s">
        <v>595</v>
      </c>
      <c r="G90" s="34" t="s">
        <v>596</v>
      </c>
      <c r="H90" s="34"/>
      <c r="I90" s="34"/>
      <c r="J90" s="34"/>
      <c r="K90" s="34" t="s">
        <v>420</v>
      </c>
      <c r="L90" s="34" t="s">
        <v>155</v>
      </c>
      <c r="M90" s="34" t="s">
        <v>97</v>
      </c>
      <c r="N90" s="34" t="s">
        <v>71</v>
      </c>
      <c r="O90" s="34" t="s">
        <v>98</v>
      </c>
      <c r="P90" s="34" t="s">
        <v>10</v>
      </c>
      <c r="Q90" s="34">
        <v>5.0</v>
      </c>
      <c r="R90" s="34"/>
      <c r="S90" s="40" t="s">
        <v>294</v>
      </c>
      <c r="T90" s="34"/>
      <c r="U90" s="38" t="s">
        <v>597</v>
      </c>
      <c r="V90" s="34"/>
      <c r="X90" s="1"/>
      <c r="Y90" s="34"/>
      <c r="Z90" s="34"/>
      <c r="AA90" s="34"/>
      <c r="AB90" s="34"/>
      <c r="AC90" s="34"/>
      <c r="AD90" s="34"/>
      <c r="AE90" s="34"/>
      <c r="AF90" s="34"/>
      <c r="AG90" s="34"/>
      <c r="AH90" s="34"/>
      <c r="AI90" s="34"/>
      <c r="AJ90" s="34"/>
      <c r="AK90" s="34"/>
      <c r="AL90" s="34"/>
      <c r="AM90" s="34"/>
      <c r="AN90" s="34"/>
      <c r="AO90" s="34"/>
      <c r="AP90" s="34"/>
      <c r="AQ90" s="34"/>
      <c r="AR90" s="34"/>
      <c r="AS90" s="34"/>
      <c r="AT90" s="34"/>
      <c r="AU90" s="34"/>
      <c r="AV90" s="34"/>
      <c r="AW90" s="34"/>
      <c r="AX90" s="34"/>
      <c r="AY90" s="34"/>
    </row>
    <row r="91" ht="82.0">
      <c r="A91" s="36">
        <v>46051</v>
      </c>
      <c r="B91" s="34" t="s">
        <v>34</v>
      </c>
      <c r="C91" s="34" t="s">
        <v>108</v>
      </c>
      <c r="D91" s="37" t="s">
        <v>598</v>
      </c>
      <c r="E91" s="34" t="s">
        <v>110</v>
      </c>
      <c r="F91" s="38" t="s">
        <v>599</v>
      </c>
      <c r="G91" s="34" t="s">
        <v>600</v>
      </c>
      <c r="H91" s="34" t="s">
        <v>601</v>
      </c>
      <c r="I91" s="34"/>
      <c r="J91" s="34"/>
      <c r="K91" s="34" t="s">
        <v>69</v>
      </c>
      <c r="L91" s="34"/>
      <c r="M91" s="34" t="s">
        <v>97</v>
      </c>
      <c r="N91" s="34" t="s">
        <v>156</v>
      </c>
      <c r="O91" s="34" t="s">
        <v>157</v>
      </c>
      <c r="P91" s="34" t="s">
        <v>158</v>
      </c>
      <c r="Q91" s="34"/>
      <c r="R91" s="34"/>
      <c r="S91" s="40"/>
      <c r="T91" s="34"/>
      <c r="U91" s="34"/>
      <c r="V91" s="34"/>
      <c r="W91" s="34" t="s">
        <v>120</v>
      </c>
      <c r="X91" s="34"/>
      <c r="Y91" s="34"/>
      <c r="Z91" s="34"/>
      <c r="AA91" s="34"/>
      <c r="AB91" s="34"/>
      <c r="AC91" s="34"/>
      <c r="AD91" s="34"/>
      <c r="AE91" s="34"/>
      <c r="AF91" s="34"/>
      <c r="AG91" s="34"/>
      <c r="AH91" s="34"/>
      <c r="AI91" s="34"/>
      <c r="AJ91" s="34"/>
      <c r="AK91" s="34"/>
      <c r="AL91" s="34"/>
      <c r="AM91" s="34"/>
      <c r="AN91" s="34"/>
      <c r="AO91" s="34"/>
      <c r="AP91" s="34"/>
      <c r="AQ91" s="34"/>
      <c r="AR91" s="34"/>
      <c r="AS91" s="34"/>
      <c r="AT91" s="34"/>
      <c r="AU91" s="34"/>
      <c r="AV91" s="34"/>
      <c r="AW91" s="34"/>
      <c r="AX91" s="34"/>
    </row>
    <row r="92" ht="96.0" customFormat="1" s="33">
      <c r="A92" s="36">
        <v>46051</v>
      </c>
      <c r="B92" s="34" t="s">
        <v>34</v>
      </c>
      <c r="C92" s="34" t="s">
        <v>88</v>
      </c>
      <c r="D92" s="37" t="s">
        <v>602</v>
      </c>
      <c r="E92" s="34" t="s">
        <v>603</v>
      </c>
      <c r="F92" s="38" t="s">
        <v>604</v>
      </c>
      <c r="G92" s="34" t="s">
        <v>605</v>
      </c>
      <c r="H92" s="34" t="s">
        <v>606</v>
      </c>
      <c r="I92" s="34" t="s">
        <v>266</v>
      </c>
      <c r="J92" s="34" t="s">
        <v>607</v>
      </c>
      <c r="K92" s="34" t="s">
        <v>125</v>
      </c>
      <c r="L92" s="38" t="s">
        <v>608</v>
      </c>
      <c r="M92" s="34" t="s">
        <v>117</v>
      </c>
      <c r="N92" s="34" t="s">
        <v>71</v>
      </c>
      <c r="O92" s="34" t="s">
        <v>609</v>
      </c>
      <c r="P92" s="34" t="s">
        <v>9</v>
      </c>
      <c r="Q92" s="34">
        <v>3.0</v>
      </c>
      <c r="R92" s="39">
        <v>55.44</v>
      </c>
      <c r="S92" s="40" t="s">
        <v>134</v>
      </c>
      <c r="T92" s="34"/>
      <c r="U92" s="38" t="s">
        <v>610</v>
      </c>
      <c r="V92" s="34" t="s">
        <v>611</v>
      </c>
      <c r="W92" s="38" t="s">
        <v>612</v>
      </c>
      <c r="X92" s="1"/>
      <c r="Y92" s="34"/>
      <c r="Z92" s="34"/>
      <c r="AA92" s="34"/>
      <c r="AB92" s="34"/>
      <c r="AC92" s="34"/>
      <c r="AD92" s="34"/>
      <c r="AE92" s="34"/>
      <c r="AF92" s="34"/>
      <c r="AG92" s="34"/>
      <c r="AH92" s="34"/>
      <c r="AI92" s="34"/>
      <c r="AJ92" s="34"/>
      <c r="AK92" s="34"/>
      <c r="AL92" s="34"/>
      <c r="AM92" s="34"/>
      <c r="AN92" s="34"/>
      <c r="AO92" s="34"/>
      <c r="AP92" s="34"/>
      <c r="AQ92" s="34"/>
      <c r="AR92" s="34"/>
      <c r="AS92" s="34"/>
      <c r="AT92" s="34"/>
      <c r="AU92" s="34"/>
      <c r="AV92" s="34"/>
      <c r="AW92" s="34"/>
      <c r="AX92" s="34"/>
      <c r="AY92" s="34"/>
    </row>
    <row r="93" ht="55.0">
      <c r="A93" s="36">
        <v>46052</v>
      </c>
      <c r="B93" s="34" t="s">
        <v>35</v>
      </c>
      <c r="C93" s="34" t="s">
        <v>88</v>
      </c>
      <c r="D93" s="37" t="s">
        <v>613</v>
      </c>
      <c r="E93" s="34" t="s">
        <v>614</v>
      </c>
      <c r="F93" s="38" t="s">
        <v>615</v>
      </c>
      <c r="G93" s="34" t="s">
        <v>616</v>
      </c>
      <c r="H93" s="34"/>
      <c r="I93" s="34" t="s">
        <v>277</v>
      </c>
      <c r="J93" s="34" t="s">
        <v>617</v>
      </c>
      <c r="K93" s="34" t="s">
        <v>184</v>
      </c>
      <c r="L93" s="38" t="s">
        <v>618</v>
      </c>
      <c r="M93" s="34" t="s">
        <v>117</v>
      </c>
      <c r="N93" s="34" t="s">
        <v>71</v>
      </c>
      <c r="O93" s="34" t="s">
        <v>84</v>
      </c>
      <c r="P93" s="34" t="s">
        <v>9</v>
      </c>
      <c r="Q93" s="34">
        <v>4.0</v>
      </c>
      <c r="R93" s="39">
        <v>216.0</v>
      </c>
      <c r="S93" s="40" t="s">
        <v>99</v>
      </c>
      <c r="T93" s="34"/>
      <c r="U93" s="38" t="s">
        <v>619</v>
      </c>
      <c r="V93" s="34"/>
      <c r="X93" s="1"/>
      <c r="Y93" s="34"/>
      <c r="Z93" s="34"/>
      <c r="AA93" s="34"/>
      <c r="AB93" s="34"/>
      <c r="AC93" s="34"/>
      <c r="AD93" s="34"/>
      <c r="AE93" s="34"/>
      <c r="AF93" s="34"/>
      <c r="AG93" s="34"/>
      <c r="AH93" s="34"/>
      <c r="AI93" s="34"/>
      <c r="AJ93" s="34"/>
      <c r="AK93" s="34"/>
      <c r="AL93" s="34"/>
      <c r="AM93" s="34"/>
      <c r="AN93" s="34"/>
      <c r="AO93" s="34"/>
      <c r="AP93" s="34"/>
      <c r="AQ93" s="34"/>
      <c r="AR93" s="34"/>
      <c r="AS93" s="34"/>
      <c r="AT93" s="34"/>
      <c r="AU93" s="34"/>
      <c r="AV93" s="34"/>
      <c r="AW93" s="34"/>
      <c r="AX93" s="34"/>
      <c r="AY93" s="34"/>
    </row>
    <row r="94" ht="41.0">
      <c r="A94" s="36">
        <v>46052</v>
      </c>
      <c r="B94" s="34" t="s">
        <v>34</v>
      </c>
      <c r="C94" s="34" t="s">
        <v>63</v>
      </c>
      <c r="D94" s="37" t="s">
        <v>620</v>
      </c>
      <c r="E94" s="34" t="s">
        <v>621</v>
      </c>
      <c r="F94" s="38" t="s">
        <v>622</v>
      </c>
      <c r="G94" s="34" t="s">
        <v>623</v>
      </c>
      <c r="H94" s="34" t="s">
        <v>624</v>
      </c>
      <c r="I94" s="34" t="s">
        <v>373</v>
      </c>
      <c r="J94" s="34"/>
      <c r="K94" s="34" t="s">
        <v>95</v>
      </c>
      <c r="L94" s="34"/>
      <c r="M94" s="34" t="s">
        <v>97</v>
      </c>
      <c r="N94" s="34" t="s">
        <v>71</v>
      </c>
      <c r="O94" s="34" t="s">
        <v>98</v>
      </c>
      <c r="P94" s="34" t="s">
        <v>10</v>
      </c>
      <c r="Q94" s="34" t="s">
        <v>625</v>
      </c>
      <c r="R94" s="34"/>
      <c r="S94" s="40" t="s">
        <v>127</v>
      </c>
      <c r="T94" s="34"/>
      <c r="U94" s="38" t="s">
        <v>626</v>
      </c>
      <c r="V94" s="34" t="s">
        <v>627</v>
      </c>
      <c r="W94" s="38" t="s">
        <v>628</v>
      </c>
      <c r="X94" s="34"/>
      <c r="Y94" s="34"/>
      <c r="Z94" s="34"/>
      <c r="AA94" s="34"/>
      <c r="AB94" s="34"/>
      <c r="AC94" s="34"/>
      <c r="AD94" s="34"/>
      <c r="AE94" s="34"/>
      <c r="AF94" s="34"/>
      <c r="AG94" s="34"/>
      <c r="AH94" s="34"/>
      <c r="AI94" s="34"/>
      <c r="AJ94" s="34"/>
      <c r="AK94" s="34"/>
      <c r="AL94" s="34"/>
      <c r="AM94" s="34"/>
      <c r="AN94" s="34"/>
      <c r="AO94" s="34"/>
      <c r="AP94" s="34"/>
      <c r="AQ94" s="34"/>
      <c r="AR94" s="34"/>
      <c r="AS94" s="34"/>
      <c r="AT94" s="34"/>
      <c r="AU94" s="34"/>
      <c r="AV94" s="34"/>
      <c r="AW94" s="34"/>
      <c r="AX94" s="34"/>
    </row>
    <row r="95" ht="55.0">
      <c r="A95" s="36">
        <v>46052</v>
      </c>
      <c r="B95" s="34" t="s">
        <v>34</v>
      </c>
      <c r="C95" s="34" t="s">
        <v>108</v>
      </c>
      <c r="D95" s="37" t="s">
        <v>629</v>
      </c>
      <c r="E95" s="34" t="s">
        <v>517</v>
      </c>
      <c r="F95" s="38" t="s">
        <v>630</v>
      </c>
      <c r="G95" s="34" t="s">
        <v>631</v>
      </c>
      <c r="H95" s="34" t="s">
        <v>632</v>
      </c>
      <c r="I95" s="34" t="s">
        <v>266</v>
      </c>
      <c r="J95" s="34" t="s">
        <v>206</v>
      </c>
      <c r="K95" s="34" t="s">
        <v>125</v>
      </c>
      <c r="L95" s="38" t="s">
        <v>633</v>
      </c>
      <c r="M95" s="34" t="s">
        <v>117</v>
      </c>
      <c r="N95" s="34" t="s">
        <v>71</v>
      </c>
      <c r="O95" s="34" t="s">
        <v>84</v>
      </c>
      <c r="P95" s="34" t="s">
        <v>9</v>
      </c>
      <c r="Q95" s="34">
        <v>20.0</v>
      </c>
      <c r="R95" s="39">
        <v>1306.8</v>
      </c>
      <c r="S95" s="40" t="s">
        <v>127</v>
      </c>
      <c r="T95" s="34"/>
      <c r="U95" s="38" t="s">
        <v>634</v>
      </c>
      <c r="V95" s="34"/>
      <c r="W95" s="38" t="s">
        <v>635</v>
      </c>
      <c r="X95" s="34"/>
      <c r="Y95" s="34"/>
      <c r="Z95" s="34"/>
      <c r="AA95" s="34"/>
      <c r="AB95" s="34"/>
      <c r="AC95" s="34"/>
      <c r="AD95" s="34"/>
      <c r="AE95" s="34"/>
      <c r="AF95" s="34"/>
      <c r="AG95" s="34"/>
      <c r="AH95" s="34"/>
      <c r="AI95" s="34"/>
      <c r="AJ95" s="34"/>
      <c r="AK95" s="34"/>
      <c r="AL95" s="34"/>
      <c r="AM95" s="34"/>
      <c r="AN95" s="34"/>
      <c r="AO95" s="34"/>
      <c r="AP95" s="34"/>
      <c r="AQ95" s="34"/>
      <c r="AR95" s="34"/>
      <c r="AS95" s="34"/>
      <c r="AT95" s="34"/>
      <c r="AU95" s="34"/>
      <c r="AV95" s="34"/>
      <c r="AW95" s="34"/>
    </row>
    <row r="96" ht="41.0">
      <c r="A96" s="36">
        <v>46052</v>
      </c>
      <c r="B96" s="34" t="s">
        <v>34</v>
      </c>
      <c r="C96" s="34" t="s">
        <v>76</v>
      </c>
      <c r="D96" s="57" t="s">
        <v>636</v>
      </c>
      <c r="E96" s="34" t="s">
        <v>78</v>
      </c>
      <c r="F96" s="38" t="s">
        <v>637</v>
      </c>
      <c r="G96" s="34" t="s">
        <v>638</v>
      </c>
      <c r="H96" s="34"/>
      <c r="I96" s="34"/>
      <c r="J96" s="34"/>
      <c r="K96" s="34" t="s">
        <v>115</v>
      </c>
      <c r="L96" s="34"/>
      <c r="M96" s="34" t="s">
        <v>117</v>
      </c>
      <c r="N96" s="34" t="s">
        <v>534</v>
      </c>
      <c r="O96" s="34" t="s">
        <v>84</v>
      </c>
      <c r="P96" s="34" t="s">
        <v>9</v>
      </c>
      <c r="Q96" s="34">
        <v>7.0</v>
      </c>
      <c r="R96" s="34"/>
      <c r="S96" s="40" t="s">
        <v>73</v>
      </c>
      <c r="T96" s="34"/>
      <c r="U96" s="38" t="s">
        <v>639</v>
      </c>
      <c r="V96" s="34"/>
    </row>
    <row r="97" ht="27.0">
      <c r="A97" s="36">
        <v>46052</v>
      </c>
      <c r="B97" s="34" t="s">
        <v>34</v>
      </c>
      <c r="C97" s="34" t="s">
        <v>76</v>
      </c>
      <c r="D97" s="37" t="s">
        <v>640</v>
      </c>
      <c r="E97" s="34" t="s">
        <v>400</v>
      </c>
      <c r="F97" s="38" t="s">
        <v>641</v>
      </c>
      <c r="G97" s="34" t="s">
        <v>642</v>
      </c>
      <c r="H97" s="34"/>
      <c r="I97" s="34"/>
      <c r="J97" s="34"/>
      <c r="K97" s="34" t="s">
        <v>69</v>
      </c>
      <c r="L97" s="34"/>
      <c r="M97" s="34" t="s">
        <v>474</v>
      </c>
      <c r="N97" s="34" t="s">
        <v>156</v>
      </c>
      <c r="O97" s="34" t="s">
        <v>157</v>
      </c>
      <c r="P97" s="34" t="s">
        <v>158</v>
      </c>
      <c r="Q97" s="34"/>
      <c r="R97" s="34"/>
      <c r="S97" s="40" t="s">
        <v>85</v>
      </c>
      <c r="T97" s="34"/>
      <c r="U97" s="38" t="s">
        <v>643</v>
      </c>
      <c r="V97" s="34"/>
    </row>
    <row r="98" ht="27.0">
      <c r="A98" s="36">
        <v>46052</v>
      </c>
      <c r="B98" s="34" t="s">
        <v>34</v>
      </c>
      <c r="C98" s="34" t="s">
        <v>76</v>
      </c>
      <c r="D98" s="37" t="s">
        <v>644</v>
      </c>
      <c r="E98" s="34" t="s">
        <v>645</v>
      </c>
      <c r="F98" s="38" t="s">
        <v>646</v>
      </c>
      <c r="G98" s="34" t="s">
        <v>647</v>
      </c>
      <c r="H98" s="34"/>
      <c r="I98" s="34" t="s">
        <v>648</v>
      </c>
      <c r="J98" s="34"/>
      <c r="K98" s="34" t="s">
        <v>95</v>
      </c>
      <c r="L98" s="34"/>
      <c r="M98" s="34" t="s">
        <v>97</v>
      </c>
      <c r="N98" s="34" t="s">
        <v>71</v>
      </c>
      <c r="O98" s="34" t="s">
        <v>98</v>
      </c>
      <c r="P98" s="34" t="s">
        <v>10</v>
      </c>
      <c r="Q98" s="34">
        <v>15.0</v>
      </c>
      <c r="R98" s="34"/>
      <c r="S98" s="40" t="s">
        <v>99</v>
      </c>
      <c r="T98" s="34"/>
      <c r="U98" s="38" t="s">
        <v>649</v>
      </c>
      <c r="V98" s="34"/>
    </row>
    <row r="99" ht="68.0">
      <c r="A99" s="36">
        <v>46052</v>
      </c>
      <c r="B99" s="34" t="s">
        <v>34</v>
      </c>
      <c r="C99" s="34" t="s">
        <v>108</v>
      </c>
      <c r="D99" s="37" t="s">
        <v>650</v>
      </c>
      <c r="E99" s="34" t="s">
        <v>651</v>
      </c>
      <c r="F99" s="38" t="s">
        <v>652</v>
      </c>
      <c r="G99" s="34" t="s">
        <v>653</v>
      </c>
      <c r="H99" s="34" t="s">
        <v>163</v>
      </c>
      <c r="I99" s="34" t="s">
        <v>140</v>
      </c>
      <c r="J99" s="34"/>
      <c r="K99" s="34" t="s">
        <v>125</v>
      </c>
      <c r="L99" s="34" t="s">
        <v>155</v>
      </c>
      <c r="M99" s="34" t="s">
        <v>117</v>
      </c>
      <c r="N99" s="34" t="s">
        <v>71</v>
      </c>
      <c r="O99" s="34" t="s">
        <v>207</v>
      </c>
      <c r="P99" s="34" t="s">
        <v>10</v>
      </c>
      <c r="Q99" s="34">
        <v>10.0</v>
      </c>
      <c r="R99" s="34"/>
      <c r="S99" s="40" t="s">
        <v>134</v>
      </c>
      <c r="T99" s="34"/>
      <c r="U99" s="38" t="s">
        <v>654</v>
      </c>
      <c r="V99" s="34"/>
    </row>
    <row r="100" ht="68.0" customFormat="1" s="34">
      <c r="A100" s="36">
        <v>46052</v>
      </c>
      <c r="B100" s="34" t="s">
        <v>34</v>
      </c>
      <c r="C100" s="34" t="s">
        <v>108</v>
      </c>
      <c r="D100" s="37" t="s">
        <v>655</v>
      </c>
      <c r="E100" s="34" t="s">
        <v>656</v>
      </c>
      <c r="F100" s="38" t="s">
        <v>657</v>
      </c>
      <c r="G100" s="34" t="s">
        <v>658</v>
      </c>
      <c r="H100" s="34" t="s">
        <v>163</v>
      </c>
      <c r="I100" s="34" t="s">
        <v>277</v>
      </c>
      <c r="J100" s="34" t="s">
        <v>206</v>
      </c>
      <c r="K100" s="34" t="s">
        <v>95</v>
      </c>
      <c r="L100" s="38" t="s">
        <v>659</v>
      </c>
      <c r="M100" s="34" t="s">
        <v>117</v>
      </c>
      <c r="N100" s="34" t="s">
        <v>71</v>
      </c>
      <c r="O100" s="34" t="s">
        <v>207</v>
      </c>
      <c r="P100" s="34" t="s">
        <v>10</v>
      </c>
      <c r="Q100" s="34">
        <v>3.0</v>
      </c>
      <c r="S100" s="40"/>
      <c r="U100" s="38" t="s">
        <v>660</v>
      </c>
      <c r="V100" s="34" t="s">
        <v>661</v>
      </c>
    </row>
    <row r="102" customFormat="1" s="34">
      <c r="A102" s="36"/>
      <c r="B102" s="34"/>
      <c r="C102" s="34"/>
      <c r="D102" s="37"/>
      <c r="K102" s="34"/>
      <c r="M102" s="34"/>
      <c r="N102" s="34"/>
      <c r="O102" s="34"/>
      <c r="P102" s="34"/>
      <c r="S102" s="40"/>
      <c r="AMM102" s="33"/>
      <c r="AMN102" s="33"/>
      <c r="AMO102" s="33"/>
      <c r="AMP102" s="33"/>
      <c r="AMQ102" s="33"/>
      <c r="AMR102" s="33"/>
      <c r="AMS102" s="33"/>
      <c r="AMT102" s="33"/>
      <c r="AMU102" s="33"/>
      <c r="AMV102" s="33"/>
      <c r="AMW102" s="33"/>
      <c r="AMX102" s="33"/>
      <c r="AMY102" s="33"/>
      <c r="AMZ102" s="33"/>
      <c r="ANA102" s="33"/>
      <c r="ANB102" s="33"/>
      <c r="ANC102" s="33"/>
      <c r="AND102" s="33"/>
      <c r="ANE102" s="33"/>
      <c r="ANF102" s="33"/>
      <c r="ANG102" s="33"/>
      <c r="ANH102" s="33"/>
      <c r="ANI102" s="33"/>
      <c r="ANJ102" s="33"/>
      <c r="ANK102" s="33"/>
      <c r="ANL102" s="33"/>
    </row>
    <row r="103" customFormat="1" s="34">
      <c r="A103" s="36"/>
      <c r="B103" s="34"/>
      <c r="C103" s="34"/>
      <c r="D103" s="37"/>
      <c r="K103" s="34"/>
      <c r="M103" s="34"/>
      <c r="N103" s="34"/>
      <c r="O103" s="34"/>
      <c r="P103" s="34"/>
      <c r="S103" s="40"/>
    </row>
    <row r="104" customFormat="1" s="34">
      <c r="A104" s="36"/>
      <c r="B104" s="34"/>
      <c r="C104" s="34"/>
      <c r="D104" s="37"/>
      <c r="K104" s="34"/>
      <c r="M104" s="34"/>
      <c r="N104" s="34"/>
      <c r="O104" s="34"/>
      <c r="P104" s="34"/>
      <c r="S104" s="40"/>
    </row>
    <row r="105" customFormat="1" s="34">
      <c r="A105" s="36"/>
      <c r="B105" s="34"/>
      <c r="C105" s="34"/>
      <c r="D105" s="37"/>
      <c r="K105" s="34"/>
      <c r="M105" s="34"/>
      <c r="N105" s="34"/>
      <c r="O105" s="34"/>
      <c r="P105" s="34"/>
      <c r="S105" s="40"/>
    </row>
    <row r="106" customFormat="1" s="34">
      <c r="A106" s="36"/>
      <c r="B106" s="34"/>
      <c r="C106" s="34"/>
      <c r="D106" s="37"/>
      <c r="K106" s="34"/>
      <c r="M106" s="34"/>
      <c r="N106" s="34"/>
      <c r="O106" s="34"/>
      <c r="P106" s="34"/>
      <c r="S106" s="40"/>
    </row>
    <row r="107" customFormat="1" s="34">
      <c r="A107" s="36"/>
      <c r="B107" s="34"/>
      <c r="C107" s="34"/>
      <c r="D107" s="37"/>
      <c r="K107" s="34"/>
      <c r="M107" s="34"/>
      <c r="N107" s="34"/>
      <c r="O107" s="34"/>
      <c r="P107" s="34"/>
      <c r="S107" s="40"/>
    </row>
    <row r="108" customFormat="1" s="34">
      <c r="A108" s="36"/>
      <c r="B108" s="34"/>
      <c r="C108" s="34"/>
      <c r="D108" s="37"/>
      <c r="K108" s="34"/>
      <c r="M108" s="34"/>
      <c r="N108" s="34"/>
      <c r="O108" s="34"/>
      <c r="P108" s="34"/>
      <c r="S108" s="40"/>
    </row>
    <row r="109" customFormat="1" s="34">
      <c r="A109" s="36"/>
      <c r="B109" s="34"/>
      <c r="C109" s="34"/>
      <c r="D109" s="37"/>
      <c r="K109" s="34"/>
      <c r="M109" s="34"/>
      <c r="N109" s="34"/>
      <c r="O109" s="34"/>
      <c r="P109" s="34"/>
      <c r="S109" s="40"/>
    </row>
    <row r="110" customFormat="1" s="34">
      <c r="A110" s="36"/>
      <c r="B110" s="34"/>
      <c r="C110" s="34"/>
      <c r="D110" s="37"/>
      <c r="K110" s="34"/>
      <c r="M110" s="34"/>
      <c r="N110" s="34"/>
      <c r="O110" s="34"/>
      <c r="P110" s="34"/>
      <c r="S110" s="40"/>
    </row>
    <row r="111" customFormat="1" s="34">
      <c r="A111" s="36"/>
      <c r="B111" s="34"/>
      <c r="C111" s="34"/>
      <c r="D111" s="37"/>
      <c r="K111" s="34"/>
      <c r="M111" s="34"/>
      <c r="N111" s="34"/>
      <c r="O111" s="34"/>
      <c r="P111" s="34"/>
      <c r="S111" s="40"/>
    </row>
    <row r="112" customFormat="1" s="34">
      <c r="A112" s="36"/>
      <c r="B112" s="34"/>
      <c r="C112" s="34"/>
      <c r="D112" s="37"/>
      <c r="K112" s="34"/>
      <c r="M112" s="34"/>
      <c r="N112" s="34"/>
      <c r="O112" s="34"/>
      <c r="P112" s="34"/>
      <c r="S112" s="40"/>
    </row>
    <row r="113" customFormat="1" s="34">
      <c r="A113" s="36"/>
      <c r="B113" s="34"/>
      <c r="C113" s="34"/>
      <c r="D113" s="37"/>
      <c r="K113" s="34"/>
      <c r="M113" s="34"/>
      <c r="N113" s="34"/>
      <c r="O113" s="34"/>
      <c r="P113" s="34"/>
      <c r="S113" s="40"/>
    </row>
    <row r="114" customFormat="1" s="34">
      <c r="A114" s="36"/>
      <c r="B114" s="34"/>
      <c r="C114" s="34"/>
      <c r="D114" s="37"/>
      <c r="K114" s="34"/>
      <c r="M114" s="34"/>
      <c r="N114" s="34"/>
      <c r="O114" s="34"/>
      <c r="P114" s="34"/>
      <c r="S114" s="40"/>
    </row>
    <row r="115" customFormat="1" s="34">
      <c r="A115" s="36"/>
      <c r="B115" s="34"/>
      <c r="C115" s="34"/>
      <c r="D115" s="37"/>
      <c r="K115" s="34"/>
      <c r="M115" s="34"/>
      <c r="N115" s="34"/>
      <c r="O115" s="34"/>
      <c r="P115" s="34"/>
      <c r="S115" s="40"/>
    </row>
    <row r="116" customFormat="1" s="34">
      <c r="A116" s="36"/>
      <c r="B116" s="34"/>
      <c r="C116" s="34"/>
      <c r="D116" s="37"/>
      <c r="K116" s="34"/>
      <c r="M116" s="34"/>
      <c r="N116" s="34"/>
      <c r="O116" s="34"/>
      <c r="P116" s="34"/>
      <c r="S116" s="40"/>
    </row>
    <row r="117" customFormat="1" s="34">
      <c r="A117" s="36"/>
      <c r="B117" s="34"/>
      <c r="C117" s="34"/>
      <c r="D117" s="37"/>
      <c r="K117" s="34"/>
      <c r="M117" s="34"/>
      <c r="N117" s="34"/>
      <c r="O117" s="34"/>
      <c r="P117" s="34"/>
      <c r="S117" s="40"/>
    </row>
    <row r="118" customFormat="1" s="34">
      <c r="A118" s="36"/>
      <c r="B118" s="34"/>
      <c r="C118" s="34"/>
      <c r="D118" s="37"/>
      <c r="K118" s="34"/>
      <c r="M118" s="34"/>
      <c r="N118" s="34"/>
      <c r="O118" s="34"/>
      <c r="P118" s="34"/>
      <c r="S118" s="40"/>
    </row>
    <row r="119" customFormat="1" s="34">
      <c r="A119" s="36"/>
      <c r="B119" s="34"/>
      <c r="C119" s="34"/>
      <c r="D119" s="37"/>
      <c r="K119" s="34"/>
      <c r="M119" s="34"/>
      <c r="N119" s="34"/>
      <c r="O119" s="34"/>
      <c r="P119" s="34"/>
      <c r="S119" s="40"/>
    </row>
    <row r="120" customFormat="1" s="34">
      <c r="A120" s="36"/>
      <c r="B120" s="34"/>
      <c r="C120" s="34"/>
      <c r="D120" s="37"/>
      <c r="K120" s="34"/>
      <c r="M120" s="34"/>
      <c r="N120" s="34"/>
      <c r="O120" s="34"/>
      <c r="P120" s="34"/>
      <c r="S120" s="40"/>
    </row>
    <row r="121" customFormat="1" s="34">
      <c r="A121" s="36"/>
      <c r="B121" s="34"/>
      <c r="C121" s="34"/>
      <c r="D121" s="37"/>
      <c r="K121" s="34"/>
      <c r="M121" s="34"/>
      <c r="N121" s="34"/>
      <c r="O121" s="34"/>
      <c r="P121" s="34"/>
      <c r="S121" s="40"/>
    </row>
    <row r="122" customFormat="1" s="34">
      <c r="A122" s="36"/>
      <c r="B122" s="34"/>
      <c r="C122" s="34"/>
      <c r="D122" s="37"/>
      <c r="K122" s="34"/>
      <c r="M122" s="34"/>
      <c r="N122" s="34"/>
      <c r="O122" s="34"/>
      <c r="P122" s="34"/>
      <c r="S122" s="40"/>
    </row>
    <row r="123" customFormat="1" s="34">
      <c r="A123" s="36"/>
      <c r="B123" s="34"/>
      <c r="C123" s="34"/>
      <c r="D123" s="37"/>
      <c r="K123" s="34"/>
      <c r="M123" s="34"/>
      <c r="N123" s="34"/>
      <c r="O123" s="34"/>
      <c r="P123" s="34"/>
      <c r="S123" s="40"/>
    </row>
    <row r="124" customFormat="1" s="34">
      <c r="A124" s="36"/>
      <c r="B124" s="34"/>
      <c r="C124" s="34"/>
      <c r="D124" s="37"/>
      <c r="K124" s="34"/>
      <c r="M124" s="34"/>
      <c r="N124" s="34"/>
      <c r="O124" s="34"/>
      <c r="P124" s="34"/>
      <c r="S124" s="40"/>
    </row>
    <row r="125" customFormat="1" s="34">
      <c r="A125" s="36"/>
      <c r="B125" s="34"/>
      <c r="C125" s="34"/>
      <c r="D125" s="37"/>
      <c r="K125" s="34"/>
      <c r="M125" s="34"/>
      <c r="N125" s="34"/>
      <c r="O125" s="34"/>
      <c r="P125" s="34"/>
      <c r="S125" s="40"/>
    </row>
    <row r="126" customFormat="1" s="34">
      <c r="A126" s="36"/>
      <c r="B126" s="34"/>
      <c r="C126" s="34"/>
      <c r="D126" s="37"/>
      <c r="K126" s="34"/>
      <c r="M126" s="34"/>
      <c r="N126" s="34"/>
      <c r="O126" s="34"/>
      <c r="P126" s="34"/>
      <c r="S126" s="40"/>
    </row>
    <row r="127" customFormat="1" s="34">
      <c r="A127" s="36"/>
      <c r="B127" s="34"/>
      <c r="C127" s="34"/>
      <c r="D127" s="37"/>
      <c r="K127" s="34"/>
      <c r="M127" s="34"/>
      <c r="N127" s="34"/>
      <c r="O127" s="34"/>
      <c r="P127" s="34"/>
      <c r="S127" s="40"/>
    </row>
    <row r="128" customFormat="1" s="34">
      <c r="A128" s="36"/>
      <c r="B128" s="34"/>
      <c r="C128" s="34"/>
      <c r="D128" s="37"/>
      <c r="K128" s="34"/>
      <c r="M128" s="34"/>
      <c r="N128" s="34"/>
      <c r="O128" s="34"/>
      <c r="P128" s="34"/>
      <c r="S128" s="40"/>
    </row>
    <row r="129" customFormat="1" s="34">
      <c r="A129" s="36"/>
      <c r="B129" s="34"/>
      <c r="C129" s="34"/>
      <c r="D129" s="37"/>
      <c r="K129" s="34"/>
      <c r="M129" s="34"/>
      <c r="N129" s="34"/>
      <c r="O129" s="34"/>
      <c r="P129" s="34"/>
      <c r="S129" s="40"/>
    </row>
    <row r="130" customFormat="1" s="34">
      <c r="A130" s="36"/>
      <c r="B130" s="34"/>
      <c r="C130" s="34"/>
      <c r="D130" s="37"/>
      <c r="K130" s="34"/>
      <c r="M130" s="34"/>
      <c r="N130" s="34"/>
      <c r="O130" s="34"/>
      <c r="P130" s="34"/>
      <c r="S130" s="40"/>
    </row>
    <row r="131" customFormat="1" s="34">
      <c r="A131" s="36"/>
      <c r="B131" s="34"/>
      <c r="C131" s="34"/>
      <c r="D131" s="37"/>
      <c r="K131" s="34"/>
      <c r="M131" s="34"/>
      <c r="N131" s="34"/>
      <c r="O131" s="34"/>
      <c r="P131" s="34"/>
      <c r="S131" s="40"/>
    </row>
    <row r="132" customFormat="1" s="34">
      <c r="A132" s="36"/>
      <c r="B132" s="34"/>
      <c r="C132" s="34"/>
      <c r="D132" s="37"/>
      <c r="K132" s="34"/>
      <c r="M132" s="34"/>
      <c r="N132" s="34"/>
      <c r="O132" s="34"/>
      <c r="P132" s="34"/>
      <c r="S132" s="40"/>
    </row>
    <row r="133" customFormat="1" s="34">
      <c r="A133" s="36"/>
      <c r="B133" s="34"/>
      <c r="C133" s="34"/>
      <c r="D133" s="37"/>
      <c r="K133" s="34"/>
      <c r="M133" s="34"/>
      <c r="N133" s="34"/>
      <c r="O133" s="34"/>
      <c r="P133" s="34"/>
      <c r="S133" s="40"/>
    </row>
    <row r="134" customFormat="1" s="34">
      <c r="A134" s="36"/>
      <c r="B134" s="34"/>
      <c r="C134" s="34"/>
      <c r="D134" s="37"/>
      <c r="K134" s="34"/>
      <c r="M134" s="34"/>
      <c r="N134" s="34"/>
      <c r="O134" s="34"/>
      <c r="P134" s="34"/>
      <c r="S134" s="40"/>
    </row>
    <row r="135" customFormat="1" s="34">
      <c r="A135" s="36"/>
      <c r="B135" s="34"/>
      <c r="C135" s="34"/>
      <c r="D135" s="37"/>
      <c r="K135" s="34"/>
      <c r="M135" s="34"/>
      <c r="N135" s="34"/>
      <c r="O135" s="34"/>
      <c r="P135" s="34"/>
      <c r="S135" s="40"/>
    </row>
    <row r="136" customFormat="1" s="34">
      <c r="A136" s="36"/>
      <c r="B136" s="34"/>
      <c r="C136" s="34"/>
      <c r="D136" s="37"/>
      <c r="K136" s="34"/>
      <c r="M136" s="34"/>
      <c r="N136" s="34"/>
      <c r="O136" s="34"/>
      <c r="P136" s="34"/>
      <c r="S136" s="40"/>
    </row>
    <row r="137" customFormat="1" s="34">
      <c r="A137" s="36"/>
      <c r="B137" s="34"/>
      <c r="C137" s="34"/>
      <c r="D137" s="37"/>
      <c r="K137" s="34"/>
      <c r="M137" s="34"/>
      <c r="N137" s="34"/>
      <c r="O137" s="34"/>
      <c r="P137" s="34"/>
      <c r="S137" s="40"/>
    </row>
    <row r="138" customFormat="1" s="34">
      <c r="A138" s="36"/>
      <c r="B138" s="34"/>
      <c r="C138" s="34"/>
      <c r="D138" s="37"/>
      <c r="K138" s="34"/>
      <c r="M138" s="34"/>
      <c r="N138" s="34"/>
      <c r="O138" s="34"/>
      <c r="P138" s="34"/>
      <c r="S138" s="40"/>
    </row>
    <row r="139" customFormat="1" s="34">
      <c r="A139" s="36"/>
      <c r="B139" s="34"/>
      <c r="C139" s="34"/>
      <c r="D139" s="37"/>
      <c r="K139" s="34"/>
      <c r="M139" s="34"/>
      <c r="N139" s="34"/>
      <c r="O139" s="34"/>
      <c r="P139" s="34"/>
      <c r="S139" s="40"/>
    </row>
    <row r="140" customFormat="1" s="34">
      <c r="A140" s="36"/>
      <c r="B140" s="34"/>
      <c r="C140" s="34"/>
      <c r="D140" s="37"/>
      <c r="K140" s="34"/>
      <c r="M140" s="34"/>
      <c r="N140" s="34"/>
      <c r="O140" s="34"/>
      <c r="P140" s="34"/>
      <c r="S140" s="40"/>
    </row>
    <row r="141" customFormat="1" s="34">
      <c r="A141" s="36"/>
      <c r="B141" s="34"/>
      <c r="C141" s="34"/>
      <c r="D141" s="37"/>
      <c r="K141" s="34"/>
      <c r="M141" s="34"/>
      <c r="N141" s="34"/>
      <c r="O141" s="34"/>
      <c r="P141" s="34"/>
      <c r="S141" s="40"/>
    </row>
    <row r="142" customFormat="1" s="34">
      <c r="A142" s="36"/>
      <c r="B142" s="34"/>
      <c r="C142" s="34"/>
      <c r="D142" s="37"/>
      <c r="K142" s="34"/>
      <c r="M142" s="34"/>
      <c r="N142" s="34"/>
      <c r="O142" s="34"/>
      <c r="P142" s="34"/>
      <c r="S142" s="40"/>
    </row>
    <row r="143" customFormat="1" s="34">
      <c r="A143" s="36"/>
      <c r="B143" s="34"/>
      <c r="C143" s="34"/>
      <c r="D143" s="37"/>
      <c r="K143" s="34"/>
      <c r="M143" s="34"/>
      <c r="N143" s="34"/>
      <c r="O143" s="34"/>
      <c r="P143" s="34"/>
      <c r="S143" s="40"/>
    </row>
    <row r="144" customFormat="1" s="34">
      <c r="A144" s="36"/>
      <c r="B144" s="34"/>
      <c r="C144" s="34"/>
      <c r="D144" s="37"/>
      <c r="K144" s="34"/>
      <c r="M144" s="34"/>
      <c r="N144" s="34"/>
      <c r="O144" s="34"/>
      <c r="P144" s="34"/>
      <c r="S144" s="40"/>
    </row>
    <row r="145" customFormat="1" s="34">
      <c r="A145" s="36"/>
      <c r="B145" s="34"/>
      <c r="C145" s="34"/>
      <c r="D145" s="37"/>
      <c r="K145" s="34"/>
      <c r="M145" s="34"/>
      <c r="N145" s="34"/>
      <c r="O145" s="34"/>
      <c r="P145" s="34"/>
      <c r="S145" s="40"/>
    </row>
    <row r="146" customFormat="1" s="34">
      <c r="A146" s="36"/>
      <c r="B146" s="34"/>
      <c r="C146" s="34"/>
      <c r="D146" s="37"/>
      <c r="K146" s="34"/>
      <c r="M146" s="34"/>
      <c r="N146" s="34"/>
      <c r="O146" s="34"/>
      <c r="P146" s="34"/>
      <c r="S146" s="40"/>
    </row>
    <row r="147" customFormat="1" s="34">
      <c r="A147" s="36"/>
      <c r="B147" s="34"/>
      <c r="C147" s="34"/>
      <c r="D147" s="37"/>
      <c r="K147" s="34"/>
      <c r="M147" s="34"/>
      <c r="N147" s="34"/>
      <c r="O147" s="34"/>
      <c r="P147" s="34"/>
      <c r="S147" s="40"/>
    </row>
    <row r="148" customFormat="1" s="34">
      <c r="A148" s="36"/>
      <c r="B148" s="34"/>
      <c r="C148" s="34"/>
      <c r="D148" s="37"/>
      <c r="K148" s="34"/>
      <c r="M148" s="34"/>
      <c r="N148" s="34"/>
      <c r="O148" s="34"/>
      <c r="P148" s="34"/>
      <c r="S148" s="40"/>
    </row>
    <row r="149" customFormat="1" s="34">
      <c r="A149" s="36"/>
      <c r="B149" s="34"/>
      <c r="C149" s="34"/>
      <c r="D149" s="37"/>
      <c r="K149" s="34"/>
      <c r="M149" s="34"/>
      <c r="N149" s="34"/>
      <c r="O149" s="34"/>
      <c r="P149" s="34"/>
      <c r="S149" s="40"/>
    </row>
    <row r="150" customFormat="1" s="34">
      <c r="A150" s="36"/>
      <c r="B150" s="34"/>
      <c r="C150" s="34"/>
      <c r="D150" s="37"/>
      <c r="K150" s="34"/>
      <c r="M150" s="34"/>
      <c r="N150" s="34"/>
      <c r="O150" s="34"/>
      <c r="P150" s="34"/>
      <c r="S150" s="40"/>
    </row>
    <row r="151" customFormat="1" s="34">
      <c r="A151" s="36"/>
      <c r="B151" s="34"/>
      <c r="C151" s="34"/>
      <c r="D151" s="37"/>
      <c r="K151" s="34"/>
      <c r="M151" s="34"/>
      <c r="N151" s="34"/>
      <c r="O151" s="34"/>
      <c r="P151" s="34"/>
      <c r="S151" s="40"/>
    </row>
    <row r="152" customFormat="1" s="34">
      <c r="A152" s="36"/>
      <c r="B152" s="34"/>
      <c r="C152" s="34"/>
      <c r="D152" s="37"/>
      <c r="K152" s="34"/>
      <c r="M152" s="34"/>
      <c r="N152" s="34"/>
      <c r="O152" s="34"/>
      <c r="P152" s="34"/>
      <c r="S152" s="40"/>
    </row>
    <row r="153" customFormat="1" s="34">
      <c r="A153" s="36"/>
      <c r="B153" s="34"/>
      <c r="C153" s="34"/>
      <c r="D153" s="37"/>
      <c r="K153" s="34"/>
      <c r="M153" s="34"/>
      <c r="N153" s="34"/>
      <c r="O153" s="34"/>
      <c r="P153" s="34"/>
      <c r="S153" s="40"/>
    </row>
    <row r="154" customFormat="1" s="34">
      <c r="A154" s="36"/>
      <c r="B154" s="34"/>
      <c r="C154" s="34"/>
      <c r="D154" s="37"/>
      <c r="K154" s="34"/>
      <c r="M154" s="34"/>
      <c r="N154" s="34"/>
      <c r="O154" s="34"/>
      <c r="P154" s="34"/>
      <c r="S154" s="40"/>
    </row>
    <row r="155" customFormat="1" s="34">
      <c r="A155" s="36"/>
      <c r="B155" s="34"/>
      <c r="C155" s="34"/>
      <c r="D155" s="37"/>
      <c r="K155" s="34"/>
      <c r="M155" s="34"/>
      <c r="N155" s="34"/>
      <c r="O155" s="34"/>
      <c r="P155" s="34"/>
      <c r="S155" s="40"/>
    </row>
    <row r="156" customFormat="1" s="34">
      <c r="A156" s="36"/>
      <c r="B156" s="34"/>
      <c r="C156" s="34"/>
      <c r="D156" s="37"/>
      <c r="K156" s="34"/>
      <c r="M156" s="34"/>
      <c r="N156" s="34"/>
      <c r="O156" s="34"/>
      <c r="P156" s="34"/>
      <c r="S156" s="40"/>
    </row>
    <row r="157" customFormat="1" s="34">
      <c r="A157" s="36"/>
      <c r="B157" s="34"/>
      <c r="C157" s="34"/>
      <c r="D157" s="37"/>
      <c r="K157" s="34"/>
      <c r="M157" s="34"/>
      <c r="N157" s="34"/>
      <c r="O157" s="34"/>
      <c r="P157" s="34"/>
      <c r="S157" s="40"/>
    </row>
    <row r="158" customFormat="1" s="34">
      <c r="A158" s="36"/>
      <c r="B158" s="34"/>
      <c r="C158" s="34"/>
      <c r="D158" s="37"/>
      <c r="K158" s="34"/>
      <c r="M158" s="34"/>
      <c r="N158" s="34"/>
      <c r="O158" s="34"/>
      <c r="P158" s="34"/>
      <c r="S158" s="40"/>
    </row>
    <row r="159" customFormat="1" s="34">
      <c r="A159" s="36"/>
      <c r="B159" s="34"/>
      <c r="C159" s="34"/>
      <c r="D159" s="37"/>
      <c r="K159" s="34"/>
      <c r="M159" s="34"/>
      <c r="N159" s="34"/>
      <c r="O159" s="34"/>
      <c r="P159" s="34"/>
      <c r="S159" s="40"/>
    </row>
    <row r="160" customFormat="1" s="34">
      <c r="X160" s="1"/>
    </row>
    <row r="161" customFormat="1" s="34">
      <c r="X161" s="1"/>
    </row>
    <row r="162" customFormat="1" s="34">
      <c r="X162" s="1"/>
    </row>
    <row r="163" customFormat="1" s="34">
      <c r="X163" s="1"/>
    </row>
    <row r="164" customFormat="1" s="34">
      <c r="X164" s="1"/>
    </row>
    <row r="165" customFormat="1" s="34">
      <c r="X165" s="1"/>
    </row>
    <row r="166" customFormat="1" s="34">
      <c r="X166" s="1"/>
    </row>
    <row r="167" customFormat="1" s="34">
      <c r="X167" s="1"/>
    </row>
    <row r="168" customFormat="1" s="34">
      <c r="X168" s="1"/>
    </row>
    <row r="169" customFormat="1" s="34">
      <c r="X169" s="1"/>
    </row>
    <row r="170" customFormat="1" s="34">
      <c r="X170" s="1"/>
    </row>
    <row r="171" customFormat="1" s="34">
      <c r="X171" s="1"/>
    </row>
    <row r="172" customFormat="1" s="34">
      <c r="X172" s="1"/>
    </row>
    <row r="173" customFormat="1" s="34">
      <c r="X173" s="1"/>
    </row>
    <row r="174" customFormat="1" s="34">
      <c r="X174" s="1"/>
    </row>
    <row r="175" customFormat="1" s="34">
      <c r="X175" s="1"/>
    </row>
    <row r="176" customFormat="1" s="34">
      <c r="X176" s="1"/>
    </row>
    <row r="177" customFormat="1" s="34">
      <c r="X177" s="1"/>
    </row>
    <row r="178" customFormat="1" s="34">
      <c r="X178" s="1"/>
    </row>
    <row r="179" customFormat="1" s="34">
      <c r="X179" s="1"/>
    </row>
    <row r="180" customFormat="1" s="34">
      <c r="X180" s="1"/>
    </row>
    <row r="181" customFormat="1" s="34">
      <c r="X181" s="1"/>
    </row>
    <row r="182" customFormat="1" s="34">
      <c r="X182" s="1"/>
    </row>
    <row r="183" customFormat="1" s="34">
      <c r="X183" s="1"/>
    </row>
    <row r="184" customFormat="1" s="34">
      <c r="X184" s="1"/>
    </row>
    <row r="185" customFormat="1" s="34">
      <c r="X185" s="1"/>
    </row>
    <row r="186" customFormat="1" s="34">
      <c r="X186" s="1"/>
    </row>
    <row r="187" customFormat="1" s="34">
      <c r="X187" s="1"/>
    </row>
    <row r="188" customFormat="1" s="34">
      <c r="X188" s="1"/>
    </row>
    <row r="189" customFormat="1" s="34">
      <c r="X189" s="1"/>
    </row>
    <row r="190" customFormat="1" s="34">
      <c r="X190" s="1"/>
    </row>
    <row r="191" customFormat="1" s="34">
      <c r="X191" s="1"/>
    </row>
    <row r="192" customFormat="1" s="34">
      <c r="X192" s="1"/>
    </row>
    <row r="193" customFormat="1" s="34">
      <c r="X193" s="1"/>
    </row>
    <row r="194" customFormat="1" s="34">
      <c r="X194" s="1"/>
    </row>
    <row r="195" customFormat="1" s="34">
      <c r="X195" s="1"/>
    </row>
    <row r="196" customFormat="1" s="34">
      <c r="X196" s="1"/>
    </row>
    <row r="197" customFormat="1" s="34">
      <c r="X197" s="1"/>
    </row>
    <row r="198" customFormat="1" s="34">
      <c r="X198" s="1"/>
    </row>
    <row r="199" customFormat="1" s="34">
      <c r="X199" s="1"/>
    </row>
    <row r="200" customFormat="1" s="34">
      <c r="X200" s="1"/>
    </row>
    <row r="201" customFormat="1" s="34">
      <c r="X201" s="1"/>
    </row>
    <row r="202" customFormat="1" s="34">
      <c r="X202" s="1"/>
    </row>
    <row r="203" customFormat="1" s="34">
      <c r="X203" s="1"/>
    </row>
    <row r="204" customFormat="1" s="34">
      <c r="X204" s="1"/>
    </row>
    <row r="205" customFormat="1" s="34">
      <c r="X205" s="1"/>
    </row>
    <row r="206" customFormat="1" s="34">
      <c r="X206" s="1"/>
    </row>
    <row r="207" customFormat="1" s="34">
      <c r="X207" s="1"/>
    </row>
    <row r="208" customFormat="1" s="34">
      <c r="X208" s="1"/>
    </row>
    <row r="209" customFormat="1" s="34">
      <c r="X209" s="1"/>
    </row>
    <row r="210" customFormat="1" s="34">
      <c r="X210" s="1"/>
    </row>
    <row r="211" customFormat="1" s="34">
      <c r="X211" s="1"/>
    </row>
    <row r="212" customFormat="1" s="34">
      <c r="X212" s="1"/>
    </row>
    <row r="213" customFormat="1" s="34">
      <c r="X213" s="1"/>
    </row>
    <row r="214" customFormat="1" s="34">
      <c r="X214" s="1"/>
    </row>
    <row r="215" customFormat="1" s="34">
      <c r="X215" s="1"/>
    </row>
    <row r="216" customFormat="1" s="34">
      <c r="X216" s="1"/>
    </row>
    <row r="217" customFormat="1" s="34">
      <c r="X217" s="1"/>
    </row>
    <row r="218" customFormat="1" s="34">
      <c r="X218" s="1"/>
    </row>
    <row r="219" customFormat="1" s="34">
      <c r="X219" s="1"/>
    </row>
    <row r="220" customFormat="1" s="34">
      <c r="X220" s="1"/>
    </row>
    <row r="221" customFormat="1" s="34">
      <c r="X221" s="1"/>
    </row>
    <row r="222" customFormat="1" s="34">
      <c r="X222" s="1"/>
    </row>
    <row r="223" customFormat="1" s="34">
      <c r="X223" s="1"/>
    </row>
    <row r="224" customFormat="1" s="34">
      <c r="X224" s="1"/>
    </row>
    <row r="225" customFormat="1" s="34">
      <c r="X225" s="1"/>
    </row>
    <row r="226" customFormat="1" s="34">
      <c r="X226" s="1"/>
    </row>
    <row r="227" customFormat="1" s="34">
      <c r="X227" s="1"/>
    </row>
    <row r="228" customFormat="1" s="34">
      <c r="X228" s="1"/>
    </row>
    <row r="229" customFormat="1" s="34">
      <c r="X229" s="1"/>
    </row>
    <row r="230" customFormat="1" s="34">
      <c r="X230" s="1"/>
    </row>
    <row r="231" customFormat="1" s="34">
      <c r="X231" s="1"/>
    </row>
    <row r="232" customFormat="1" s="34">
      <c r="X232" s="1"/>
    </row>
    <row r="233" customFormat="1" s="34">
      <c r="X233" s="1"/>
    </row>
    <row r="234" customFormat="1" s="34">
      <c r="X234" s="1"/>
    </row>
    <row r="235" customFormat="1" s="34">
      <c r="X235" s="1"/>
    </row>
    <row r="236" customFormat="1" s="34">
      <c r="X236" s="1"/>
    </row>
    <row r="237" customFormat="1" s="34">
      <c r="X237" s="1"/>
    </row>
    <row r="238" customFormat="1" s="34">
      <c r="X238" s="1"/>
    </row>
    <row r="239" customFormat="1" s="34">
      <c r="X239" s="1"/>
    </row>
    <row r="240" customFormat="1" s="34">
      <c r="X240" s="1"/>
    </row>
    <row r="241" customFormat="1" s="34">
      <c r="X241" s="1"/>
    </row>
    <row r="242" customFormat="1" s="34">
      <c r="X242" s="1"/>
    </row>
    <row r="243" customFormat="1" s="34">
      <c r="X243" s="1"/>
    </row>
    <row r="244" customFormat="1" s="34">
      <c r="X244" s="1"/>
    </row>
    <row r="245" customFormat="1" s="34">
      <c r="X245" s="1"/>
    </row>
    <row r="246" customFormat="1" s="34">
      <c r="X246" s="1"/>
    </row>
    <row r="247" customFormat="1" s="34">
      <c r="X247" s="1"/>
    </row>
    <row r="248" customFormat="1" s="34">
      <c r="X248" s="1"/>
    </row>
    <row r="249" customFormat="1" s="34">
      <c r="X249" s="1"/>
    </row>
    <row r="250" customFormat="1" s="34">
      <c r="X250" s="1"/>
    </row>
    <row r="251" customFormat="1" s="34">
      <c r="X251" s="1"/>
    </row>
    <row r="252" customFormat="1" s="34">
      <c r="X252" s="1"/>
    </row>
    <row r="253" customFormat="1" s="34">
      <c r="X253" s="1"/>
    </row>
    <row r="254" customFormat="1" s="34">
      <c r="X254" s="1"/>
    </row>
    <row r="255" customFormat="1" s="34">
      <c r="X255" s="1"/>
    </row>
    <row r="256" customFormat="1" s="34">
      <c r="X256" s="1"/>
    </row>
    <row r="257" customFormat="1" s="34">
      <c r="X257" s="1"/>
    </row>
    <row r="258" customFormat="1" s="34">
      <c r="X258" s="1"/>
    </row>
    <row r="259" customFormat="1" s="34">
      <c r="X259" s="1"/>
    </row>
    <row r="260" customFormat="1" s="34">
      <c r="X260" s="1"/>
    </row>
    <row r="261" customFormat="1" s="34">
      <c r="X261" s="1"/>
    </row>
    <row r="262" customFormat="1" s="34">
      <c r="X262" s="1"/>
    </row>
    <row r="263" customFormat="1" s="34">
      <c r="X263" s="1"/>
    </row>
    <row r="264" customFormat="1" s="34">
      <c r="X264" s="1"/>
    </row>
    <row r="265" customFormat="1" s="34">
      <c r="X265" s="1"/>
    </row>
    <row r="266" customFormat="1" s="34">
      <c r="X266" s="1"/>
    </row>
    <row r="267" customFormat="1" s="34">
      <c r="X267" s="1"/>
    </row>
    <row r="268" customFormat="1" s="34">
      <c r="X268" s="1"/>
    </row>
    <row r="269" customFormat="1" s="34">
      <c r="X269" s="1"/>
    </row>
    <row r="270" customFormat="1" s="34">
      <c r="X270" s="1"/>
    </row>
    <row r="271" customFormat="1" s="34">
      <c r="X271" s="1"/>
    </row>
    <row r="272" customFormat="1" s="34">
      <c r="X272" s="1"/>
    </row>
    <row r="273" customFormat="1" s="34">
      <c r="X273" s="1"/>
    </row>
    <row r="274" customFormat="1" s="34">
      <c r="X274" s="1"/>
    </row>
    <row r="275" customFormat="1" s="34">
      <c r="X275" s="1"/>
    </row>
    <row r="276" customFormat="1" s="34">
      <c r="X276" s="1"/>
    </row>
    <row r="277" customFormat="1" s="34">
      <c r="X277" s="1"/>
    </row>
    <row r="278" customFormat="1" s="34">
      <c r="X278" s="1"/>
    </row>
    <row r="279" customFormat="1" s="34">
      <c r="X279" s="1"/>
    </row>
    <row r="280" customFormat="1" s="34">
      <c r="X280" s="1"/>
    </row>
    <row r="281" customFormat="1" s="34">
      <c r="X281" s="1"/>
    </row>
    <row r="282" customFormat="1" s="34">
      <c r="X282" s="1"/>
    </row>
    <row r="283" customFormat="1" s="34">
      <c r="X283" s="1"/>
    </row>
    <row r="284" customFormat="1" s="34">
      <c r="X284" s="1"/>
    </row>
    <row r="285" customFormat="1" s="34">
      <c r="X285" s="1"/>
    </row>
    <row r="286" customFormat="1" s="34">
      <c r="X286" s="1"/>
    </row>
    <row r="287" customFormat="1" s="34">
      <c r="X287" s="1"/>
    </row>
    <row r="288" customFormat="1" s="34">
      <c r="X288" s="1"/>
    </row>
    <row r="289" customFormat="1" s="34">
      <c r="X289" s="1"/>
    </row>
    <row r="290" customFormat="1" s="34">
      <c r="X290" s="1"/>
    </row>
    <row r="291" customFormat="1" s="34">
      <c r="X291" s="1"/>
    </row>
    <row r="292" customFormat="1" s="34">
      <c r="X292" s="1"/>
    </row>
    <row r="293" customFormat="1" s="34">
      <c r="X293" s="1"/>
    </row>
    <row r="294" customFormat="1" s="34">
      <c r="X294" s="1"/>
    </row>
    <row r="295" customFormat="1" s="34">
      <c r="X295" s="1"/>
    </row>
    <row r="296" customFormat="1" s="34">
      <c r="X296" s="1"/>
    </row>
    <row r="297" customFormat="1" s="34">
      <c r="X297" s="1"/>
    </row>
    <row r="298" customFormat="1" s="34">
      <c r="X298" s="1"/>
    </row>
    <row r="299" customFormat="1" s="34">
      <c r="X299" s="1"/>
    </row>
    <row r="300" customFormat="1" s="34">
      <c r="X300" s="1"/>
    </row>
    <row r="301" customFormat="1" s="34">
      <c r="X301" s="1"/>
    </row>
    <row r="302" customFormat="1" s="34">
      <c r="X302" s="1"/>
    </row>
    <row r="303" customFormat="1" s="34">
      <c r="X303" s="1"/>
    </row>
    <row r="304" customFormat="1" s="34">
      <c r="X304" s="1"/>
    </row>
    <row r="305" customFormat="1" s="34">
      <c r="X305" s="1"/>
    </row>
    <row r="306" customFormat="1" s="34">
      <c r="X306" s="1"/>
    </row>
    <row r="307" customFormat="1" s="34">
      <c r="X307" s="1"/>
    </row>
    <row r="308" customFormat="1" s="34">
      <c r="X308" s="1"/>
    </row>
    <row r="309" customFormat="1" s="34">
      <c r="X309" s="1"/>
    </row>
    <row r="310" customFormat="1" s="34">
      <c r="X310" s="1"/>
    </row>
    <row r="311" customFormat="1" s="34">
      <c r="X311" s="1"/>
    </row>
    <row r="312" customFormat="1" s="34">
      <c r="X312" s="1"/>
    </row>
    <row r="313" customFormat="1" s="34">
      <c r="X313" s="1"/>
    </row>
    <row r="314" customFormat="1" s="34">
      <c r="X314" s="1"/>
    </row>
    <row r="315" customFormat="1" s="34">
      <c r="X315" s="1"/>
    </row>
    <row r="316" customFormat="1" s="34">
      <c r="X316" s="1"/>
    </row>
    <row r="317" customFormat="1" s="34">
      <c r="X317" s="1"/>
    </row>
    <row r="318" customFormat="1" s="34">
      <c r="X318" s="1"/>
    </row>
    <row r="319" customFormat="1" s="34">
      <c r="X319" s="1"/>
    </row>
    <row r="320" customFormat="1" s="34">
      <c r="X320" s="1"/>
    </row>
    <row r="321" customFormat="1" s="34">
      <c r="X321" s="1"/>
    </row>
    <row r="322" customFormat="1" s="34">
      <c r="X322" s="1"/>
    </row>
    <row r="323" customFormat="1" s="34">
      <c r="X323" s="1"/>
    </row>
    <row r="324" customFormat="1" s="34">
      <c r="X324" s="1"/>
    </row>
    <row r="325" customFormat="1" s="34">
      <c r="X325" s="1"/>
    </row>
    <row r="326" customFormat="1" s="34">
      <c r="X326" s="1"/>
    </row>
    <row r="327" customFormat="1" s="34">
      <c r="X327" s="1"/>
    </row>
    <row r="328" customFormat="1" s="34">
      <c r="X328" s="1"/>
    </row>
    <row r="329" customFormat="1" s="34">
      <c r="X329" s="1"/>
    </row>
    <row r="330" customFormat="1" s="34">
      <c r="X330" s="1"/>
    </row>
    <row r="331" customFormat="1" s="34">
      <c r="X331" s="1"/>
    </row>
    <row r="332" customFormat="1" s="34">
      <c r="X332" s="1"/>
    </row>
    <row r="333" customFormat="1" s="34">
      <c r="X333" s="1"/>
    </row>
    <row r="334" customFormat="1" s="34">
      <c r="X334" s="1"/>
    </row>
    <row r="335" customFormat="1" s="34">
      <c r="X335" s="1"/>
    </row>
    <row r="336" customFormat="1" s="34">
      <c r="X336" s="1"/>
    </row>
    <row r="337" customFormat="1" s="34">
      <c r="X337" s="1"/>
    </row>
    <row r="338" customFormat="1" s="34">
      <c r="X338" s="1"/>
    </row>
    <row r="339" customFormat="1" s="34">
      <c r="X339" s="1"/>
    </row>
    <row r="340" customFormat="1" s="34">
      <c r="X340" s="1"/>
    </row>
    <row r="341" customFormat="1" s="34">
      <c r="X341" s="1"/>
    </row>
    <row r="342" customFormat="1" s="34">
      <c r="X342" s="1"/>
    </row>
    <row r="343" customFormat="1" s="34">
      <c r="X343" s="1"/>
    </row>
    <row r="344" customFormat="1" s="34">
      <c r="X344" s="1"/>
    </row>
    <row r="345" customFormat="1" s="34">
      <c r="X345" s="1"/>
    </row>
    <row r="346" customFormat="1" s="34">
      <c r="X346" s="1"/>
    </row>
    <row r="347" customFormat="1" s="34">
      <c r="X347" s="1"/>
    </row>
    <row r="348" customFormat="1" s="34">
      <c r="X348" s="1"/>
    </row>
    <row r="349" customFormat="1" s="34">
      <c r="X349" s="1"/>
    </row>
    <row r="350" customFormat="1" s="34">
      <c r="X350" s="1"/>
    </row>
    <row r="351" customFormat="1" s="34">
      <c r="X351" s="1"/>
    </row>
    <row r="352" customFormat="1" s="34">
      <c r="X352" s="1"/>
    </row>
    <row r="353" customFormat="1" s="34">
      <c r="X353" s="1"/>
    </row>
    <row r="354" customFormat="1" s="34">
      <c r="X354" s="1"/>
    </row>
    <row r="355" customFormat="1" s="34">
      <c r="X355" s="1"/>
    </row>
    <row r="356" customFormat="1" s="34">
      <c r="X356" s="1"/>
    </row>
    <row r="357" customFormat="1" s="34">
      <c r="X357" s="1"/>
    </row>
    <row r="358" customFormat="1" s="34">
      <c r="X358" s="1"/>
    </row>
    <row r="359" customFormat="1" s="34">
      <c r="X359" s="1"/>
    </row>
    <row r="360" customFormat="1" s="34">
      <c r="X360" s="1"/>
    </row>
    <row r="361" customFormat="1" s="34">
      <c r="X361" s="1"/>
    </row>
    <row r="362" customFormat="1" s="34">
      <c r="X362" s="1"/>
    </row>
    <row r="363" customFormat="1" s="34">
      <c r="X363" s="1"/>
    </row>
    <row r="364" customFormat="1" s="34">
      <c r="X364" s="1"/>
    </row>
    <row r="365" customFormat="1" s="34">
      <c r="X365" s="1"/>
    </row>
    <row r="366" customFormat="1" s="34">
      <c r="X366" s="1"/>
    </row>
    <row r="367" customFormat="1" s="34">
      <c r="X367" s="1"/>
    </row>
    <row r="368" customFormat="1" s="34">
      <c r="X368" s="1"/>
    </row>
    <row r="369" customFormat="1" s="34">
      <c r="X369" s="1"/>
    </row>
    <row r="370" customFormat="1" s="34">
      <c r="X370" s="1"/>
    </row>
    <row r="371" customFormat="1" s="34">
      <c r="X371" s="1"/>
    </row>
    <row r="372" customFormat="1" s="34">
      <c r="X372" s="1"/>
    </row>
    <row r="373" customFormat="1" s="34">
      <c r="X373" s="1"/>
    </row>
    <row r="374" customFormat="1" s="34">
      <c r="X374" s="1"/>
    </row>
    <row r="375" customFormat="1" s="34">
      <c r="X375" s="1"/>
    </row>
    <row r="376" customFormat="1" s="34">
      <c r="X376" s="1"/>
    </row>
    <row r="377" customFormat="1" s="34">
      <c r="X377" s="1"/>
    </row>
    <row r="378" customFormat="1" s="34">
      <c r="X378" s="1"/>
    </row>
    <row r="379" customFormat="1" s="34">
      <c r="X379" s="1"/>
    </row>
    <row r="380" customFormat="1" s="34">
      <c r="X380" s="1"/>
    </row>
    <row r="381" customFormat="1" s="34">
      <c r="X381" s="1"/>
    </row>
    <row r="382" customFormat="1" s="34">
      <c r="X382" s="1"/>
    </row>
    <row r="383" customFormat="1" s="34">
      <c r="X383" s="1"/>
    </row>
    <row r="384" customFormat="1" s="34">
      <c r="X384" s="1"/>
    </row>
    <row r="385" customFormat="1" s="34">
      <c r="X385" s="1"/>
    </row>
    <row r="386" customFormat="1" s="34">
      <c r="X386" s="1"/>
    </row>
    <row r="387" customFormat="1" s="34">
      <c r="X387" s="1"/>
    </row>
    <row r="388" customFormat="1" s="34">
      <c r="X388" s="1"/>
    </row>
    <row r="389" customFormat="1" s="34">
      <c r="X389" s="1"/>
    </row>
    <row r="390" customFormat="1" s="34">
      <c r="X390" s="1"/>
    </row>
    <row r="391" customFormat="1" s="34">
      <c r="X391" s="1"/>
    </row>
    <row r="392" customFormat="1" s="34">
      <c r="X392" s="1"/>
    </row>
    <row r="393" customFormat="1" s="34">
      <c r="X393" s="1"/>
    </row>
    <row r="394" customFormat="1" s="34">
      <c r="X394" s="1"/>
    </row>
    <row r="395" customFormat="1" s="34">
      <c r="X395" s="1"/>
    </row>
    <row r="396" customFormat="1" s="34">
      <c r="X396" s="1"/>
    </row>
    <row r="397" customFormat="1" s="34">
      <c r="X397" s="1"/>
    </row>
    <row r="398" customFormat="1" s="34">
      <c r="X398" s="1"/>
    </row>
    <row r="399" customFormat="1" s="34">
      <c r="X399" s="1"/>
    </row>
    <row r="400" customFormat="1" s="34">
      <c r="X400" s="1"/>
    </row>
    <row r="401" customFormat="1" s="34">
      <c r="X401" s="1"/>
    </row>
    <row r="402" customFormat="1" s="34">
      <c r="X402" s="1"/>
    </row>
    <row r="403" customFormat="1" s="34">
      <c r="X403" s="1"/>
    </row>
    <row r="404" customFormat="1" s="34">
      <c r="X404" s="1"/>
    </row>
    <row r="405" customFormat="1" s="34">
      <c r="X405" s="1"/>
    </row>
    <row r="406" customFormat="1" s="34">
      <c r="X406" s="1"/>
    </row>
    <row r="407" customFormat="1" s="34">
      <c r="X407" s="1"/>
    </row>
    <row r="408" customFormat="1" s="34">
      <c r="X408" s="1"/>
    </row>
    <row r="409" customFormat="1" s="34">
      <c r="X409" s="1"/>
    </row>
    <row r="410" customFormat="1" s="34">
      <c r="X410" s="1"/>
    </row>
    <row r="411" customFormat="1" s="34">
      <c r="X411" s="1"/>
    </row>
    <row r="412" customFormat="1" s="34">
      <c r="X412" s="1"/>
    </row>
    <row r="413" customFormat="1" s="34">
      <c r="X413" s="1"/>
    </row>
    <row r="414" customFormat="1" s="34">
      <c r="X414" s="1"/>
    </row>
    <row r="415" customFormat="1" s="34">
      <c r="X415" s="1"/>
    </row>
    <row r="416" customFormat="1" s="34">
      <c r="X416" s="1"/>
    </row>
    <row r="417" customFormat="1" s="34">
      <c r="X417" s="1"/>
    </row>
    <row r="418" customFormat="1" s="34">
      <c r="X418" s="1"/>
    </row>
    <row r="419" customFormat="1" s="34">
      <c r="X419" s="1"/>
    </row>
    <row r="420" customFormat="1" s="34">
      <c r="X420" s="1"/>
    </row>
    <row r="421" customFormat="1" s="34">
      <c r="X421" s="1"/>
    </row>
    <row r="422" customFormat="1" s="34">
      <c r="X422" s="1"/>
    </row>
    <row r="423" customFormat="1" s="34">
      <c r="X423" s="1"/>
    </row>
    <row r="424" customFormat="1" s="34">
      <c r="X424" s="1"/>
    </row>
    <row r="425" customFormat="1" s="34">
      <c r="X425" s="1"/>
    </row>
    <row r="426" customFormat="1" s="34">
      <c r="X426" s="1"/>
    </row>
    <row r="427" customFormat="1" s="34">
      <c r="X427" s="1"/>
    </row>
    <row r="428" customFormat="1" s="34">
      <c r="X428" s="1"/>
    </row>
    <row r="429" customFormat="1" s="34">
      <c r="X429" s="1"/>
    </row>
    <row r="430" customFormat="1" s="34">
      <c r="X430" s="1"/>
    </row>
    <row r="431" customFormat="1" s="34">
      <c r="X431" s="1"/>
    </row>
    <row r="432" customFormat="1" s="34">
      <c r="X432" s="1"/>
    </row>
    <row r="433" customFormat="1" s="34">
      <c r="X433" s="1"/>
    </row>
    <row r="434" customFormat="1" s="34">
      <c r="X434" s="1"/>
    </row>
    <row r="435" customFormat="1" s="34">
      <c r="X435" s="1"/>
    </row>
    <row r="436" customFormat="1" s="34">
      <c r="X436" s="1"/>
    </row>
    <row r="437" customFormat="1" s="34">
      <c r="X437" s="1"/>
    </row>
    <row r="438" customFormat="1" s="34">
      <c r="X438" s="1"/>
    </row>
    <row r="439" customFormat="1" s="34">
      <c r="X439" s="1"/>
    </row>
    <row r="440" customFormat="1" s="34">
      <c r="X440" s="1"/>
    </row>
    <row r="441" customFormat="1" s="34">
      <c r="X441" s="1"/>
    </row>
    <row r="442" customFormat="1" s="34">
      <c r="X442" s="1"/>
    </row>
    <row r="443" customFormat="1" s="34">
      <c r="X443" s="1"/>
    </row>
    <row r="444" customFormat="1" s="34">
      <c r="X444" s="1"/>
    </row>
    <row r="445" customFormat="1" s="34">
      <c r="X445" s="1"/>
    </row>
    <row r="446" customFormat="1" s="34">
      <c r="X446" s="1"/>
    </row>
    <row r="447" customFormat="1" s="34">
      <c r="X447" s="1"/>
    </row>
    <row r="448" customFormat="1" s="34">
      <c r="X448" s="1"/>
    </row>
    <row r="449" customFormat="1" s="34">
      <c r="X449" s="1"/>
    </row>
    <row r="450" customFormat="1" s="34">
      <c r="X450" s="1"/>
    </row>
    <row r="451" customFormat="1" s="34">
      <c r="X451" s="1"/>
    </row>
    <row r="452" customFormat="1" s="34">
      <c r="X452" s="1"/>
    </row>
    <row r="453" customFormat="1" s="34">
      <c r="X453" s="1"/>
    </row>
    <row r="454" customFormat="1" s="34">
      <c r="X454" s="1"/>
    </row>
    <row r="455" customFormat="1" s="34">
      <c r="X455" s="1"/>
    </row>
    <row r="456" customFormat="1" s="34">
      <c r="X456" s="1"/>
    </row>
    <row r="457" customFormat="1" s="34">
      <c r="X457" s="1"/>
    </row>
    <row r="458" customFormat="1" s="34">
      <c r="X458" s="1"/>
    </row>
    <row r="459" customFormat="1" s="34">
      <c r="X459" s="1"/>
    </row>
    <row r="460" customFormat="1" s="34">
      <c r="X460" s="1"/>
    </row>
    <row r="461" customFormat="1" s="34">
      <c r="X461" s="1"/>
    </row>
    <row r="462" customFormat="1" s="34">
      <c r="X462" s="1"/>
    </row>
    <row r="463" customFormat="1" s="34">
      <c r="X463" s="1"/>
    </row>
    <row r="464" customFormat="1" s="34">
      <c r="X464" s="1"/>
    </row>
    <row r="465" customFormat="1" s="34">
      <c r="X465" s="1"/>
    </row>
    <row r="466" customFormat="1" s="34">
      <c r="X466" s="1"/>
    </row>
    <row r="467" customFormat="1" s="34">
      <c r="X467" s="1"/>
    </row>
    <row r="468" customFormat="1" s="34">
      <c r="X468" s="1"/>
    </row>
    <row r="469" customFormat="1" s="34">
      <c r="X469" s="1"/>
    </row>
    <row r="470" customFormat="1" s="34">
      <c r="X470" s="1"/>
    </row>
    <row r="471" customFormat="1" s="34">
      <c r="X471" s="1"/>
    </row>
    <row r="472" customFormat="1" s="34">
      <c r="X472" s="1"/>
    </row>
    <row r="473" customFormat="1" s="34">
      <c r="X473" s="1"/>
    </row>
    <row r="474" customFormat="1" s="34">
      <c r="X474" s="1"/>
    </row>
    <row r="475" customFormat="1" s="34">
      <c r="X475" s="1"/>
    </row>
    <row r="476" customFormat="1" s="34">
      <c r="X476" s="1"/>
    </row>
    <row r="477" customFormat="1" s="34">
      <c r="X477" s="1"/>
    </row>
    <row r="478" customFormat="1" s="34">
      <c r="X478" s="1"/>
    </row>
    <row r="479" customFormat="1" s="34">
      <c r="X479" s="1"/>
    </row>
    <row r="480" customFormat="1" s="34">
      <c r="X480" s="1"/>
    </row>
    <row r="481" customFormat="1" s="34">
      <c r="X481" s="1"/>
    </row>
    <row r="482" customFormat="1" s="34">
      <c r="X482" s="1"/>
    </row>
    <row r="483" customFormat="1" s="34">
      <c r="X483" s="1"/>
    </row>
    <row r="484" customFormat="1" s="34">
      <c r="X484" s="1"/>
    </row>
    <row r="485" customFormat="1" s="34">
      <c r="X485" s="1"/>
    </row>
    <row r="486" customFormat="1" s="34">
      <c r="X486" s="1"/>
    </row>
    <row r="487" customFormat="1" s="34">
      <c r="X487" s="1"/>
    </row>
    <row r="488" customFormat="1" s="34">
      <c r="X488" s="1"/>
    </row>
    <row r="489" customFormat="1" s="34">
      <c r="X489" s="1"/>
    </row>
    <row r="490" customFormat="1" s="34">
      <c r="X490" s="1"/>
    </row>
    <row r="491" customFormat="1" s="34">
      <c r="X491" s="1"/>
    </row>
    <row r="492" customFormat="1" s="34">
      <c r="X492" s="1"/>
    </row>
    <row r="493" customFormat="1" s="34">
      <c r="X493" s="1"/>
    </row>
    <row r="494" customFormat="1" s="34">
      <c r="X494" s="1"/>
    </row>
    <row r="495" customFormat="1" s="34">
      <c r="X495" s="1"/>
    </row>
    <row r="496" customFormat="1" s="34">
      <c r="X496" s="1"/>
    </row>
    <row r="497" customFormat="1" s="34">
      <c r="X497" s="1"/>
    </row>
    <row r="498" customFormat="1" s="34">
      <c r="X498" s="1"/>
    </row>
    <row r="499" customFormat="1" s="34">
      <c r="X499" s="1"/>
    </row>
    <row r="500" customFormat="1" s="34">
      <c r="X500" s="1"/>
    </row>
    <row r="501" customFormat="1" s="34">
      <c r="X501" s="1"/>
    </row>
    <row r="502" customFormat="1" s="34">
      <c r="X502" s="1"/>
    </row>
    <row r="503" customFormat="1" s="34">
      <c r="X503" s="1"/>
    </row>
    <row r="504" customFormat="1" s="34">
      <c r="X504" s="1"/>
    </row>
    <row r="505" customFormat="1" s="34">
      <c r="X505" s="1"/>
    </row>
    <row r="506" customFormat="1" s="34">
      <c r="X506" s="1"/>
    </row>
    <row r="507" customFormat="1" s="34">
      <c r="X507" s="1"/>
    </row>
    <row r="508" customFormat="1" s="34">
      <c r="X508" s="1"/>
    </row>
    <row r="509" customFormat="1" s="34">
      <c r="X509" s="1"/>
    </row>
    <row r="510" customFormat="1" s="34">
      <c r="X510" s="1"/>
    </row>
    <row r="511" customFormat="1" s="34">
      <c r="X511" s="1"/>
    </row>
    <row r="512" customFormat="1" s="34">
      <c r="X512" s="1"/>
    </row>
    <row r="513" customFormat="1" s="34">
      <c r="X513" s="1"/>
    </row>
    <row r="514" customFormat="1" s="34">
      <c r="X514" s="1"/>
    </row>
    <row r="515" customFormat="1" s="34">
      <c r="X515" s="1"/>
    </row>
    <row r="516" customFormat="1" s="34">
      <c r="X516" s="1"/>
    </row>
    <row r="517" customFormat="1" s="34">
      <c r="X517" s="1"/>
    </row>
    <row r="518" customFormat="1" s="34">
      <c r="X518" s="1"/>
    </row>
    <row r="519" customFormat="1" s="34">
      <c r="X519" s="1"/>
    </row>
    <row r="520" customFormat="1" s="34">
      <c r="X520" s="1"/>
    </row>
    <row r="521" customFormat="1" s="34">
      <c r="X521" s="1"/>
    </row>
    <row r="522" customFormat="1" s="34">
      <c r="X522" s="1"/>
    </row>
    <row r="523" customFormat="1" s="34">
      <c r="X523" s="1"/>
    </row>
    <row r="524" customFormat="1" s="34">
      <c r="X524" s="1"/>
    </row>
    <row r="525" customFormat="1" s="34">
      <c r="X525" s="1"/>
    </row>
    <row r="526" customFormat="1" s="34">
      <c r="X526" s="1"/>
    </row>
    <row r="527" customFormat="1" s="34">
      <c r="X527" s="1"/>
    </row>
    <row r="528" customFormat="1" s="34">
      <c r="X528" s="1"/>
    </row>
    <row r="529" customFormat="1" s="34">
      <c r="X529" s="1"/>
    </row>
    <row r="530" customFormat="1" s="34">
      <c r="X530" s="1"/>
    </row>
    <row r="531" customFormat="1" s="34">
      <c r="X531" s="1"/>
    </row>
    <row r="532" customFormat="1" s="34">
      <c r="X532" s="1"/>
    </row>
    <row r="533" customFormat="1" s="34">
      <c r="X533" s="1"/>
    </row>
    <row r="534" customFormat="1" s="34">
      <c r="X534" s="1"/>
    </row>
    <row r="535" customFormat="1" s="34">
      <c r="X535" s="1"/>
    </row>
    <row r="536" customFormat="1" s="34">
      <c r="X536" s="1"/>
    </row>
    <row r="537" customFormat="1" s="34">
      <c r="X537" s="1"/>
    </row>
    <row r="538" customFormat="1" s="34">
      <c r="X538" s="1"/>
    </row>
    <row r="539" customFormat="1" s="34">
      <c r="X539" s="1"/>
    </row>
    <row r="540" customFormat="1" s="34">
      <c r="X540" s="1"/>
    </row>
    <row r="541" customFormat="1" s="34">
      <c r="X541" s="1"/>
    </row>
    <row r="542" customFormat="1" s="34">
      <c r="X542" s="1"/>
    </row>
    <row r="543" customFormat="1" s="34">
      <c r="X543" s="1"/>
    </row>
    <row r="544" customFormat="1" s="34">
      <c r="X544" s="1"/>
    </row>
    <row r="545" customFormat="1" s="34">
      <c r="X545" s="1"/>
    </row>
    <row r="546" customFormat="1" s="34">
      <c r="X546" s="1"/>
    </row>
    <row r="547" customFormat="1" s="34">
      <c r="X547" s="1"/>
    </row>
    <row r="548" customFormat="1" s="34">
      <c r="X548" s="1"/>
    </row>
    <row r="549" customFormat="1" s="34">
      <c r="X549" s="1"/>
    </row>
    <row r="550" customFormat="1" s="34">
      <c r="X550" s="1"/>
    </row>
    <row r="551" customFormat="1" s="34">
      <c r="X551" s="1"/>
    </row>
    <row r="552" customFormat="1" s="34">
      <c r="X552" s="1"/>
    </row>
    <row r="553" customFormat="1" s="34">
      <c r="X553" s="1"/>
    </row>
    <row r="554" customFormat="1" s="34">
      <c r="X554" s="1"/>
    </row>
    <row r="555" customFormat="1" s="34">
      <c r="X555" s="1"/>
    </row>
    <row r="556" customFormat="1" s="34">
      <c r="X556" s="1"/>
    </row>
    <row r="557" customFormat="1" s="34">
      <c r="X557" s="1"/>
    </row>
    <row r="558" customFormat="1" s="34">
      <c r="X558" s="1"/>
    </row>
    <row r="559" customFormat="1" s="34">
      <c r="X559" s="1"/>
    </row>
    <row r="560" customFormat="1" s="34">
      <c r="X560" s="1"/>
    </row>
    <row r="561" customFormat="1" s="34">
      <c r="X561" s="1"/>
    </row>
    <row r="562" customFormat="1" s="34">
      <c r="X562" s="1"/>
    </row>
    <row r="563" customFormat="1" s="34">
      <c r="X563" s="1"/>
    </row>
    <row r="564" customFormat="1" s="34">
      <c r="X564" s="1"/>
    </row>
    <row r="565" customFormat="1" s="34">
      <c r="X565" s="1"/>
    </row>
    <row r="566" customFormat="1" s="34">
      <c r="X566" s="1"/>
    </row>
    <row r="567" customFormat="1" s="34">
      <c r="X567" s="1"/>
    </row>
    <row r="568" customFormat="1" s="34">
      <c r="X568" s="1"/>
    </row>
    <row r="569" customFormat="1" s="34">
      <c r="X569" s="1"/>
    </row>
    <row r="570" customFormat="1" s="34">
      <c r="X570" s="1"/>
    </row>
    <row r="571" customFormat="1" s="34">
      <c r="X571" s="1"/>
    </row>
    <row r="572" customFormat="1" s="34">
      <c r="X572" s="1"/>
    </row>
    <row r="573" customFormat="1" s="34">
      <c r="X573" s="1"/>
    </row>
    <row r="574" customFormat="1" s="34">
      <c r="X574" s="1"/>
    </row>
    <row r="575" customFormat="1" s="34">
      <c r="X575" s="1"/>
    </row>
    <row r="576" customFormat="1" s="34">
      <c r="X576" s="1"/>
    </row>
    <row r="577" customFormat="1" s="34">
      <c r="X577" s="1"/>
    </row>
    <row r="578" customFormat="1" s="34">
      <c r="X578" s="1"/>
    </row>
    <row r="579" customFormat="1" s="34">
      <c r="X579" s="1"/>
    </row>
    <row r="580" customFormat="1" s="34">
      <c r="X580" s="1"/>
    </row>
    <row r="581" customFormat="1" s="34">
      <c r="X581" s="1"/>
    </row>
    <row r="582" customFormat="1" s="34">
      <c r="X582" s="1"/>
    </row>
    <row r="583" customFormat="1" s="34">
      <c r="X583" s="1"/>
    </row>
    <row r="584" customFormat="1" s="34">
      <c r="X584" s="1"/>
    </row>
    <row r="585" customFormat="1" s="34">
      <c r="X585" s="1"/>
    </row>
    <row r="586" customFormat="1" s="34">
      <c r="X586" s="1"/>
    </row>
    <row r="587" customFormat="1" s="34">
      <c r="X587" s="1"/>
    </row>
    <row r="588" customFormat="1" s="34">
      <c r="X588" s="1"/>
    </row>
    <row r="589" customFormat="1" s="34">
      <c r="X589" s="1"/>
    </row>
    <row r="590" customFormat="1" s="34">
      <c r="X590" s="1"/>
    </row>
    <row r="591" customFormat="1" s="34">
      <c r="X591" s="1"/>
    </row>
    <row r="592" customFormat="1" s="34">
      <c r="X592" s="1"/>
    </row>
    <row r="593" customFormat="1" s="34">
      <c r="X593" s="1"/>
    </row>
    <row r="594" customFormat="1" s="34">
      <c r="X594" s="1"/>
    </row>
    <row r="595" customFormat="1" s="34">
      <c r="X595" s="1"/>
    </row>
    <row r="596" customFormat="1" s="34">
      <c r="X596" s="1"/>
    </row>
    <row r="597" customFormat="1" s="34">
      <c r="X597" s="1"/>
    </row>
    <row r="598" customFormat="1" s="34">
      <c r="X598" s="1"/>
    </row>
    <row r="599" customFormat="1" s="34">
      <c r="X599" s="1"/>
    </row>
    <row r="600" customFormat="1" s="34">
      <c r="X600" s="1"/>
    </row>
    <row r="601" customFormat="1" s="34">
      <c r="X601" s="1"/>
    </row>
    <row r="602" customFormat="1" s="34">
      <c r="X602" s="1"/>
    </row>
    <row r="603" customFormat="1" s="34">
      <c r="X603" s="1"/>
    </row>
    <row r="604" customFormat="1" s="34">
      <c r="X604" s="1"/>
    </row>
    <row r="605" customFormat="1" s="34">
      <c r="X605" s="1"/>
    </row>
    <row r="606" customFormat="1" s="34">
      <c r="X606" s="1"/>
    </row>
    <row r="607" customFormat="1" s="34">
      <c r="X607" s="1"/>
    </row>
    <row r="608" customFormat="1" s="34">
      <c r="X608" s="1"/>
    </row>
    <row r="609" customFormat="1" s="34">
      <c r="X609" s="1"/>
    </row>
    <row r="610" customFormat="1" s="34">
      <c r="X610" s="1"/>
    </row>
    <row r="611" customFormat="1" s="34">
      <c r="X611" s="1"/>
    </row>
    <row r="612" customFormat="1" s="34">
      <c r="X612" s="1"/>
    </row>
    <row r="613" customFormat="1" s="34">
      <c r="X613" s="1"/>
    </row>
    <row r="614" customFormat="1" s="34">
      <c r="X614" s="1"/>
    </row>
    <row r="615" customFormat="1" s="34">
      <c r="X615" s="1"/>
    </row>
    <row r="616" customFormat="1" s="34">
      <c r="X616" s="1"/>
    </row>
    <row r="617" customFormat="1" s="34">
      <c r="X617" s="1"/>
    </row>
    <row r="618" customFormat="1" s="34">
      <c r="X618" s="1"/>
    </row>
    <row r="619" customFormat="1" s="34">
      <c r="X619" s="1"/>
    </row>
    <row r="620" customFormat="1" s="34">
      <c r="X620" s="1"/>
    </row>
    <row r="621" customFormat="1" s="34">
      <c r="X621" s="1"/>
    </row>
    <row r="622" customFormat="1" s="34">
      <c r="X622" s="1"/>
    </row>
    <row r="623" customFormat="1" s="34">
      <c r="X623" s="1"/>
    </row>
    <row r="624" customFormat="1" s="34">
      <c r="X624" s="1"/>
    </row>
    <row r="625" customFormat="1" s="34">
      <c r="X625" s="1"/>
    </row>
    <row r="626" customFormat="1" s="34">
      <c r="X626" s="1"/>
    </row>
    <row r="627" customFormat="1" s="34">
      <c r="X627" s="1"/>
    </row>
    <row r="628" customFormat="1" s="34">
      <c r="X628" s="1"/>
    </row>
    <row r="629" customFormat="1" s="34">
      <c r="X629" s="1"/>
    </row>
    <row r="630" customFormat="1" s="34">
      <c r="X630" s="1"/>
    </row>
    <row r="631" customFormat="1" s="34">
      <c r="X631" s="1"/>
    </row>
    <row r="632" customFormat="1" s="34">
      <c r="X632" s="1"/>
    </row>
    <row r="633" customFormat="1" s="34">
      <c r="X633" s="1"/>
    </row>
    <row r="634" customFormat="1" s="34">
      <c r="X634" s="1"/>
    </row>
    <row r="635" customFormat="1" s="34">
      <c r="X635" s="1"/>
    </row>
    <row r="636" customFormat="1" s="34">
      <c r="X636" s="1"/>
    </row>
    <row r="637" customFormat="1" s="34">
      <c r="X637" s="1"/>
    </row>
    <row r="638" customFormat="1" s="34">
      <c r="X638" s="1"/>
    </row>
    <row r="639" customFormat="1" s="34">
      <c r="X639" s="1"/>
    </row>
    <row r="640" customFormat="1" s="34">
      <c r="X640" s="1"/>
    </row>
    <row r="641" customFormat="1" s="34">
      <c r="X641" s="1"/>
    </row>
    <row r="642" customFormat="1" s="34">
      <c r="X642" s="1"/>
    </row>
    <row r="643" customFormat="1" s="34">
      <c r="X643" s="1"/>
    </row>
    <row r="644" customFormat="1" s="34">
      <c r="X644" s="1"/>
    </row>
    <row r="645" customFormat="1" s="34">
      <c r="X645" s="1"/>
    </row>
    <row r="646" customFormat="1" s="34">
      <c r="X646" s="1"/>
    </row>
    <row r="647" customFormat="1" s="34">
      <c r="X647" s="1"/>
    </row>
    <row r="648" customFormat="1" s="34">
      <c r="X648" s="1"/>
    </row>
    <row r="649" customFormat="1" s="34">
      <c r="X649" s="1"/>
    </row>
    <row r="650" customFormat="1" s="34">
      <c r="X650" s="1"/>
    </row>
    <row r="651" customFormat="1" s="34">
      <c r="X651" s="1"/>
    </row>
    <row r="652" customFormat="1" s="34">
      <c r="X652" s="1"/>
    </row>
    <row r="653" customFormat="1" s="34">
      <c r="X653" s="1"/>
    </row>
    <row r="654" customFormat="1" s="34">
      <c r="X654" s="1"/>
    </row>
    <row r="655" customFormat="1" s="34">
      <c r="X655" s="1"/>
    </row>
    <row r="656" customFormat="1" s="34">
      <c r="X656" s="1"/>
    </row>
    <row r="657" customFormat="1" s="34">
      <c r="X657" s="1"/>
    </row>
    <row r="658" customFormat="1" s="34">
      <c r="X658" s="1"/>
    </row>
    <row r="659" customFormat="1" s="34">
      <c r="X659" s="1"/>
    </row>
    <row r="660" customFormat="1" s="34">
      <c r="X660" s="1"/>
    </row>
    <row r="661" customFormat="1" s="34">
      <c r="X661" s="1"/>
    </row>
    <row r="662" customFormat="1" s="34">
      <c r="X662" s="1"/>
    </row>
    <row r="663" customFormat="1" s="34">
      <c r="X663" s="1"/>
    </row>
    <row r="664" customFormat="1" s="34">
      <c r="X664" s="1"/>
    </row>
    <row r="665" customFormat="1" s="34">
      <c r="X665" s="1"/>
    </row>
    <row r="666" customFormat="1" s="34">
      <c r="X666" s="1"/>
    </row>
    <row r="667" customFormat="1" s="34">
      <c r="X667" s="1"/>
    </row>
    <row r="668" customFormat="1" s="34">
      <c r="X668" s="1"/>
    </row>
    <row r="669" customFormat="1" s="34">
      <c r="X669" s="1"/>
    </row>
    <row r="670" customFormat="1" s="34">
      <c r="X670" s="1"/>
    </row>
    <row r="671" customFormat="1" s="34">
      <c r="X671" s="1"/>
    </row>
    <row r="672" customFormat="1" s="34">
      <c r="X672" s="1"/>
    </row>
    <row r="673" customFormat="1" s="34">
      <c r="X673" s="1"/>
    </row>
    <row r="674" customFormat="1" s="34">
      <c r="X674" s="1"/>
    </row>
    <row r="675" customFormat="1" s="34">
      <c r="X675" s="1"/>
    </row>
    <row r="676" customFormat="1" s="34">
      <c r="X676" s="1"/>
    </row>
    <row r="677" customFormat="1" s="34">
      <c r="X677" s="1"/>
    </row>
    <row r="678" customFormat="1" s="34">
      <c r="X678" s="1"/>
    </row>
    <row r="679" customFormat="1" s="34">
      <c r="X679" s="1"/>
    </row>
    <row r="680" customFormat="1" s="34">
      <c r="X680" s="1"/>
    </row>
    <row r="681" customFormat="1" s="34">
      <c r="X681" s="1"/>
    </row>
    <row r="682" customFormat="1" s="34">
      <c r="X682" s="1"/>
    </row>
    <row r="683" customFormat="1" s="34">
      <c r="X683" s="1"/>
    </row>
    <row r="684" customFormat="1" s="34">
      <c r="X684" s="1"/>
    </row>
    <row r="685" customFormat="1" s="34">
      <c r="X685" s="1"/>
    </row>
    <row r="686" customFormat="1" s="34">
      <c r="X686" s="1"/>
    </row>
    <row r="687" customFormat="1" s="34">
      <c r="X687" s="1"/>
    </row>
    <row r="688" customFormat="1" s="34">
      <c r="X688" s="1"/>
    </row>
    <row r="689" customFormat="1" s="34">
      <c r="X689" s="1"/>
    </row>
    <row r="690" customFormat="1" s="34">
      <c r="X690" s="1"/>
    </row>
    <row r="691" customFormat="1" s="34">
      <c r="X691" s="1"/>
    </row>
    <row r="692" customFormat="1" s="34">
      <c r="X692" s="1"/>
    </row>
    <row r="693" customFormat="1" s="34">
      <c r="X693" s="1"/>
    </row>
    <row r="694" customFormat="1" s="34">
      <c r="X694" s="1"/>
    </row>
    <row r="695" customFormat="1" s="34">
      <c r="X695" s="1"/>
    </row>
    <row r="696" customFormat="1" s="34">
      <c r="X696" s="1"/>
    </row>
    <row r="697" customFormat="1" s="34">
      <c r="X697" s="1"/>
    </row>
    <row r="698" customFormat="1" s="34">
      <c r="X698" s="1"/>
    </row>
    <row r="699" customFormat="1" s="34">
      <c r="X699" s="1"/>
    </row>
    <row r="700" customFormat="1" s="34">
      <c r="X700" s="1"/>
    </row>
    <row r="701" customFormat="1" s="34">
      <c r="X701" s="1"/>
    </row>
    <row r="702" customFormat="1" s="34">
      <c r="X702" s="1"/>
    </row>
    <row r="703" customFormat="1" s="34">
      <c r="X703" s="1"/>
    </row>
    <row r="704" customFormat="1" s="34">
      <c r="X704" s="1"/>
    </row>
    <row r="705" customFormat="1" s="34">
      <c r="X705" s="1"/>
    </row>
    <row r="706" customFormat="1" s="34">
      <c r="X706" s="1"/>
    </row>
    <row r="707" customFormat="1" s="34">
      <c r="X707" s="1"/>
    </row>
    <row r="708" customFormat="1" s="34">
      <c r="X708" s="1"/>
    </row>
    <row r="709" customFormat="1" s="34">
      <c r="X709" s="1"/>
    </row>
    <row r="710" customFormat="1" s="34">
      <c r="X710" s="1"/>
    </row>
    <row r="711" customFormat="1" s="34">
      <c r="X711" s="1"/>
    </row>
    <row r="712" customFormat="1" s="34">
      <c r="X712" s="1"/>
    </row>
    <row r="713" customFormat="1" s="34">
      <c r="X713" s="1"/>
    </row>
    <row r="714" customFormat="1" s="34">
      <c r="X714" s="1"/>
    </row>
    <row r="715" customFormat="1" s="34">
      <c r="X715" s="1"/>
    </row>
    <row r="716" customFormat="1" s="34">
      <c r="X716" s="1"/>
    </row>
    <row r="717" customFormat="1" s="34">
      <c r="X717" s="1"/>
    </row>
    <row r="718" customFormat="1" s="34">
      <c r="X718" s="1"/>
    </row>
    <row r="719" customFormat="1" s="34">
      <c r="X719" s="1"/>
    </row>
    <row r="720" customFormat="1" s="34">
      <c r="X720" s="1"/>
    </row>
    <row r="721" customFormat="1" s="34">
      <c r="X721" s="1"/>
    </row>
    <row r="722" customFormat="1" s="34">
      <c r="X722" s="1"/>
    </row>
    <row r="723" customFormat="1" s="34">
      <c r="X723" s="1"/>
    </row>
    <row r="724" customFormat="1" s="34">
      <c r="X724" s="1"/>
    </row>
    <row r="725" customFormat="1" s="34">
      <c r="X725" s="1"/>
    </row>
    <row r="726" customFormat="1" s="34">
      <c r="X726" s="1"/>
    </row>
    <row r="727" customFormat="1" s="34">
      <c r="X727" s="1"/>
    </row>
    <row r="728" customFormat="1" s="34">
      <c r="X728" s="1"/>
    </row>
    <row r="729" customFormat="1" s="34">
      <c r="X729" s="1"/>
    </row>
    <row r="730" customFormat="1" s="34">
      <c r="X730" s="1"/>
    </row>
    <row r="731" customFormat="1" s="34">
      <c r="X731" s="1"/>
    </row>
    <row r="732" customFormat="1" s="34">
      <c r="X732" s="1"/>
    </row>
    <row r="733" customFormat="1" s="34">
      <c r="X733" s="1"/>
    </row>
    <row r="734" customFormat="1" s="34">
      <c r="X734" s="1"/>
    </row>
    <row r="735" customFormat="1" s="34">
      <c r="X735" s="1"/>
    </row>
    <row r="736" customFormat="1" s="34">
      <c r="X736" s="1"/>
    </row>
    <row r="737" customFormat="1" s="34">
      <c r="X737" s="1"/>
    </row>
    <row r="738" customFormat="1" s="34">
      <c r="X738" s="1"/>
    </row>
    <row r="739" customFormat="1" s="34">
      <c r="X739" s="1"/>
    </row>
    <row r="740" customFormat="1" s="34">
      <c r="X740" s="1"/>
    </row>
    <row r="741" customFormat="1" s="34">
      <c r="X741" s="1"/>
    </row>
    <row r="742" customFormat="1" s="34">
      <c r="X742" s="1"/>
    </row>
    <row r="743" customFormat="1" s="34">
      <c r="X743" s="1"/>
    </row>
    <row r="744" customFormat="1" s="34">
      <c r="X744" s="1"/>
    </row>
    <row r="745" customFormat="1" s="34">
      <c r="X745" s="1"/>
    </row>
    <row r="746" customFormat="1" s="34">
      <c r="X746" s="1"/>
    </row>
    <row r="747" customFormat="1" s="34">
      <c r="X747" s="1"/>
    </row>
    <row r="748" customFormat="1" s="34">
      <c r="X748" s="1"/>
    </row>
    <row r="749" customFormat="1" s="34">
      <c r="X749" s="1"/>
    </row>
    <row r="750" customFormat="1" s="34">
      <c r="X750" s="1"/>
    </row>
    <row r="751" customFormat="1" s="34">
      <c r="X751" s="1"/>
    </row>
    <row r="752" customFormat="1" s="34">
      <c r="X752" s="1"/>
    </row>
    <row r="753" customFormat="1" s="34">
      <c r="X753" s="1"/>
    </row>
    <row r="754" customFormat="1" s="34">
      <c r="X754" s="1"/>
    </row>
    <row r="755" customFormat="1" s="34">
      <c r="X755" s="1"/>
    </row>
    <row r="756" customFormat="1" s="34">
      <c r="X756" s="1"/>
    </row>
    <row r="757" customFormat="1" s="34">
      <c r="X757" s="1"/>
    </row>
    <row r="758" customFormat="1" s="34">
      <c r="X758" s="1"/>
    </row>
    <row r="759" customFormat="1" s="34">
      <c r="X759" s="1"/>
    </row>
    <row r="760" customFormat="1" s="34">
      <c r="X760" s="1"/>
    </row>
    <row r="761" customFormat="1" s="34">
      <c r="X761" s="1"/>
    </row>
    <row r="762" customFormat="1" s="34">
      <c r="X762" s="1"/>
    </row>
    <row r="763" customFormat="1" s="34">
      <c r="X763" s="1"/>
    </row>
    <row r="764" customFormat="1" s="34">
      <c r="X764" s="1"/>
    </row>
    <row r="765" customFormat="1" s="34">
      <c r="X765" s="1"/>
    </row>
    <row r="766" customFormat="1" s="34">
      <c r="X766" s="1"/>
    </row>
    <row r="767" customFormat="1" s="34">
      <c r="X767" s="1"/>
    </row>
    <row r="768" customFormat="1" s="34">
      <c r="X768" s="1"/>
    </row>
    <row r="769" customFormat="1" s="34">
      <c r="X769" s="1"/>
    </row>
    <row r="770" customFormat="1" s="34">
      <c r="X770" s="1"/>
    </row>
    <row r="771" customFormat="1" s="34">
      <c r="X771" s="1"/>
    </row>
    <row r="772" customFormat="1" s="34">
      <c r="X772" s="1"/>
    </row>
    <row r="773" customFormat="1" s="34">
      <c r="X773" s="1"/>
    </row>
    <row r="774" customFormat="1" s="34">
      <c r="X774" s="1"/>
    </row>
    <row r="775" customFormat="1" s="34">
      <c r="X775" s="1"/>
    </row>
    <row r="776" customFormat="1" s="34">
      <c r="X776" s="1"/>
    </row>
    <row r="777" customFormat="1" s="34">
      <c r="X777" s="1"/>
    </row>
    <row r="778" customFormat="1" s="34">
      <c r="X778" s="1"/>
    </row>
    <row r="779" customFormat="1" s="34">
      <c r="X779" s="1"/>
    </row>
    <row r="780" customFormat="1" s="34">
      <c r="X780" s="1"/>
    </row>
    <row r="781" customFormat="1" s="34">
      <c r="X781" s="1"/>
    </row>
    <row r="782" customFormat="1" s="34">
      <c r="X782" s="1"/>
    </row>
    <row r="783" customFormat="1" s="34">
      <c r="X783" s="1"/>
    </row>
    <row r="784" customFormat="1" s="34">
      <c r="X784" s="1"/>
    </row>
    <row r="785" customFormat="1" s="34">
      <c r="X785" s="1"/>
    </row>
    <row r="786" customFormat="1" s="34">
      <c r="X786" s="1"/>
    </row>
    <row r="787" customFormat="1" s="34">
      <c r="X787" s="1"/>
    </row>
    <row r="788" customFormat="1" s="34">
      <c r="X788" s="1"/>
    </row>
    <row r="789" customFormat="1" s="34">
      <c r="X789" s="1"/>
    </row>
    <row r="790" customFormat="1" s="34">
      <c r="X790" s="1"/>
    </row>
    <row r="791" customFormat="1" s="34">
      <c r="X791" s="1"/>
    </row>
    <row r="792" customFormat="1" s="34">
      <c r="X792" s="1"/>
    </row>
    <row r="793" customFormat="1" s="34">
      <c r="X793" s="1"/>
    </row>
    <row r="794" customFormat="1" s="34">
      <c r="X794" s="1"/>
    </row>
    <row r="795" customFormat="1" s="34">
      <c r="X795" s="1"/>
    </row>
    <row r="796" customFormat="1" s="34">
      <c r="X796" s="1"/>
    </row>
    <row r="797" customFormat="1" s="34">
      <c r="X797" s="1"/>
    </row>
    <row r="798" customFormat="1" s="34">
      <c r="X798" s="1"/>
    </row>
    <row r="799" customFormat="1" s="34">
      <c r="X799" s="1"/>
    </row>
    <row r="800" customFormat="1" s="34">
      <c r="X800" s="1"/>
    </row>
    <row r="801" customFormat="1" s="34">
      <c r="X801" s="1"/>
    </row>
    <row r="802" customFormat="1" s="34">
      <c r="X802" s="1"/>
    </row>
    <row r="803" customFormat="1" s="34">
      <c r="X803" s="1"/>
    </row>
    <row r="804" customFormat="1" s="34">
      <c r="X804" s="1"/>
    </row>
    <row r="805" customFormat="1" s="34">
      <c r="X805" s="1"/>
    </row>
    <row r="806" customFormat="1" s="34">
      <c r="X806" s="1"/>
    </row>
    <row r="807" customFormat="1" s="34">
      <c r="X807" s="1"/>
    </row>
    <row r="808" customFormat="1" s="34">
      <c r="X808" s="1"/>
    </row>
    <row r="809" customFormat="1" s="34">
      <c r="X809" s="1"/>
    </row>
    <row r="810" customFormat="1" s="34">
      <c r="X810" s="1"/>
    </row>
    <row r="811" customFormat="1" s="34">
      <c r="X811" s="1"/>
    </row>
    <row r="812" customFormat="1" s="34">
      <c r="X812" s="1"/>
    </row>
    <row r="813" customFormat="1" s="34">
      <c r="X813" s="1"/>
    </row>
    <row r="814" customFormat="1" s="34">
      <c r="X814" s="1"/>
    </row>
    <row r="815" customFormat="1" s="34">
      <c r="X815" s="1"/>
    </row>
    <row r="816" customFormat="1" s="34">
      <c r="X816" s="1"/>
    </row>
    <row r="817" customFormat="1" s="34">
      <c r="X817" s="1"/>
    </row>
    <row r="818" customFormat="1" s="34">
      <c r="X818" s="1"/>
    </row>
    <row r="819" customFormat="1" s="34">
      <c r="X819" s="1"/>
    </row>
    <row r="820" customFormat="1" s="34">
      <c r="X820" s="1"/>
    </row>
    <row r="821" customFormat="1" s="34">
      <c r="X821" s="1"/>
    </row>
    <row r="822" customFormat="1" s="34">
      <c r="X822" s="1"/>
    </row>
    <row r="823" customFormat="1" s="34">
      <c r="X823" s="1"/>
    </row>
    <row r="824" customFormat="1" s="34">
      <c r="X824" s="1"/>
    </row>
    <row r="825" customFormat="1" s="34">
      <c r="X825" s="1"/>
    </row>
    <row r="826" customFormat="1" s="34">
      <c r="X826" s="1"/>
    </row>
    <row r="827" customFormat="1" s="34">
      <c r="X827" s="1"/>
    </row>
    <row r="828" customFormat="1" s="34">
      <c r="X828" s="1"/>
    </row>
    <row r="829" customFormat="1" s="34">
      <c r="X829" s="1"/>
    </row>
    <row r="830" customFormat="1" s="34">
      <c r="X830" s="1"/>
    </row>
    <row r="831" customFormat="1" s="34">
      <c r="X831" s="1"/>
    </row>
    <row r="832" customFormat="1" s="34">
      <c r="X832" s="1"/>
    </row>
    <row r="833" customFormat="1" s="34">
      <c r="X833" s="1"/>
    </row>
    <row r="834" customFormat="1" s="34">
      <c r="X834" s="1"/>
    </row>
    <row r="835" customFormat="1" s="34">
      <c r="X835" s="1"/>
    </row>
    <row r="836" customFormat="1" s="34">
      <c r="X836" s="1"/>
    </row>
    <row r="837" customFormat="1" s="34">
      <c r="X837" s="1"/>
    </row>
    <row r="838" customFormat="1" s="34">
      <c r="X838" s="1"/>
    </row>
    <row r="839" customFormat="1" s="34">
      <c r="X839" s="1"/>
    </row>
    <row r="840" customFormat="1" s="34">
      <c r="X840" s="1"/>
    </row>
    <row r="841" customFormat="1" s="34">
      <c r="X841" s="1"/>
    </row>
    <row r="842" customFormat="1" s="34">
      <c r="X842" s="1"/>
    </row>
    <row r="843" customFormat="1" s="34">
      <c r="X843" s="1"/>
    </row>
    <row r="844" customFormat="1" s="34">
      <c r="X844" s="1"/>
    </row>
    <row r="845" customFormat="1" s="34">
      <c r="X845" s="1"/>
    </row>
    <row r="846" customFormat="1" s="34">
      <c r="X846" s="1"/>
    </row>
    <row r="847" customFormat="1" s="34">
      <c r="X847" s="1"/>
    </row>
    <row r="848" customFormat="1" s="34">
      <c r="X848" s="1"/>
    </row>
    <row r="849" customFormat="1" s="34">
      <c r="X849" s="1"/>
    </row>
    <row r="850" customFormat="1" s="34">
      <c r="X850" s="1"/>
    </row>
    <row r="851" customFormat="1" s="34">
      <c r="X851" s="1"/>
    </row>
    <row r="852" customFormat="1" s="34">
      <c r="X852" s="1"/>
    </row>
    <row r="853" customFormat="1" s="34">
      <c r="X853" s="1"/>
    </row>
    <row r="854" customFormat="1" s="34">
      <c r="X854" s="1"/>
    </row>
    <row r="855" customFormat="1" s="34">
      <c r="X855" s="1"/>
    </row>
    <row r="856" customFormat="1" s="34">
      <c r="X856" s="1"/>
    </row>
    <row r="857" customFormat="1" s="34">
      <c r="X857" s="1"/>
    </row>
    <row r="858" customFormat="1" s="34">
      <c r="X858" s="1"/>
    </row>
    <row r="859" customFormat="1" s="34">
      <c r="X859" s="1"/>
    </row>
    <row r="860" customFormat="1" s="34">
      <c r="X860" s="1"/>
    </row>
    <row r="861" customFormat="1" s="34">
      <c r="X861" s="1"/>
    </row>
    <row r="862" customFormat="1" s="34">
      <c r="X862" s="1"/>
    </row>
    <row r="863" customFormat="1" s="34">
      <c r="X863" s="1"/>
    </row>
    <row r="864" customFormat="1" s="34">
      <c r="X864" s="1"/>
    </row>
    <row r="865" customFormat="1" s="34">
      <c r="X865" s="1"/>
    </row>
    <row r="866" customFormat="1" s="34">
      <c r="X866" s="1"/>
    </row>
    <row r="867" customFormat="1" s="34">
      <c r="X867" s="1"/>
    </row>
    <row r="868" customFormat="1" s="34">
      <c r="X868" s="1"/>
    </row>
    <row r="869" customFormat="1" s="34">
      <c r="X869" s="1"/>
    </row>
    <row r="870" customFormat="1" s="34">
      <c r="X870" s="1"/>
    </row>
    <row r="871" customFormat="1" s="34">
      <c r="X871" s="1"/>
    </row>
    <row r="872" customFormat="1" s="34">
      <c r="X872" s="1"/>
    </row>
    <row r="873" customFormat="1" s="34">
      <c r="X873" s="1"/>
    </row>
    <row r="874" customFormat="1" s="34">
      <c r="X874" s="1"/>
    </row>
    <row r="875" customFormat="1" s="34">
      <c r="X875" s="1"/>
    </row>
    <row r="876" customFormat="1" s="34">
      <c r="X876" s="1"/>
    </row>
    <row r="877" customFormat="1" s="34">
      <c r="X877" s="1"/>
    </row>
    <row r="878" customFormat="1" s="34">
      <c r="X878" s="1"/>
    </row>
    <row r="879" customFormat="1" s="34">
      <c r="X879" s="1"/>
    </row>
    <row r="880" customFormat="1" s="34">
      <c r="X880" s="1"/>
    </row>
    <row r="881" customFormat="1" s="34">
      <c r="X881" s="1"/>
    </row>
    <row r="882" customFormat="1" s="34">
      <c r="X882" s="1"/>
    </row>
    <row r="883" customFormat="1" s="34">
      <c r="X883" s="1"/>
    </row>
    <row r="884" customFormat="1" s="34">
      <c r="X884" s="1"/>
    </row>
    <row r="885" customFormat="1" s="34">
      <c r="X885" s="1"/>
    </row>
    <row r="886" customFormat="1" s="34">
      <c r="X886" s="1"/>
    </row>
    <row r="887" customFormat="1" s="34">
      <c r="X887" s="1"/>
    </row>
    <row r="888" customFormat="1" s="34">
      <c r="X888" s="1"/>
    </row>
    <row r="889" customFormat="1" s="34">
      <c r="X889" s="1"/>
    </row>
    <row r="890" customFormat="1" s="34">
      <c r="X890" s="1"/>
    </row>
    <row r="891" customFormat="1" s="34">
      <c r="X891" s="1"/>
    </row>
    <row r="892" customFormat="1" s="34">
      <c r="X892" s="1"/>
    </row>
    <row r="893" customFormat="1" s="34">
      <c r="X893" s="1"/>
    </row>
    <row r="894" customFormat="1" s="34">
      <c r="X894" s="1"/>
    </row>
    <row r="895" customFormat="1" s="34">
      <c r="X895" s="1"/>
    </row>
    <row r="896" customFormat="1" s="34">
      <c r="X896" s="1"/>
    </row>
    <row r="897" customFormat="1" s="34">
      <c r="X897" s="1"/>
    </row>
    <row r="898" customFormat="1" s="34">
      <c r="X898" s="1"/>
    </row>
    <row r="899" customFormat="1" s="34">
      <c r="X899" s="1"/>
    </row>
    <row r="900" customFormat="1" s="34">
      <c r="X900" s="1"/>
    </row>
    <row r="901" customFormat="1" s="34">
      <c r="X901" s="1"/>
    </row>
    <row r="902" customFormat="1" s="34">
      <c r="X902" s="1"/>
    </row>
    <row r="903" customFormat="1" s="34">
      <c r="X903" s="1"/>
    </row>
    <row r="904" customFormat="1" s="34">
      <c r="X904" s="1"/>
    </row>
    <row r="905" customFormat="1" s="34">
      <c r="X905" s="1"/>
    </row>
    <row r="906" customFormat="1" s="34">
      <c r="X906" s="1"/>
    </row>
    <row r="907" customFormat="1" s="34">
      <c r="X907" s="1"/>
    </row>
    <row r="908" customFormat="1" s="34">
      <c r="X908" s="1"/>
    </row>
    <row r="909" customFormat="1" s="34">
      <c r="X909" s="1"/>
    </row>
    <row r="910" customFormat="1" s="34">
      <c r="X910" s="1"/>
    </row>
    <row r="911" customFormat="1" s="34">
      <c r="X911" s="1"/>
    </row>
    <row r="912" customFormat="1" s="34">
      <c r="X912" s="1"/>
    </row>
    <row r="913" customFormat="1" s="34">
      <c r="X913" s="1"/>
    </row>
    <row r="914" customFormat="1" s="34">
      <c r="X914" s="1"/>
    </row>
    <row r="915" customFormat="1" s="34">
      <c r="X915" s="1"/>
    </row>
    <row r="916" customFormat="1" s="34">
      <c r="X916" s="1"/>
    </row>
    <row r="917" customFormat="1" s="34">
      <c r="X917" s="1"/>
    </row>
    <row r="918" customFormat="1" s="34">
      <c r="X918" s="1"/>
    </row>
    <row r="919" customFormat="1" s="34">
      <c r="X919" s="1"/>
    </row>
    <row r="920" customFormat="1" s="34">
      <c r="X920" s="1"/>
    </row>
    <row r="921" customFormat="1" s="34">
      <c r="X921" s="1"/>
    </row>
    <row r="922" customFormat="1" s="34">
      <c r="X922" s="1"/>
    </row>
    <row r="923" customFormat="1" s="34">
      <c r="X923" s="1"/>
    </row>
    <row r="924" customFormat="1" s="34">
      <c r="X924" s="1"/>
    </row>
    <row r="925" customFormat="1" s="34">
      <c r="X925" s="1"/>
    </row>
    <row r="926" customFormat="1" s="34">
      <c r="X926" s="1"/>
    </row>
    <row r="927" customFormat="1" s="34">
      <c r="X927" s="1"/>
    </row>
    <row r="928" customFormat="1" s="34">
      <c r="X928" s="1"/>
    </row>
    <row r="929" customFormat="1" s="34">
      <c r="X929" s="1"/>
    </row>
    <row r="930" customFormat="1" s="34">
      <c r="X930" s="1"/>
    </row>
    <row r="931" customFormat="1" s="34">
      <c r="X931" s="1"/>
    </row>
    <row r="932" customFormat="1" s="34">
      <c r="X932" s="1"/>
    </row>
    <row r="933" customFormat="1" s="34">
      <c r="X933" s="1"/>
    </row>
    <row r="934" customFormat="1" s="34">
      <c r="X934" s="1"/>
    </row>
    <row r="935" customFormat="1" s="34">
      <c r="X935" s="1"/>
    </row>
    <row r="936" customFormat="1" s="34">
      <c r="X936" s="1"/>
    </row>
    <row r="937" customFormat="1" s="34">
      <c r="X937" s="1"/>
    </row>
    <row r="938" customFormat="1" s="34">
      <c r="X938" s="1"/>
    </row>
    <row r="939" customFormat="1" s="34">
      <c r="X939" s="1"/>
    </row>
    <row r="940" customFormat="1" s="34">
      <c r="X940" s="1"/>
    </row>
    <row r="941" customFormat="1" s="34">
      <c r="X941" s="1"/>
    </row>
    <row r="942" customFormat="1" s="34">
      <c r="X942" s="1"/>
    </row>
    <row r="943" customFormat="1" s="34">
      <c r="X943" s="1"/>
    </row>
    <row r="944" customFormat="1" s="34">
      <c r="X944" s="1"/>
    </row>
    <row r="945" customFormat="1" s="34">
      <c r="X945" s="1"/>
    </row>
    <row r="946" customFormat="1" s="34">
      <c r="X946" s="1"/>
    </row>
    <row r="947" customFormat="1" s="34">
      <c r="X947" s="1"/>
    </row>
    <row r="948" customFormat="1" s="34">
      <c r="X948" s="1"/>
    </row>
    <row r="949" customFormat="1" s="34">
      <c r="X949" s="1"/>
    </row>
    <row r="950" customFormat="1" s="34">
      <c r="X950" s="1"/>
    </row>
    <row r="951" customFormat="1" s="34">
      <c r="X951" s="1"/>
    </row>
    <row r="952" customFormat="1" s="34">
      <c r="X952" s="1"/>
    </row>
    <row r="953" customFormat="1" s="34">
      <c r="X953" s="1"/>
    </row>
    <row r="954" customFormat="1" s="34">
      <c r="X954" s="1"/>
    </row>
    <row r="955" customFormat="1" s="34">
      <c r="X955" s="1"/>
    </row>
    <row r="956" customFormat="1" s="34">
      <c r="X956" s="1"/>
    </row>
    <row r="957" customFormat="1" s="34">
      <c r="X957" s="1"/>
    </row>
    <row r="958" customFormat="1" s="34">
      <c r="X958" s="1"/>
    </row>
    <row r="959" customFormat="1" s="34">
      <c r="X959" s="1"/>
    </row>
    <row r="960" customFormat="1" s="34">
      <c r="X960" s="1"/>
    </row>
    <row r="961" customFormat="1" s="34">
      <c r="X961" s="1"/>
    </row>
    <row r="962" customFormat="1" s="34">
      <c r="X962" s="1"/>
    </row>
    <row r="963" customFormat="1" s="34">
      <c r="X963" s="1"/>
    </row>
    <row r="964" customFormat="1" s="34">
      <c r="X964" s="1"/>
    </row>
    <row r="965" customFormat="1" s="34">
      <c r="X965" s="1"/>
    </row>
    <row r="966" customFormat="1" s="34">
      <c r="X966" s="1"/>
    </row>
    <row r="967" customFormat="1" s="34">
      <c r="X967" s="1"/>
    </row>
    <row r="968" customFormat="1" s="34">
      <c r="X968" s="1"/>
    </row>
    <row r="969" customFormat="1" s="34">
      <c r="X969" s="1"/>
    </row>
    <row r="970" customFormat="1" s="34">
      <c r="X970" s="1"/>
    </row>
    <row r="971" customFormat="1" s="34">
      <c r="X971" s="1"/>
    </row>
    <row r="972" customFormat="1" s="34">
      <c r="X972" s="1"/>
    </row>
    <row r="973" customFormat="1" s="34">
      <c r="X973" s="1"/>
    </row>
    <row r="974" customFormat="1" s="34">
      <c r="X974" s="1"/>
    </row>
    <row r="975" customFormat="1" s="34">
      <c r="X975" s="1"/>
    </row>
    <row r="976" customFormat="1" s="34">
      <c r="X976" s="1"/>
    </row>
    <row r="977" customFormat="1" s="34">
      <c r="X977" s="1"/>
    </row>
    <row r="978" customFormat="1" s="34">
      <c r="X978" s="1"/>
    </row>
    <row r="979" customFormat="1" s="34">
      <c r="X979" s="1"/>
    </row>
    <row r="980" customFormat="1" s="34">
      <c r="X980" s="1"/>
    </row>
    <row r="981" customFormat="1" s="34">
      <c r="X981" s="1"/>
    </row>
    <row r="982" customFormat="1" s="34">
      <c r="X982" s="1"/>
    </row>
    <row r="983" customFormat="1" s="34">
      <c r="X983" s="1"/>
    </row>
    <row r="984" customFormat="1" s="34">
      <c r="X984" s="1"/>
    </row>
    <row r="985" customFormat="1" s="34">
      <c r="X985" s="1"/>
    </row>
    <row r="986" customFormat="1" s="34">
      <c r="X986" s="1"/>
    </row>
    <row r="987" customFormat="1" s="34">
      <c r="X987" s="1"/>
    </row>
    <row r="988" customFormat="1" s="34">
      <c r="X988" s="1"/>
    </row>
    <row r="989" customFormat="1" s="34">
      <c r="X989" s="1"/>
    </row>
    <row r="990" customFormat="1" s="34">
      <c r="X990" s="1"/>
    </row>
    <row r="991" customFormat="1" s="34">
      <c r="X991" s="1"/>
    </row>
    <row r="992" customFormat="1" s="34">
      <c r="X992" s="1"/>
    </row>
    <row r="993" customFormat="1" s="34">
      <c r="X993" s="1"/>
    </row>
    <row r="994" customFormat="1" s="34">
      <c r="X994" s="1"/>
    </row>
    <row r="995" customFormat="1" s="34">
      <c r="X995" s="1"/>
    </row>
    <row r="996" customFormat="1" s="34">
      <c r="X996" s="1"/>
    </row>
    <row r="997" customFormat="1" s="34">
      <c r="X997" s="1"/>
    </row>
    <row r="998" customFormat="1" s="34">
      <c r="X998" s="1"/>
    </row>
    <row r="999" customFormat="1" s="34">
      <c r="X999" s="1"/>
    </row>
    <row r="1000" customFormat="1" s="34">
      <c r="X1000" s="1"/>
    </row>
    <row r="1001" customFormat="1" s="34">
      <c r="X1001" s="1"/>
    </row>
    <row r="1002" customFormat="1" s="34">
      <c r="X1002" s="1"/>
    </row>
    <row r="1003" customFormat="1" s="34">
      <c r="X1003" s="1"/>
    </row>
    <row r="1004" customFormat="1" s="34">
      <c r="X1004" s="1"/>
    </row>
    <row r="1005" customFormat="1" s="34">
      <c r="X1005" s="1"/>
    </row>
    <row r="1006" customFormat="1" s="34">
      <c r="X1006" s="1"/>
    </row>
    <row r="1007" customFormat="1" s="34">
      <c r="X1007" s="1"/>
    </row>
    <row r="1008" customFormat="1" s="34">
      <c r="X1008" s="1"/>
    </row>
    <row r="1009" customFormat="1" s="34">
      <c r="X1009" s="1"/>
    </row>
    <row r="1010" customFormat="1" s="34">
      <c r="X1010" s="1"/>
    </row>
    <row r="1011" customFormat="1" s="34">
      <c r="X1011" s="1"/>
    </row>
    <row r="1012" customFormat="1" s="34">
      <c r="X1012" s="1"/>
    </row>
    <row r="1013" customFormat="1" s="34">
      <c r="X1013" s="1"/>
    </row>
    <row r="1014" customFormat="1" s="34">
      <c r="X1014" s="1"/>
    </row>
    <row r="1015" customFormat="1" s="34">
      <c r="X1015" s="1"/>
    </row>
    <row r="1016" customFormat="1" s="34">
      <c r="X1016" s="1"/>
    </row>
    <row r="1017" customFormat="1" s="34">
      <c r="X1017" s="1"/>
    </row>
    <row r="1018" customFormat="1" s="34">
      <c r="X1018" s="1"/>
    </row>
    <row r="1019" customFormat="1" s="34">
      <c r="X1019" s="1"/>
    </row>
    <row r="1020" customFormat="1" s="34">
      <c r="X1020" s="1"/>
    </row>
    <row r="1021" customFormat="1" s="34">
      <c r="X1021" s="1"/>
    </row>
    <row r="1022" customFormat="1" s="34">
      <c r="X1022" s="1"/>
    </row>
    <row r="1023" customFormat="1" s="34">
      <c r="X1023" s="1"/>
    </row>
    <row r="1024" customFormat="1" s="34">
      <c r="X1024" s="1"/>
    </row>
    <row r="1025" customFormat="1" s="34">
      <c r="X1025" s="1"/>
    </row>
    <row r="1026" customFormat="1" s="34">
      <c r="X1026" s="1"/>
    </row>
    <row r="1027" customFormat="1" s="34">
      <c r="X1027" s="1"/>
    </row>
    <row r="1028" customFormat="1" s="34">
      <c r="X1028" s="1"/>
    </row>
    <row r="1029" customFormat="1" s="34">
      <c r="X1029" s="1"/>
    </row>
    <row r="1030" customFormat="1" s="34">
      <c r="X1030" s="1"/>
    </row>
    <row r="1031" customFormat="1" s="34">
      <c r="X1031" s="1"/>
    </row>
    <row r="1032" customFormat="1" s="34">
      <c r="X1032" s="1"/>
    </row>
    <row r="1033" customFormat="1" s="34">
      <c r="X1033" s="1"/>
    </row>
    <row r="1034" customFormat="1" s="34">
      <c r="X1034" s="1"/>
    </row>
    <row r="1035" customFormat="1" s="34">
      <c r="X1035" s="1"/>
    </row>
    <row r="1036" customFormat="1" s="34">
      <c r="X1036" s="1"/>
    </row>
    <row r="1037" customFormat="1" s="34">
      <c r="X1037" s="1"/>
    </row>
    <row r="1038" customFormat="1" s="34">
      <c r="X1038" s="1"/>
    </row>
    <row r="1039" customFormat="1" s="34">
      <c r="X1039" s="1"/>
    </row>
    <row r="1040" customFormat="1" s="34">
      <c r="X1040" s="1"/>
    </row>
    <row r="1041" customFormat="1" s="34">
      <c r="X1041" s="1"/>
    </row>
    <row r="1042" customFormat="1" s="34">
      <c r="X1042" s="1"/>
    </row>
    <row r="1043" customFormat="1" s="34">
      <c r="X1043" s="1"/>
    </row>
    <row r="1044" customFormat="1" s="34">
      <c r="X1044" s="1"/>
    </row>
    <row r="1045" customFormat="1" s="34">
      <c r="X1045" s="1"/>
    </row>
    <row r="1046" customFormat="1" s="34">
      <c r="X1046" s="1"/>
    </row>
    <row r="1047" customFormat="1" s="34">
      <c r="X1047" s="1"/>
    </row>
    <row r="1048" customFormat="1" s="34">
      <c r="X1048" s="1"/>
    </row>
    <row r="1049" customFormat="1" s="34">
      <c r="X1049" s="1"/>
    </row>
    <row r="1050" customFormat="1" s="34">
      <c r="X1050" s="1"/>
    </row>
    <row r="1051" customFormat="1" s="34">
      <c r="X1051" s="1"/>
    </row>
    <row r="1052" customFormat="1" s="34">
      <c r="X1052" s="1"/>
    </row>
    <row r="1053" customFormat="1" s="34">
      <c r="X1053" s="1"/>
    </row>
    <row r="1054" customFormat="1" s="34">
      <c r="X1054" s="1"/>
    </row>
    <row r="1055" customFormat="1" s="34">
      <c r="X1055" s="1"/>
    </row>
    <row r="1056" customFormat="1" s="34">
      <c r="X1056" s="1"/>
    </row>
    <row r="1057" customFormat="1" s="34">
      <c r="X1057" s="1"/>
    </row>
    <row r="1058" customFormat="1" s="34">
      <c r="X1058" s="1"/>
    </row>
    <row r="1059" customFormat="1" s="34">
      <c r="X1059" s="1"/>
    </row>
    <row r="1060" customFormat="1" s="34">
      <c r="X1060" s="1"/>
    </row>
    <row r="1061" customFormat="1" s="34">
      <c r="X1061" s="1"/>
    </row>
    <row r="1062" customFormat="1" s="34">
      <c r="X1062" s="1"/>
    </row>
    <row r="1063" customFormat="1" s="34">
      <c r="X1063" s="1"/>
    </row>
    <row r="1064" customFormat="1" s="34">
      <c r="X1064" s="1"/>
    </row>
    <row r="1065" customFormat="1" s="34">
      <c r="X1065" s="1"/>
    </row>
    <row r="1066" customFormat="1" s="34">
      <c r="X1066" s="1"/>
    </row>
    <row r="1067" customFormat="1" s="34">
      <c r="X1067" s="1"/>
    </row>
    <row r="1068" customFormat="1" s="34">
      <c r="X1068" s="1"/>
    </row>
    <row r="1069" customFormat="1" s="34">
      <c r="X1069" s="1"/>
    </row>
    <row r="1070" customFormat="1" s="34">
      <c r="X1070" s="1"/>
    </row>
    <row r="1071" customFormat="1" s="34">
      <c r="X1071" s="1"/>
    </row>
    <row r="1072" customFormat="1" s="34">
      <c r="X1072" s="1"/>
    </row>
    <row r="1073" customFormat="1" s="34">
      <c r="X1073" s="1"/>
    </row>
    <row r="1074" customFormat="1" s="34">
      <c r="X1074" s="1"/>
    </row>
    <row r="1075" customFormat="1" s="34">
      <c r="X1075" s="1"/>
    </row>
    <row r="1076" customFormat="1" s="34">
      <c r="X1076" s="1"/>
    </row>
    <row r="1077" customFormat="1" s="34">
      <c r="X1077" s="1"/>
    </row>
    <row r="1078" customFormat="1" s="34">
      <c r="X1078" s="1"/>
    </row>
    <row r="1079" customFormat="1" s="34">
      <c r="X1079" s="1"/>
    </row>
    <row r="1080" customFormat="1" s="34">
      <c r="X1080" s="1"/>
    </row>
    <row r="1081" customFormat="1" s="34">
      <c r="X1081" s="1"/>
    </row>
    <row r="1082" customFormat="1" s="34">
      <c r="X1082" s="1"/>
    </row>
    <row r="1083" customFormat="1" s="34">
      <c r="X1083" s="1"/>
    </row>
    <row r="1084" customFormat="1" s="34">
      <c r="X1084" s="1"/>
    </row>
    <row r="1085" customFormat="1" s="34">
      <c r="X1085" s="1"/>
    </row>
    <row r="1086" customFormat="1" s="34">
      <c r="X1086" s="1"/>
    </row>
    <row r="1087" customFormat="1" s="34">
      <c r="X1087" s="1"/>
    </row>
    <row r="1088" customFormat="1" s="34">
      <c r="X1088" s="1"/>
    </row>
    <row r="1089" customFormat="1" s="34">
      <c r="X1089" s="1"/>
    </row>
    <row r="1090" customFormat="1" s="34">
      <c r="X1090" s="1"/>
    </row>
    <row r="1091" customFormat="1" s="34">
      <c r="X1091" s="1"/>
    </row>
    <row r="1092" customFormat="1" s="34">
      <c r="X1092" s="1"/>
    </row>
    <row r="1093" customFormat="1" s="34">
      <c r="X1093" s="1"/>
    </row>
    <row r="1094" customFormat="1" s="34">
      <c r="X1094" s="1"/>
    </row>
    <row r="1095" customFormat="1" s="34">
      <c r="X1095" s="1"/>
    </row>
    <row r="1096" customFormat="1" s="34">
      <c r="X1096" s="1"/>
    </row>
    <row r="1097" customFormat="1" s="34">
      <c r="X1097" s="1"/>
    </row>
    <row r="1098" customFormat="1" s="34">
      <c r="X1098" s="1"/>
    </row>
    <row r="1099" customFormat="1" s="34">
      <c r="X1099" s="1"/>
    </row>
    <row r="1100" customFormat="1" s="34">
      <c r="X1100" s="1"/>
    </row>
    <row r="1101" customFormat="1" s="34">
      <c r="X1101" s="1"/>
    </row>
    <row r="1102" customFormat="1" s="34">
      <c r="X1102" s="1"/>
    </row>
    <row r="1103" customFormat="1" s="34">
      <c r="X1103" s="1"/>
    </row>
    <row r="1104" customFormat="1" s="34">
      <c r="X1104" s="1"/>
    </row>
    <row r="1105" customFormat="1" s="34">
      <c r="X1105" s="1"/>
    </row>
    <row r="1106" customFormat="1" s="34">
      <c r="X1106" s="1"/>
    </row>
    <row r="1107" customFormat="1" s="34">
      <c r="X1107" s="1"/>
    </row>
    <row r="1108" customFormat="1" s="34">
      <c r="X1108" s="1"/>
    </row>
    <row r="1109" customFormat="1" s="34">
      <c r="X1109" s="1"/>
    </row>
    <row r="1110" customFormat="1" s="34">
      <c r="X1110" s="1"/>
    </row>
    <row r="1111" customFormat="1" s="34">
      <c r="X1111" s="1"/>
    </row>
    <row r="1112" customFormat="1" s="34">
      <c r="X1112" s="1"/>
    </row>
    <row r="1113" customFormat="1" s="34">
      <c r="X1113" s="1"/>
    </row>
    <row r="1114" customFormat="1" s="34">
      <c r="X1114" s="1"/>
    </row>
    <row r="1115" customFormat="1" s="34">
      <c r="X1115" s="1"/>
    </row>
    <row r="1116" customFormat="1" s="34">
      <c r="X1116" s="1"/>
    </row>
    <row r="1117" customFormat="1" s="34">
      <c r="X1117" s="1"/>
    </row>
    <row r="1118" customFormat="1" s="34">
      <c r="X1118" s="1"/>
    </row>
    <row r="1119" customFormat="1" s="34">
      <c r="X1119" s="1"/>
    </row>
    <row r="1120" customFormat="1" s="34">
      <c r="X1120" s="1"/>
    </row>
    <row r="1121" customFormat="1" s="34">
      <c r="X1121" s="1"/>
    </row>
    <row r="1122" customFormat="1" s="34">
      <c r="X1122" s="1"/>
    </row>
    <row r="1123" customFormat="1" s="34">
      <c r="X1123" s="1"/>
    </row>
    <row r="1124" customFormat="1" s="34">
      <c r="X1124" s="1"/>
    </row>
    <row r="1125" customFormat="1" s="34">
      <c r="X1125" s="1"/>
    </row>
    <row r="1126" customFormat="1" s="34">
      <c r="X1126" s="1"/>
    </row>
    <row r="1127" customFormat="1" s="34">
      <c r="X1127" s="1"/>
    </row>
    <row r="1128" customFormat="1" s="34">
      <c r="X1128" s="1"/>
    </row>
    <row r="1129" customFormat="1" s="34">
      <c r="X1129" s="1"/>
    </row>
    <row r="1130" customFormat="1" s="34">
      <c r="X1130" s="1"/>
    </row>
    <row r="1131" customFormat="1" s="34">
      <c r="X1131" s="1"/>
    </row>
    <row r="1132" customFormat="1" s="34">
      <c r="X1132" s="1"/>
    </row>
    <row r="1133" customFormat="1" s="34">
      <c r="X1133" s="1"/>
    </row>
    <row r="1134" customFormat="1" s="34">
      <c r="X1134" s="1"/>
    </row>
    <row r="1135" customFormat="1" s="34">
      <c r="X1135" s="1"/>
    </row>
    <row r="1136" customFormat="1" s="34">
      <c r="X1136" s="1"/>
    </row>
    <row r="1137" customFormat="1" s="34">
      <c r="X1137" s="1"/>
    </row>
    <row r="1138" customFormat="1" s="34">
      <c r="X1138" s="1"/>
    </row>
    <row r="1139" customFormat="1" s="34">
      <c r="X1139" s="1"/>
    </row>
    <row r="1140" customFormat="1" s="34">
      <c r="X1140" s="1"/>
    </row>
    <row r="1141" customFormat="1" s="34">
      <c r="X1141" s="1"/>
    </row>
    <row r="1142" customFormat="1" s="34">
      <c r="X1142" s="1"/>
    </row>
    <row r="1143" customFormat="1" s="34">
      <c r="X1143" s="1"/>
    </row>
    <row r="1144" customFormat="1" s="34">
      <c r="X1144" s="1"/>
    </row>
    <row r="1145" customFormat="1" s="34">
      <c r="X1145" s="1"/>
    </row>
    <row r="1146" customFormat="1" s="34">
      <c r="X1146" s="1"/>
    </row>
    <row r="1147" customFormat="1" s="34">
      <c r="X1147" s="1"/>
    </row>
    <row r="1148" customFormat="1" s="34">
      <c r="X1148" s="1"/>
    </row>
    <row r="1149" customFormat="1" s="34">
      <c r="X1149" s="1"/>
    </row>
    <row r="1150" customFormat="1" s="34">
      <c r="X1150" s="1"/>
    </row>
    <row r="1151" customFormat="1" s="34">
      <c r="X1151" s="1"/>
    </row>
    <row r="1152" customFormat="1" s="34">
      <c r="X1152" s="1"/>
    </row>
    <row r="1153" customFormat="1" s="34">
      <c r="X1153" s="1"/>
    </row>
    <row r="1154" customFormat="1" s="34">
      <c r="X1154" s="1"/>
    </row>
    <row r="1155" customFormat="1" s="34">
      <c r="X1155" s="1"/>
    </row>
    <row r="1156" customFormat="1" s="34">
      <c r="X1156" s="1"/>
    </row>
    <row r="1157" customFormat="1" s="34">
      <c r="X1157" s="1"/>
    </row>
    <row r="1158" customFormat="1" s="34">
      <c r="X1158" s="1"/>
    </row>
    <row r="1159" customFormat="1" s="34">
      <c r="X1159" s="1"/>
    </row>
    <row r="1160" customFormat="1" s="34">
      <c r="X1160" s="1"/>
    </row>
    <row r="1161" customFormat="1" s="34">
      <c r="X1161" s="1"/>
    </row>
    <row r="1162" customFormat="1" s="34">
      <c r="X1162" s="1"/>
    </row>
    <row r="1163" customFormat="1" s="34">
      <c r="X1163" s="1"/>
    </row>
    <row r="1164" customFormat="1" s="34">
      <c r="X1164" s="1"/>
    </row>
    <row r="1165" customFormat="1" s="34">
      <c r="X1165" s="1"/>
    </row>
    <row r="1166" customFormat="1" s="34">
      <c r="X1166" s="1"/>
    </row>
    <row r="1167" customFormat="1" s="34">
      <c r="X1167" s="1"/>
    </row>
    <row r="1168" customFormat="1" s="34">
      <c r="X1168" s="1"/>
    </row>
    <row r="1169" customFormat="1" s="34">
      <c r="X1169" s="1"/>
    </row>
    <row r="1170" customFormat="1" s="34">
      <c r="X1170" s="1"/>
    </row>
    <row r="1171" customFormat="1" s="34">
      <c r="X1171" s="1"/>
    </row>
    <row r="1172" customFormat="1" s="34">
      <c r="X1172" s="1"/>
    </row>
    <row r="1173" customFormat="1" s="34">
      <c r="X1173" s="1"/>
    </row>
    <row r="1174" customFormat="1" s="34">
      <c r="X1174" s="1"/>
    </row>
    <row r="1175" customFormat="1" s="34">
      <c r="X1175" s="1"/>
    </row>
    <row r="1176" customFormat="1" s="34">
      <c r="X1176" s="1"/>
    </row>
    <row r="1177" customFormat="1" s="34">
      <c r="X1177" s="1"/>
    </row>
    <row r="1178" customFormat="1" s="34">
      <c r="X1178" s="1"/>
    </row>
    <row r="1179" customFormat="1" s="34">
      <c r="X1179" s="1"/>
    </row>
    <row r="1180" customFormat="1" s="34">
      <c r="X1180" s="1"/>
    </row>
    <row r="1181" customFormat="1" s="34">
      <c r="X1181" s="1"/>
    </row>
    <row r="1182" customFormat="1" s="34">
      <c r="X1182" s="1"/>
    </row>
    <row r="1183" customFormat="1" s="34">
      <c r="X1183" s="1"/>
    </row>
    <row r="1184" customFormat="1" s="34">
      <c r="X1184" s="1"/>
    </row>
    <row r="1185" customFormat="1" s="34">
      <c r="X1185" s="1"/>
    </row>
    <row r="1186" customFormat="1" s="34">
      <c r="X1186" s="1"/>
    </row>
    <row r="1187" customFormat="1" s="34">
      <c r="X1187" s="1"/>
    </row>
    <row r="1188" customFormat="1" s="34">
      <c r="X1188" s="1"/>
    </row>
    <row r="1189" customFormat="1" s="34">
      <c r="X1189" s="1"/>
    </row>
    <row r="1190" customFormat="1" s="34">
      <c r="X1190" s="1"/>
    </row>
    <row r="1191" customFormat="1" s="34">
      <c r="X1191" s="1"/>
    </row>
    <row r="1192" customFormat="1" s="34">
      <c r="X1192" s="1"/>
    </row>
    <row r="1193" customFormat="1" s="34">
      <c r="X1193" s="1"/>
    </row>
    <row r="1194" customFormat="1" s="34">
      <c r="X1194" s="1"/>
    </row>
    <row r="1195" customFormat="1" s="34">
      <c r="X1195" s="1"/>
    </row>
    <row r="1196" customFormat="1" s="34">
      <c r="X1196" s="1"/>
    </row>
    <row r="1197" customFormat="1" s="34">
      <c r="X1197" s="1"/>
    </row>
    <row r="1198" customFormat="1" s="34">
      <c r="X1198" s="1"/>
    </row>
    <row r="1199" customFormat="1" s="34">
      <c r="X1199" s="1"/>
    </row>
    <row r="1200" customFormat="1" s="34">
      <c r="X1200" s="1"/>
    </row>
    <row r="1201" customFormat="1" s="34">
      <c r="X1201" s="1"/>
    </row>
    <row r="1202" customFormat="1" s="34">
      <c r="X1202" s="1"/>
    </row>
    <row r="1203" customFormat="1" s="34">
      <c r="X1203" s="1"/>
    </row>
    <row r="1204" customFormat="1" s="34">
      <c r="X1204" s="1"/>
    </row>
    <row r="1205" customFormat="1" s="34">
      <c r="X1205" s="1"/>
    </row>
    <row r="1206" customFormat="1" s="34">
      <c r="X1206" s="1"/>
    </row>
    <row r="1207" customFormat="1" s="34">
      <c r="X1207" s="1"/>
    </row>
    <row r="1208" customFormat="1" s="34">
      <c r="X1208" s="1"/>
    </row>
    <row r="1209" customFormat="1" s="34">
      <c r="X1209" s="1"/>
    </row>
    <row r="1210" customFormat="1" s="34">
      <c r="X1210" s="1"/>
    </row>
    <row r="1211" customFormat="1" s="34">
      <c r="X1211" s="1"/>
    </row>
    <row r="1212" customFormat="1" s="34">
      <c r="X1212" s="1"/>
    </row>
    <row r="1213" customFormat="1" s="34">
      <c r="X1213" s="1"/>
    </row>
    <row r="1214" customFormat="1" s="34">
      <c r="X1214" s="1"/>
    </row>
    <row r="1215" customFormat="1" s="34">
      <c r="X1215" s="1"/>
    </row>
    <row r="1216" customFormat="1" s="34">
      <c r="X1216" s="1"/>
    </row>
    <row r="1217" customFormat="1" s="34">
      <c r="X1217" s="1"/>
    </row>
    <row r="1218" customFormat="1" s="34">
      <c r="X1218" s="1"/>
    </row>
    <row r="1219" customFormat="1" s="34">
      <c r="X1219" s="1"/>
    </row>
    <row r="1220" customFormat="1" s="34">
      <c r="X1220" s="1"/>
    </row>
    <row r="1221" customFormat="1" s="34">
      <c r="X1221" s="1"/>
    </row>
    <row r="1222" customFormat="1" s="34">
      <c r="X1222" s="1"/>
    </row>
    <row r="1223" customFormat="1" s="34">
      <c r="X1223" s="1"/>
    </row>
    <row r="1224" customFormat="1" s="34">
      <c r="X1224" s="1"/>
    </row>
    <row r="1225" customFormat="1" s="34">
      <c r="X1225" s="1"/>
    </row>
    <row r="1226" customFormat="1" s="34">
      <c r="X1226" s="1"/>
    </row>
    <row r="1227" customFormat="1" s="34">
      <c r="X1227" s="1"/>
    </row>
    <row r="1228" customFormat="1" s="34">
      <c r="X1228" s="1"/>
    </row>
    <row r="1229" customFormat="1" s="34">
      <c r="X1229" s="1"/>
    </row>
    <row r="1230" customFormat="1" s="34">
      <c r="X1230" s="1"/>
    </row>
    <row r="1231" customFormat="1" s="34">
      <c r="X1231" s="1"/>
    </row>
    <row r="1232" customFormat="1" s="34">
      <c r="X1232" s="1"/>
    </row>
    <row r="1233" customFormat="1" s="34">
      <c r="X1233" s="1"/>
    </row>
    <row r="1234" customFormat="1" s="34">
      <c r="X1234" s="1"/>
    </row>
    <row r="1235" customFormat="1" s="34">
      <c r="X1235" s="1"/>
    </row>
    <row r="1236" customFormat="1" s="34">
      <c r="X1236" s="1"/>
    </row>
    <row r="1237" customFormat="1" s="34">
      <c r="X1237" s="1"/>
    </row>
    <row r="1238" customFormat="1" s="34">
      <c r="X1238" s="1"/>
    </row>
    <row r="1239" customFormat="1" s="34">
      <c r="X1239" s="1"/>
    </row>
    <row r="1240" customFormat="1" s="34">
      <c r="X1240" s="1"/>
    </row>
    <row r="1241" customFormat="1" s="34">
      <c r="X1241" s="1"/>
    </row>
    <row r="1242" customFormat="1" s="34">
      <c r="X1242" s="1"/>
    </row>
    <row r="1243" customFormat="1" s="34">
      <c r="X1243" s="1"/>
    </row>
    <row r="1244" customFormat="1" s="34">
      <c r="X1244" s="1"/>
    </row>
    <row r="1245" customFormat="1" s="34">
      <c r="X1245" s="1"/>
    </row>
    <row r="1246" customFormat="1" s="34">
      <c r="X1246" s="1"/>
    </row>
    <row r="1247" customFormat="1" s="34">
      <c r="X1247" s="1"/>
    </row>
    <row r="1248" customFormat="1" s="34">
      <c r="X1248" s="1"/>
    </row>
    <row r="1249" customFormat="1" s="34">
      <c r="X1249" s="1"/>
    </row>
    <row r="1250" customFormat="1" s="34">
      <c r="X1250" s="1"/>
    </row>
    <row r="1251" customFormat="1" s="34">
      <c r="X1251" s="1"/>
    </row>
    <row r="1252" customFormat="1" s="34">
      <c r="X1252" s="1"/>
    </row>
    <row r="1253" customFormat="1" s="34">
      <c r="X1253" s="1"/>
    </row>
    <row r="1254" customFormat="1" s="34">
      <c r="X1254" s="1"/>
    </row>
    <row r="1255" customFormat="1" s="34">
      <c r="X1255" s="1"/>
    </row>
    <row r="1256" customFormat="1" s="34">
      <c r="X1256" s="1"/>
    </row>
    <row r="1257" customFormat="1" s="34">
      <c r="X1257" s="1"/>
    </row>
    <row r="1258" customFormat="1" s="34">
      <c r="X1258" s="1"/>
    </row>
    <row r="1259" customFormat="1" s="34">
      <c r="X1259" s="1"/>
    </row>
    <row r="1260" customFormat="1" s="34">
      <c r="X1260" s="1"/>
    </row>
    <row r="1261" customFormat="1" s="34">
      <c r="X1261" s="1"/>
    </row>
    <row r="1262" customFormat="1" s="34">
      <c r="X1262" s="1"/>
    </row>
    <row r="1263" customFormat="1" s="34">
      <c r="X1263" s="1"/>
    </row>
    <row r="1264" customFormat="1" s="34">
      <c r="X1264" s="1"/>
    </row>
    <row r="1265" customFormat="1" s="34">
      <c r="X1265" s="1"/>
    </row>
    <row r="1266" customFormat="1" s="34">
      <c r="X1266" s="1"/>
    </row>
    <row r="1267" customFormat="1" s="34">
      <c r="X1267" s="1"/>
    </row>
    <row r="1268" customFormat="1" s="34">
      <c r="X1268" s="1"/>
    </row>
    <row r="1269" customFormat="1" s="34">
      <c r="X1269" s="1"/>
    </row>
    <row r="1270" customFormat="1" s="34">
      <c r="X1270" s="1"/>
    </row>
    <row r="1271" customFormat="1" s="34">
      <c r="X1271" s="1"/>
    </row>
    <row r="1272" customFormat="1" s="34">
      <c r="X1272" s="1"/>
    </row>
    <row r="1273" customFormat="1" s="34">
      <c r="X1273" s="1"/>
    </row>
    <row r="1274" customFormat="1" s="34">
      <c r="X1274" s="1"/>
    </row>
    <row r="1275" customFormat="1" s="34">
      <c r="X1275" s="1"/>
    </row>
    <row r="1276" customFormat="1" s="34">
      <c r="X1276" s="1"/>
    </row>
    <row r="1277" customFormat="1" s="34">
      <c r="X1277" s="1"/>
    </row>
    <row r="1278" customFormat="1" s="34">
      <c r="X1278" s="1"/>
    </row>
    <row r="1279" customFormat="1" s="34">
      <c r="X1279" s="1"/>
    </row>
    <row r="1280" customFormat="1" s="34">
      <c r="X1280" s="1"/>
    </row>
    <row r="1281" customFormat="1" s="34">
      <c r="X1281" s="1"/>
    </row>
    <row r="1282" customFormat="1" s="34">
      <c r="X1282" s="1"/>
    </row>
    <row r="1283" customFormat="1" s="34">
      <c r="X1283" s="1"/>
    </row>
    <row r="1284" customFormat="1" s="34">
      <c r="X1284" s="1"/>
    </row>
    <row r="1285" customFormat="1" s="34">
      <c r="X1285" s="1"/>
    </row>
    <row r="1286" customFormat="1" s="34">
      <c r="X1286" s="1"/>
    </row>
    <row r="1287" customFormat="1" s="34">
      <c r="X1287" s="1"/>
    </row>
    <row r="1288" customFormat="1" s="34">
      <c r="X1288" s="1"/>
    </row>
    <row r="1289" customFormat="1" s="34">
      <c r="X1289" s="1"/>
    </row>
    <row r="1290" customFormat="1" s="34">
      <c r="X1290" s="1"/>
    </row>
    <row r="1291" customFormat="1" s="34">
      <c r="X1291" s="1"/>
    </row>
    <row r="1292" customFormat="1" s="34">
      <c r="X1292" s="1"/>
    </row>
    <row r="1293" customFormat="1" s="34">
      <c r="X1293" s="1"/>
    </row>
    <row r="1294" customFormat="1" s="34">
      <c r="X1294" s="1"/>
    </row>
    <row r="1295" customFormat="1" s="34">
      <c r="X1295" s="1"/>
    </row>
    <row r="1296" customFormat="1" s="34">
      <c r="X1296" s="1"/>
    </row>
    <row r="1297" customFormat="1" s="34">
      <c r="X1297" s="1"/>
    </row>
    <row r="1298" customFormat="1" s="34">
      <c r="X1298" s="1"/>
    </row>
    <row r="1299" customFormat="1" s="34">
      <c r="X1299" s="1"/>
    </row>
    <row r="1300" customFormat="1" s="34">
      <c r="X1300" s="1"/>
    </row>
    <row r="1301" customFormat="1" s="34">
      <c r="X1301" s="1"/>
    </row>
    <row r="1302" customFormat="1" s="34">
      <c r="X1302" s="1"/>
    </row>
    <row r="1303" customFormat="1" s="34">
      <c r="X1303" s="1"/>
    </row>
    <row r="1304" customFormat="1" s="34">
      <c r="X1304" s="1"/>
    </row>
    <row r="1305" customFormat="1" s="34">
      <c r="X1305" s="1"/>
    </row>
    <row r="1306" customFormat="1" s="34">
      <c r="X1306" s="1"/>
    </row>
    <row r="1307" customFormat="1" s="34">
      <c r="X1307" s="1"/>
    </row>
    <row r="1308" customFormat="1" s="34">
      <c r="X1308" s="1"/>
    </row>
    <row r="1309" customFormat="1" s="34">
      <c r="X1309" s="1"/>
    </row>
    <row r="1310" customFormat="1" s="34">
      <c r="X1310" s="1"/>
    </row>
    <row r="1311" customFormat="1" s="34">
      <c r="X1311" s="1"/>
    </row>
    <row r="1312" customFormat="1" s="34">
      <c r="X1312" s="1"/>
    </row>
    <row r="1313" customFormat="1" s="34">
      <c r="X1313" s="1"/>
    </row>
    <row r="1314" customFormat="1" s="34">
      <c r="X1314" s="1"/>
    </row>
    <row r="1315" customFormat="1" s="34">
      <c r="X1315" s="1"/>
    </row>
    <row r="1316" customFormat="1" s="34">
      <c r="X1316" s="1"/>
    </row>
    <row r="1317" customFormat="1" s="34">
      <c r="X1317" s="1"/>
    </row>
    <row r="1318" customFormat="1" s="34">
      <c r="X1318" s="1"/>
    </row>
    <row r="1319" customFormat="1" s="34">
      <c r="X1319" s="1"/>
    </row>
    <row r="1320" customFormat="1" s="34">
      <c r="X1320" s="1"/>
    </row>
    <row r="1321" customFormat="1" s="34">
      <c r="X1321" s="1"/>
    </row>
    <row r="1322" customFormat="1" s="34">
      <c r="X1322" s="1"/>
    </row>
    <row r="1323" customFormat="1" s="34">
      <c r="X1323" s="1"/>
    </row>
    <row r="1324" customFormat="1" s="34">
      <c r="X1324" s="1"/>
    </row>
    <row r="1325" customFormat="1" s="34">
      <c r="X1325" s="1"/>
    </row>
    <row r="1326" customFormat="1" s="34">
      <c r="X1326" s="1"/>
    </row>
    <row r="1327" customFormat="1" s="34">
      <c r="X1327" s="1"/>
    </row>
    <row r="1328" customFormat="1" s="34">
      <c r="X1328" s="1"/>
    </row>
    <row r="1329" customFormat="1" s="34">
      <c r="X1329" s="1"/>
    </row>
    <row r="1330" customFormat="1" s="34">
      <c r="X1330" s="1"/>
    </row>
    <row r="1331" customFormat="1" s="34">
      <c r="X1331" s="1"/>
    </row>
    <row r="1332" customFormat="1" s="34">
      <c r="X1332" s="1"/>
    </row>
    <row r="1333" customFormat="1" s="34">
      <c r="X1333" s="1"/>
    </row>
    <row r="1334" customFormat="1" s="34">
      <c r="X1334" s="1"/>
    </row>
    <row r="1335" customFormat="1" s="34">
      <c r="X1335" s="1"/>
    </row>
    <row r="1336" customFormat="1" s="34">
      <c r="X1336" s="1"/>
    </row>
    <row r="1337" customFormat="1" s="34">
      <c r="X1337" s="1"/>
    </row>
    <row r="1338" customFormat="1" s="34">
      <c r="X1338" s="1"/>
    </row>
    <row r="1339" customFormat="1" s="34">
      <c r="X1339" s="1"/>
    </row>
    <row r="1340" customFormat="1" s="34">
      <c r="X1340" s="1"/>
    </row>
    <row r="1341" customFormat="1" s="34">
      <c r="X1341" s="1"/>
    </row>
    <row r="1342" customFormat="1" s="34">
      <c r="X1342" s="1"/>
    </row>
    <row r="1343" customFormat="1" s="34">
      <c r="X1343" s="1"/>
    </row>
    <row r="1344" customFormat="1" s="34">
      <c r="X1344" s="1"/>
    </row>
    <row r="1345" customFormat="1" s="34">
      <c r="X1345" s="1"/>
    </row>
    <row r="1346" customFormat="1" s="34">
      <c r="X1346" s="1"/>
    </row>
    <row r="1347" customFormat="1" s="34">
      <c r="X1347" s="1"/>
    </row>
    <row r="1348" customFormat="1" s="34">
      <c r="X1348" s="1"/>
    </row>
    <row r="1349" customFormat="1" s="34">
      <c r="X1349" s="1"/>
    </row>
    <row r="1350" customFormat="1" s="34">
      <c r="X1350" s="1"/>
    </row>
    <row r="1351" customFormat="1" s="34">
      <c r="X1351" s="1"/>
    </row>
    <row r="1352" customFormat="1" s="34">
      <c r="X1352" s="1"/>
    </row>
    <row r="1353" customFormat="1" s="34">
      <c r="X1353" s="1"/>
    </row>
    <row r="1354" customFormat="1" s="34">
      <c r="X1354" s="1"/>
    </row>
    <row r="1355" customFormat="1" s="34">
      <c r="X1355" s="1"/>
    </row>
    <row r="1356" customFormat="1" s="34">
      <c r="X1356" s="1"/>
    </row>
    <row r="1357" customFormat="1" s="34">
      <c r="X1357" s="1"/>
    </row>
    <row r="1358" customFormat="1" s="34">
      <c r="X1358" s="1"/>
    </row>
    <row r="1359" customFormat="1" s="34">
      <c r="X1359" s="1"/>
    </row>
    <row r="1360" customFormat="1" s="34">
      <c r="X1360" s="1"/>
    </row>
    <row r="1361" customFormat="1" s="34">
      <c r="X1361" s="1"/>
    </row>
    <row r="1362" customFormat="1" s="34">
      <c r="X1362" s="1"/>
    </row>
    <row r="1363" customFormat="1" s="34">
      <c r="X1363" s="1"/>
    </row>
    <row r="1364" customFormat="1" s="34">
      <c r="X1364" s="1"/>
    </row>
    <row r="1365" customFormat="1" s="34">
      <c r="X1365" s="1"/>
    </row>
    <row r="1366" customFormat="1" s="34">
      <c r="X1366" s="1"/>
    </row>
    <row r="1367" customFormat="1" s="34">
      <c r="X1367" s="1"/>
    </row>
    <row r="1368" customFormat="1" s="34">
      <c r="X1368" s="1"/>
    </row>
    <row r="1369" customFormat="1" s="34">
      <c r="X1369" s="1"/>
    </row>
    <row r="1370" customFormat="1" s="34">
      <c r="X1370" s="1"/>
    </row>
    <row r="1371" customFormat="1" s="34">
      <c r="X1371" s="1"/>
    </row>
    <row r="1372" customFormat="1" s="34">
      <c r="X1372" s="1"/>
    </row>
    <row r="1373" customFormat="1" s="34">
      <c r="X1373" s="1"/>
    </row>
    <row r="1374" customFormat="1" s="34">
      <c r="X1374" s="1"/>
    </row>
    <row r="1375" customFormat="1" s="34">
      <c r="X1375" s="1"/>
    </row>
    <row r="1376" customFormat="1" s="34">
      <c r="X1376" s="1"/>
    </row>
    <row r="1377" customFormat="1" s="34">
      <c r="X1377" s="1"/>
    </row>
    <row r="1378" customFormat="1" s="34">
      <c r="X1378" s="1"/>
    </row>
    <row r="1379" customFormat="1" s="34">
      <c r="X1379" s="1"/>
    </row>
    <row r="1380" customFormat="1" s="34">
      <c r="X1380" s="1"/>
    </row>
    <row r="1381" customFormat="1" s="34">
      <c r="X1381" s="1"/>
    </row>
    <row r="1382" customFormat="1" s="34">
      <c r="X1382" s="1"/>
    </row>
    <row r="1383" customFormat="1" s="34">
      <c r="X1383" s="1"/>
    </row>
    <row r="1384" customFormat="1" s="34">
      <c r="X1384" s="1"/>
    </row>
    <row r="1385" customFormat="1" s="34">
      <c r="X1385" s="1"/>
    </row>
    <row r="1386" customFormat="1" s="34">
      <c r="X1386" s="1"/>
    </row>
    <row r="1387" customFormat="1" s="34">
      <c r="X1387" s="1"/>
    </row>
    <row r="1388" customFormat="1" s="34">
      <c r="X1388" s="1"/>
    </row>
    <row r="1389" customFormat="1" s="34">
      <c r="X1389" s="1"/>
    </row>
    <row r="1390" customFormat="1" s="34">
      <c r="X1390" s="1"/>
    </row>
    <row r="1391" customFormat="1" s="34">
      <c r="X1391" s="1"/>
    </row>
    <row r="1392" customFormat="1" s="34">
      <c r="X1392" s="1"/>
    </row>
    <row r="1393" customFormat="1" s="34">
      <c r="X1393" s="1"/>
    </row>
    <row r="1394" customFormat="1" s="34">
      <c r="X1394" s="1"/>
    </row>
    <row r="1395" customFormat="1" s="34">
      <c r="X1395" s="1"/>
    </row>
    <row r="1396" customFormat="1" s="34">
      <c r="X1396" s="1"/>
    </row>
    <row r="1397" customFormat="1" s="34">
      <c r="X1397" s="1"/>
    </row>
    <row r="1398" customFormat="1" s="34">
      <c r="X1398" s="1"/>
    </row>
    <row r="1399" customFormat="1" s="34">
      <c r="X1399" s="1"/>
    </row>
    <row r="1400" customFormat="1" s="34">
      <c r="X1400" s="1"/>
    </row>
    <row r="1401" customFormat="1" s="34">
      <c r="X1401" s="1"/>
    </row>
    <row r="1402" customFormat="1" s="34">
      <c r="X1402" s="1"/>
    </row>
    <row r="1403" customFormat="1" s="34">
      <c r="X1403" s="1"/>
    </row>
    <row r="1404" customFormat="1" s="34">
      <c r="X1404" s="1"/>
    </row>
    <row r="1405" customFormat="1" s="34">
      <c r="X1405" s="1"/>
    </row>
    <row r="1406" customFormat="1" s="34">
      <c r="X1406" s="1"/>
    </row>
    <row r="1407" customFormat="1" s="34">
      <c r="X1407" s="1"/>
    </row>
    <row r="1408" customFormat="1" s="34">
      <c r="X1408" s="1"/>
    </row>
    <row r="1409" customFormat="1" s="34">
      <c r="X1409" s="1"/>
    </row>
    <row r="1410" customFormat="1" s="34">
      <c r="X1410" s="1"/>
    </row>
    <row r="1411" customFormat="1" s="34">
      <c r="X1411" s="1"/>
    </row>
    <row r="1412" customFormat="1" s="34">
      <c r="X1412" s="1"/>
    </row>
    <row r="1413" customFormat="1" s="34">
      <c r="X1413" s="1"/>
    </row>
    <row r="1414" customFormat="1" s="34">
      <c r="X1414" s="1"/>
    </row>
    <row r="1415" customFormat="1" s="34">
      <c r="X1415" s="1"/>
    </row>
    <row r="1416" customFormat="1" s="34">
      <c r="X1416" s="1"/>
    </row>
    <row r="1417" customFormat="1" s="34">
      <c r="X1417" s="1"/>
    </row>
    <row r="1418" customFormat="1" s="34">
      <c r="X1418" s="1"/>
    </row>
    <row r="1419" customFormat="1" s="34">
      <c r="X1419" s="1"/>
    </row>
    <row r="1420" customFormat="1" s="34">
      <c r="X1420" s="1"/>
    </row>
    <row r="1421" customFormat="1" s="34">
      <c r="X1421" s="1"/>
    </row>
    <row r="1422" customFormat="1" s="34">
      <c r="X1422" s="1"/>
    </row>
    <row r="1423" customFormat="1" s="34">
      <c r="X1423" s="1"/>
    </row>
    <row r="1424" customFormat="1" s="34">
      <c r="X1424" s="1"/>
    </row>
    <row r="1425" customFormat="1" s="34">
      <c r="X1425" s="1"/>
    </row>
    <row r="1426" customFormat="1" s="34">
      <c r="X1426" s="1"/>
    </row>
    <row r="1427" customFormat="1" s="34">
      <c r="X1427" s="1"/>
    </row>
    <row r="1428" customFormat="1" s="34">
      <c r="X1428" s="1"/>
    </row>
    <row r="1429" customFormat="1" s="34">
      <c r="X1429" s="1"/>
    </row>
    <row r="1430" customFormat="1" s="34">
      <c r="X1430" s="1"/>
    </row>
    <row r="1431" customFormat="1" s="34">
      <c r="X1431" s="1"/>
    </row>
    <row r="1432" customFormat="1" s="34">
      <c r="X1432" s="1"/>
    </row>
    <row r="1433" customFormat="1" s="34">
      <c r="X1433" s="1"/>
    </row>
    <row r="1434" customFormat="1" s="34">
      <c r="X1434" s="1"/>
    </row>
    <row r="1435" customFormat="1" s="34">
      <c r="X1435" s="1"/>
    </row>
    <row r="1436" customFormat="1" s="34">
      <c r="X1436" s="1"/>
    </row>
    <row r="1437" customFormat="1" s="34">
      <c r="X1437" s="1"/>
    </row>
    <row r="1438" customFormat="1" s="34">
      <c r="X1438" s="1"/>
    </row>
    <row r="1439" customFormat="1" s="34">
      <c r="X1439" s="1"/>
    </row>
    <row r="1440" customFormat="1" s="34">
      <c r="X1440" s="1"/>
    </row>
    <row r="1441" customFormat="1" s="34">
      <c r="X1441" s="1"/>
    </row>
    <row r="1442" customFormat="1" s="34">
      <c r="X1442" s="1"/>
    </row>
    <row r="1443" customFormat="1" s="34">
      <c r="X1443" s="1"/>
    </row>
    <row r="1444" customFormat="1" s="34">
      <c r="X1444" s="1"/>
    </row>
    <row r="1445" customFormat="1" s="34">
      <c r="X1445" s="1"/>
    </row>
    <row r="1446" customFormat="1" s="34">
      <c r="X1446" s="1"/>
    </row>
    <row r="1447" customFormat="1" s="34">
      <c r="X1447" s="1"/>
    </row>
    <row r="1448" customFormat="1" s="34">
      <c r="X1448" s="1"/>
    </row>
    <row r="1449" customFormat="1" s="34">
      <c r="X1449" s="1"/>
    </row>
    <row r="1450" customFormat="1" s="34">
      <c r="X1450" s="1"/>
    </row>
    <row r="1451" customFormat="1" s="34">
      <c r="X1451" s="1"/>
    </row>
    <row r="1452" customFormat="1" s="34">
      <c r="X1452" s="1"/>
    </row>
    <row r="1453" customFormat="1" s="34">
      <c r="X1453" s="1"/>
    </row>
    <row r="1454" customFormat="1" s="34">
      <c r="X1454" s="1"/>
    </row>
    <row r="1455" customFormat="1" s="34">
      <c r="X1455" s="1"/>
    </row>
    <row r="1456" customFormat="1" s="34">
      <c r="X1456" s="1"/>
    </row>
    <row r="1457" customFormat="1" s="34">
      <c r="X1457" s="1"/>
    </row>
    <row r="1458" customFormat="1" s="34">
      <c r="X1458" s="1"/>
    </row>
    <row r="1459" customFormat="1" s="34">
      <c r="X1459" s="1"/>
    </row>
    <row r="1460" customFormat="1" s="34">
      <c r="X1460" s="1"/>
    </row>
    <row r="1461" customFormat="1" s="34">
      <c r="X1461" s="1"/>
    </row>
    <row r="1462" customFormat="1" s="34">
      <c r="X1462" s="1"/>
    </row>
    <row r="1463" customFormat="1" s="34">
      <c r="X1463" s="1"/>
    </row>
    <row r="1464" customFormat="1" s="34">
      <c r="X1464" s="1"/>
    </row>
    <row r="1465" customFormat="1" s="34">
      <c r="X1465" s="1"/>
    </row>
    <row r="1466" customFormat="1" s="34">
      <c r="X1466" s="1"/>
    </row>
    <row r="1467" customFormat="1" s="34">
      <c r="X1467" s="1"/>
    </row>
    <row r="1468" customFormat="1" s="34">
      <c r="X1468" s="1"/>
    </row>
    <row r="1469" customFormat="1" s="34">
      <c r="X1469" s="1"/>
    </row>
    <row r="1470" customFormat="1" s="34">
      <c r="X1470" s="1"/>
    </row>
    <row r="1471" customFormat="1" s="34">
      <c r="X1471" s="1"/>
    </row>
    <row r="1472" customFormat="1" s="34">
      <c r="X1472" s="1"/>
    </row>
    <row r="1473" customFormat="1" s="34">
      <c r="X1473" s="1"/>
    </row>
    <row r="1474" customFormat="1" s="34">
      <c r="X1474" s="1"/>
    </row>
    <row r="1475" customFormat="1" s="34">
      <c r="X1475" s="1"/>
    </row>
    <row r="1476" customFormat="1" s="34">
      <c r="X1476" s="1"/>
    </row>
    <row r="1477" customFormat="1" s="34">
      <c r="X1477" s="1"/>
    </row>
    <row r="1478" customFormat="1" s="34">
      <c r="X1478" s="1"/>
    </row>
    <row r="1479" customFormat="1" s="34">
      <c r="X1479" s="1"/>
    </row>
    <row r="1480" customFormat="1" s="34">
      <c r="X1480" s="1"/>
    </row>
    <row r="1481" customFormat="1" s="34">
      <c r="X1481" s="1"/>
    </row>
    <row r="1482" customFormat="1" s="34">
      <c r="X1482" s="1"/>
    </row>
    <row r="1483" customFormat="1" s="34">
      <c r="X1483" s="1"/>
    </row>
    <row r="1484" customFormat="1" s="34">
      <c r="X1484" s="1"/>
    </row>
    <row r="1485" customFormat="1" s="34">
      <c r="X1485" s="1"/>
    </row>
    <row r="1486" customFormat="1" s="34">
      <c r="X1486" s="1"/>
    </row>
    <row r="1487" customFormat="1" s="34">
      <c r="X1487" s="1"/>
    </row>
    <row r="1488" customFormat="1" s="34">
      <c r="X1488" s="1"/>
    </row>
    <row r="1489" customFormat="1" s="34">
      <c r="X1489" s="1"/>
    </row>
    <row r="1490" customFormat="1" s="34">
      <c r="X1490" s="1"/>
    </row>
    <row r="1491" customFormat="1" s="34">
      <c r="X1491" s="1"/>
    </row>
    <row r="1492" customFormat="1" s="34">
      <c r="X1492" s="1"/>
    </row>
    <row r="1493" customFormat="1" s="34">
      <c r="X1493" s="1"/>
    </row>
    <row r="1494" customFormat="1" s="34">
      <c r="X1494" s="1"/>
    </row>
    <row r="1495" customFormat="1" s="34">
      <c r="X1495" s="1"/>
    </row>
    <row r="1496" customFormat="1" s="34">
      <c r="X1496" s="1"/>
    </row>
    <row r="1497" customFormat="1" s="34">
      <c r="X1497" s="1"/>
    </row>
    <row r="1498" customFormat="1" s="34">
      <c r="X1498" s="1"/>
    </row>
    <row r="1499" customFormat="1" s="34">
      <c r="X1499" s="1"/>
    </row>
    <row r="1500" customFormat="1" s="34">
      <c r="X1500" s="1"/>
    </row>
    <row r="1501" customFormat="1" s="34">
      <c r="X1501" s="1"/>
    </row>
    <row r="1502" customFormat="1" s="34">
      <c r="X1502" s="1"/>
    </row>
    <row r="1503" customFormat="1" s="34">
      <c r="X1503" s="1"/>
    </row>
    <row r="1504" customFormat="1" s="34">
      <c r="X1504" s="1"/>
    </row>
    <row r="1505" customFormat="1" s="34">
      <c r="X1505" s="1"/>
    </row>
    <row r="1506" customFormat="1" s="34">
      <c r="X1506" s="1"/>
    </row>
    <row r="1507" customFormat="1" s="34">
      <c r="X1507" s="1"/>
    </row>
    <row r="1508" customFormat="1" s="34">
      <c r="X1508" s="1"/>
    </row>
    <row r="1509" customFormat="1" s="34">
      <c r="X1509" s="1"/>
    </row>
    <row r="1510" customFormat="1" s="34">
      <c r="X1510" s="1"/>
    </row>
    <row r="1511" customFormat="1" s="34">
      <c r="X1511" s="1"/>
    </row>
    <row r="1512" customFormat="1" s="34">
      <c r="X1512" s="1"/>
    </row>
    <row r="1513" customFormat="1" s="34">
      <c r="X1513" s="1"/>
    </row>
    <row r="1514" customFormat="1" s="34">
      <c r="X1514" s="1"/>
    </row>
    <row r="1515" customFormat="1" s="34">
      <c r="X1515" s="1"/>
    </row>
    <row r="1516" customFormat="1" s="34">
      <c r="X1516" s="1"/>
    </row>
    <row r="1517" customFormat="1" s="34">
      <c r="X1517" s="1"/>
    </row>
    <row r="1518" customFormat="1" s="34">
      <c r="X1518" s="1"/>
    </row>
    <row r="1519" customFormat="1" s="34">
      <c r="X1519" s="1"/>
    </row>
    <row r="1520" customFormat="1" s="34">
      <c r="X1520" s="1"/>
    </row>
    <row r="1521" customFormat="1" s="34">
      <c r="X1521" s="1"/>
    </row>
    <row r="1522" customFormat="1" s="34">
      <c r="X1522" s="1"/>
    </row>
    <row r="1523" customFormat="1" s="34">
      <c r="X1523" s="1"/>
    </row>
    <row r="1524" customFormat="1" s="34">
      <c r="X1524" s="1"/>
    </row>
    <row r="1525" customFormat="1" s="34">
      <c r="X1525" s="1"/>
    </row>
    <row r="1526" customFormat="1" s="34">
      <c r="X1526" s="1"/>
    </row>
    <row r="1527" customFormat="1" s="34">
      <c r="X1527" s="1"/>
    </row>
    <row r="1528" customFormat="1" s="34">
      <c r="X1528" s="1"/>
    </row>
    <row r="1529" customFormat="1" s="34">
      <c r="X1529" s="1"/>
    </row>
    <row r="1530" customFormat="1" s="34">
      <c r="X1530" s="1"/>
    </row>
    <row r="1531" customFormat="1" s="34">
      <c r="X1531" s="1"/>
    </row>
    <row r="1532" customFormat="1" s="34">
      <c r="X1532" s="1"/>
    </row>
    <row r="1533" customFormat="1" s="34">
      <c r="X1533" s="1"/>
    </row>
    <row r="1534" customFormat="1" s="34">
      <c r="X1534" s="1"/>
    </row>
    <row r="1535" customFormat="1" s="34">
      <c r="X1535" s="1"/>
    </row>
    <row r="1536" customFormat="1" s="34">
      <c r="X1536" s="1"/>
    </row>
    <row r="1537" customFormat="1" s="34">
      <c r="X1537" s="1"/>
    </row>
    <row r="1538" customFormat="1" s="34">
      <c r="X1538" s="1"/>
    </row>
    <row r="1539" customFormat="1" s="34">
      <c r="X1539" s="1"/>
    </row>
    <row r="1540" customFormat="1" s="34">
      <c r="X1540" s="1"/>
    </row>
    <row r="1541" customFormat="1" s="34">
      <c r="X1541" s="1"/>
    </row>
    <row r="1542" customFormat="1" s="34">
      <c r="X1542" s="1"/>
    </row>
    <row r="1543" customFormat="1" s="34">
      <c r="X1543" s="1"/>
    </row>
    <row r="1544" customFormat="1" s="34">
      <c r="X1544" s="1"/>
    </row>
    <row r="1545" customFormat="1" s="34">
      <c r="X1545" s="1"/>
    </row>
    <row r="1546" customFormat="1" s="34">
      <c r="X1546" s="1"/>
    </row>
    <row r="1547" customFormat="1" s="34">
      <c r="X1547" s="1"/>
    </row>
    <row r="1548" customFormat="1" s="34">
      <c r="X1548" s="1"/>
    </row>
    <row r="1549" customFormat="1" s="34">
      <c r="X1549" s="1"/>
    </row>
    <row r="1550" customFormat="1" s="34">
      <c r="X1550" s="1"/>
    </row>
    <row r="1551" customFormat="1" s="34">
      <c r="X1551" s="1"/>
    </row>
    <row r="1552" customFormat="1" s="34">
      <c r="X1552" s="1"/>
    </row>
    <row r="1553" customFormat="1" s="34">
      <c r="X1553" s="1"/>
    </row>
    <row r="1554" customFormat="1" s="34">
      <c r="X1554" s="1"/>
    </row>
    <row r="1555" customFormat="1" s="34">
      <c r="X1555" s="1"/>
    </row>
    <row r="1556" customFormat="1" s="34">
      <c r="X1556" s="1"/>
    </row>
    <row r="1557" customFormat="1" s="34">
      <c r="X1557" s="1"/>
    </row>
    <row r="1558" customFormat="1" s="34">
      <c r="X1558" s="1"/>
    </row>
    <row r="1559" customFormat="1" s="34">
      <c r="X1559" s="1"/>
    </row>
    <row r="1560" customFormat="1" s="34">
      <c r="X1560" s="1"/>
    </row>
    <row r="1561" customFormat="1" s="34">
      <c r="X1561" s="1"/>
    </row>
    <row r="1562" customFormat="1" s="34">
      <c r="X1562" s="1"/>
    </row>
    <row r="1563" customFormat="1" s="34">
      <c r="X1563" s="1"/>
    </row>
    <row r="1564" customFormat="1" s="34">
      <c r="X1564" s="1"/>
    </row>
    <row r="1565" customFormat="1" s="34">
      <c r="X1565" s="1"/>
    </row>
    <row r="1566" customFormat="1" s="34">
      <c r="X1566" s="1"/>
    </row>
    <row r="1567" customFormat="1" s="34">
      <c r="X1567" s="1"/>
    </row>
    <row r="1568" customFormat="1" s="34">
      <c r="X1568" s="1"/>
    </row>
    <row r="1569" customFormat="1" s="34">
      <c r="X1569" s="1"/>
    </row>
    <row r="1570" customFormat="1" s="34">
      <c r="X1570" s="1"/>
    </row>
    <row r="1571" customFormat="1" s="34">
      <c r="X1571" s="1"/>
    </row>
    <row r="1572" customFormat="1" s="34">
      <c r="X1572" s="1"/>
    </row>
    <row r="1573" customFormat="1" s="34">
      <c r="X1573" s="1"/>
    </row>
    <row r="1574" customFormat="1" s="34">
      <c r="X1574" s="1"/>
    </row>
    <row r="1575" customFormat="1" s="34">
      <c r="X1575" s="1"/>
    </row>
    <row r="1576" customFormat="1" s="34">
      <c r="X1576" s="1"/>
    </row>
    <row r="1577" customFormat="1" s="34">
      <c r="X1577" s="1"/>
    </row>
    <row r="1578" customFormat="1" s="34">
      <c r="X1578" s="1"/>
    </row>
    <row r="1579" customFormat="1" s="34">
      <c r="X1579" s="1"/>
    </row>
    <row r="1580" customFormat="1" s="34">
      <c r="X1580" s="1"/>
    </row>
    <row r="1581" customFormat="1" s="34">
      <c r="X1581" s="1"/>
    </row>
    <row r="1582" customFormat="1" s="34">
      <c r="X1582" s="1"/>
    </row>
    <row r="1583" customFormat="1" s="34">
      <c r="X1583" s="1"/>
    </row>
    <row r="1584" customFormat="1" s="34">
      <c r="X1584" s="1"/>
    </row>
    <row r="1585" customFormat="1" s="34">
      <c r="X1585" s="1"/>
    </row>
    <row r="1586" customFormat="1" s="34">
      <c r="X1586" s="1"/>
    </row>
    <row r="1587" customFormat="1" s="34">
      <c r="X1587" s="1"/>
    </row>
    <row r="1588" customFormat="1" s="34">
      <c r="X1588" s="1"/>
    </row>
    <row r="1589" customFormat="1" s="34">
      <c r="X1589" s="1"/>
    </row>
    <row r="1590" customFormat="1" s="34">
      <c r="X1590" s="1"/>
    </row>
    <row r="1591" customFormat="1" s="34">
      <c r="X1591" s="1"/>
    </row>
    <row r="1592" customFormat="1" s="34">
      <c r="X1592" s="1"/>
    </row>
    <row r="1593" customFormat="1" s="34">
      <c r="X1593" s="1"/>
    </row>
    <row r="1594" customFormat="1" s="34">
      <c r="X1594" s="1"/>
    </row>
    <row r="1595" customFormat="1" s="34">
      <c r="X1595" s="1"/>
    </row>
    <row r="1596" customFormat="1" s="34">
      <c r="X1596" s="1"/>
    </row>
    <row r="1597" customFormat="1" s="34">
      <c r="X1597" s="1"/>
    </row>
    <row r="1598" customFormat="1" s="34">
      <c r="X1598" s="1"/>
    </row>
    <row r="1599" customFormat="1" s="34">
      <c r="X1599" s="1"/>
    </row>
    <row r="1600" customFormat="1" s="34">
      <c r="X1600" s="1"/>
    </row>
    <row r="1601" customFormat="1" s="34">
      <c r="X1601" s="1"/>
    </row>
    <row r="1602" customFormat="1" s="34">
      <c r="X1602" s="1"/>
    </row>
    <row r="1603" customFormat="1" s="34">
      <c r="X1603" s="1"/>
    </row>
    <row r="1604" customFormat="1" s="34">
      <c r="X1604" s="1"/>
    </row>
    <row r="1605" customFormat="1" s="34">
      <c r="X1605" s="1"/>
    </row>
    <row r="1606" customFormat="1" s="34">
      <c r="X1606" s="1"/>
    </row>
    <row r="1607" customFormat="1" s="34">
      <c r="X1607" s="1"/>
    </row>
    <row r="1608" customFormat="1" s="34">
      <c r="X1608" s="1"/>
    </row>
    <row r="1609" customFormat="1" s="34">
      <c r="X1609" s="1"/>
    </row>
    <row r="1610" customFormat="1" s="34">
      <c r="X1610" s="1"/>
    </row>
    <row r="1611" customFormat="1" s="34">
      <c r="X1611" s="1"/>
    </row>
    <row r="1612" customFormat="1" s="34">
      <c r="X1612" s="1"/>
    </row>
    <row r="1613" customFormat="1" s="34">
      <c r="X1613" s="1"/>
    </row>
    <row r="1614" customFormat="1" s="34">
      <c r="X1614" s="1"/>
    </row>
    <row r="1615" customFormat="1" s="34">
      <c r="X1615" s="1"/>
    </row>
    <row r="1616" customFormat="1" s="34">
      <c r="X1616" s="1"/>
    </row>
    <row r="1617" customFormat="1" s="34">
      <c r="X1617" s="1"/>
    </row>
    <row r="1618" customFormat="1" s="34">
      <c r="X1618" s="1"/>
    </row>
    <row r="1619" customFormat="1" s="34">
      <c r="X1619" s="1"/>
    </row>
    <row r="1620" customFormat="1" s="34">
      <c r="X1620" s="1"/>
    </row>
    <row r="1621" customFormat="1" s="34">
      <c r="X1621" s="1"/>
    </row>
    <row r="1622" customFormat="1" s="34">
      <c r="X1622" s="1"/>
    </row>
    <row r="1623" customFormat="1" s="34">
      <c r="X1623" s="1"/>
    </row>
    <row r="1624" customFormat="1" s="34">
      <c r="X1624" s="1"/>
    </row>
    <row r="1625" customFormat="1" s="34">
      <c r="X1625" s="1"/>
    </row>
    <row r="1626" customFormat="1" s="34">
      <c r="X1626" s="1"/>
    </row>
    <row r="1627" customFormat="1" s="34">
      <c r="X1627" s="1"/>
    </row>
    <row r="1628" customFormat="1" s="34">
      <c r="X1628" s="1"/>
    </row>
    <row r="1629" customFormat="1" s="34">
      <c r="X1629" s="1"/>
    </row>
    <row r="1630" customFormat="1" s="34">
      <c r="X1630" s="1"/>
    </row>
    <row r="1631" customFormat="1" s="34">
      <c r="X1631" s="1"/>
    </row>
    <row r="1632" customFormat="1" s="34">
      <c r="X1632" s="1"/>
    </row>
    <row r="1633" customFormat="1" s="34">
      <c r="X1633" s="1"/>
    </row>
    <row r="1634" customFormat="1" s="34">
      <c r="X1634" s="1"/>
    </row>
    <row r="1635" customFormat="1" s="34">
      <c r="X1635" s="1"/>
    </row>
    <row r="1636" customFormat="1" s="34">
      <c r="X1636" s="1"/>
    </row>
    <row r="1637" customFormat="1" s="34">
      <c r="X1637" s="1"/>
    </row>
    <row r="1638" customFormat="1" s="34">
      <c r="X1638" s="1"/>
    </row>
    <row r="1639" customFormat="1" s="34">
      <c r="X1639" s="1"/>
    </row>
    <row r="1640" customFormat="1" s="34">
      <c r="X1640" s="1"/>
    </row>
    <row r="1641" customFormat="1" s="34">
      <c r="X1641" s="1"/>
    </row>
    <row r="1642" customFormat="1" s="34">
      <c r="X1642" s="1"/>
    </row>
    <row r="1643" customFormat="1" s="34">
      <c r="X1643" s="1"/>
    </row>
    <row r="1644" customFormat="1" s="34">
      <c r="X1644" s="1"/>
    </row>
    <row r="1645" customFormat="1" s="34">
      <c r="X1645" s="1"/>
    </row>
    <row r="1646" customFormat="1" s="34">
      <c r="X1646" s="1"/>
    </row>
    <row r="1647" customFormat="1" s="34">
      <c r="X1647" s="1"/>
    </row>
    <row r="1648" customFormat="1" s="34">
      <c r="X1648" s="1"/>
    </row>
    <row r="1649" customFormat="1" s="34">
      <c r="X1649" s="1"/>
    </row>
    <row r="1650" customFormat="1" s="34">
      <c r="X1650" s="1"/>
    </row>
    <row r="1651" customFormat="1" s="34">
      <c r="X1651" s="1"/>
    </row>
    <row r="1652" customFormat="1" s="34">
      <c r="X1652" s="1"/>
    </row>
    <row r="1653" customFormat="1" s="34">
      <c r="X1653" s="1"/>
    </row>
    <row r="1654" customFormat="1" s="34">
      <c r="X1654" s="1"/>
    </row>
    <row r="1655" customFormat="1" s="34">
      <c r="X1655" s="1"/>
    </row>
    <row r="1656" customFormat="1" s="34">
      <c r="X1656" s="1"/>
    </row>
    <row r="1657" customFormat="1" s="34">
      <c r="X1657" s="1"/>
    </row>
    <row r="1658" customFormat="1" s="34">
      <c r="X1658" s="1"/>
    </row>
    <row r="1659" customFormat="1" s="34">
      <c r="X1659" s="1"/>
    </row>
    <row r="1660" customFormat="1" s="34">
      <c r="X1660" s="1"/>
    </row>
    <row r="1661" customFormat="1" s="34">
      <c r="X1661" s="1"/>
    </row>
    <row r="1662" customFormat="1" s="34">
      <c r="X1662" s="1"/>
    </row>
    <row r="1663" customFormat="1" s="34">
      <c r="X1663" s="1"/>
    </row>
    <row r="1664" customFormat="1" s="34">
      <c r="X1664" s="1"/>
    </row>
    <row r="1665" customFormat="1" s="34">
      <c r="X1665" s="1"/>
    </row>
    <row r="1666" customFormat="1" s="34">
      <c r="X1666" s="1"/>
    </row>
    <row r="1667" customFormat="1" s="34">
      <c r="X1667" s="1"/>
    </row>
    <row r="1668" customFormat="1" s="34">
      <c r="X1668" s="1"/>
    </row>
    <row r="1669" customFormat="1" s="34">
      <c r="X1669" s="1"/>
    </row>
    <row r="1670" customFormat="1" s="34">
      <c r="X1670" s="1"/>
    </row>
    <row r="1671" customFormat="1" s="34">
      <c r="X1671" s="1"/>
    </row>
    <row r="1672" customFormat="1" s="34">
      <c r="X1672" s="1"/>
    </row>
    <row r="1673" customFormat="1" s="34">
      <c r="X1673" s="1"/>
    </row>
    <row r="1674" customFormat="1" s="34">
      <c r="X1674" s="1"/>
    </row>
    <row r="1675" customFormat="1" s="34">
      <c r="X1675" s="1"/>
    </row>
    <row r="1676" customFormat="1" s="34">
      <c r="X1676" s="1"/>
    </row>
    <row r="1677" customFormat="1" s="34">
      <c r="X1677" s="1"/>
    </row>
    <row r="1678" customFormat="1" s="34">
      <c r="X1678" s="1"/>
    </row>
    <row r="1679" customFormat="1" s="34">
      <c r="X1679" s="1"/>
    </row>
    <row r="1680" customFormat="1" s="34">
      <c r="X1680" s="1"/>
    </row>
    <row r="1681" customFormat="1" s="34">
      <c r="X1681" s="1"/>
    </row>
    <row r="1682" customFormat="1" s="34">
      <c r="X1682" s="1"/>
    </row>
    <row r="1683" customFormat="1" s="34">
      <c r="X1683" s="1"/>
    </row>
    <row r="1684" customFormat="1" s="34">
      <c r="X1684" s="1"/>
    </row>
    <row r="1685" customFormat="1" s="34">
      <c r="X1685" s="1"/>
    </row>
    <row r="1686" customFormat="1" s="34">
      <c r="X1686" s="1"/>
    </row>
    <row r="1687" customFormat="1" s="34">
      <c r="X1687" s="1"/>
    </row>
    <row r="1688" customFormat="1" s="34">
      <c r="X1688" s="1"/>
    </row>
    <row r="1689" customFormat="1" s="34">
      <c r="X1689" s="1"/>
    </row>
    <row r="1690" customFormat="1" s="34">
      <c r="X1690" s="1"/>
    </row>
    <row r="1691" customFormat="1" s="34">
      <c r="X1691" s="1"/>
    </row>
    <row r="1692" customFormat="1" s="34">
      <c r="X1692" s="1"/>
    </row>
    <row r="1693" customFormat="1" s="34">
      <c r="X1693" s="1"/>
    </row>
    <row r="1694" customFormat="1" s="34">
      <c r="X1694" s="1"/>
    </row>
    <row r="1695" customFormat="1" s="34">
      <c r="X1695" s="1"/>
    </row>
    <row r="1696" customFormat="1" s="34">
      <c r="X1696" s="1"/>
    </row>
    <row r="1697" customFormat="1" s="34">
      <c r="X1697" s="1"/>
    </row>
    <row r="1698" customFormat="1" s="34">
      <c r="X1698" s="1"/>
    </row>
    <row r="1699" customFormat="1" s="34">
      <c r="X1699" s="1"/>
    </row>
    <row r="1700" customFormat="1" s="34">
      <c r="X1700" s="1"/>
    </row>
    <row r="1701" customFormat="1" s="34">
      <c r="X1701" s="1"/>
    </row>
    <row r="1702" customFormat="1" s="34">
      <c r="X1702" s="1"/>
    </row>
    <row r="1703" customFormat="1" s="34">
      <c r="X1703" s="1"/>
    </row>
    <row r="1704" customFormat="1" s="34">
      <c r="X1704" s="1"/>
    </row>
    <row r="1705" customFormat="1" s="34">
      <c r="X1705" s="1"/>
    </row>
    <row r="1706" customFormat="1" s="34">
      <c r="X1706" s="1"/>
    </row>
    <row r="1707" customFormat="1" s="34">
      <c r="X1707" s="1"/>
    </row>
    <row r="1708" customFormat="1" s="34">
      <c r="X1708" s="1"/>
    </row>
    <row r="1709" customFormat="1" s="34">
      <c r="X1709" s="1"/>
    </row>
    <row r="1710" customFormat="1" s="34">
      <c r="X1710" s="1"/>
    </row>
    <row r="1711" customFormat="1" s="34">
      <c r="X1711" s="1"/>
    </row>
    <row r="1712" customFormat="1" s="34">
      <c r="X1712" s="1"/>
    </row>
    <row r="1713" customFormat="1" s="34">
      <c r="X1713" s="1"/>
    </row>
    <row r="1714" customFormat="1" s="34">
      <c r="X1714" s="1"/>
    </row>
    <row r="1715" customFormat="1" s="34">
      <c r="X1715" s="1"/>
    </row>
    <row r="1716" customFormat="1" s="34">
      <c r="X1716" s="1"/>
    </row>
    <row r="1717" customFormat="1" s="34">
      <c r="X1717" s="1"/>
    </row>
    <row r="1718" customFormat="1" s="34">
      <c r="X1718" s="1"/>
    </row>
    <row r="1719" customFormat="1" s="34">
      <c r="X1719" s="1"/>
    </row>
    <row r="1720" customFormat="1" s="34">
      <c r="X1720" s="1"/>
    </row>
    <row r="1721" customFormat="1" s="34">
      <c r="X1721" s="1"/>
    </row>
    <row r="1722" customFormat="1" s="34">
      <c r="X1722" s="1"/>
    </row>
    <row r="1723" customFormat="1" s="34">
      <c r="X1723" s="1"/>
    </row>
    <row r="1724" customFormat="1" s="34">
      <c r="X1724" s="1"/>
    </row>
    <row r="1725" customFormat="1" s="34">
      <c r="X1725" s="1"/>
    </row>
    <row r="1726" customFormat="1" s="34">
      <c r="X1726" s="1"/>
    </row>
    <row r="1727" customFormat="1" s="34">
      <c r="X1727" s="1"/>
    </row>
    <row r="1728" customFormat="1" s="34">
      <c r="X1728" s="1"/>
    </row>
    <row r="1729" customFormat="1" s="34">
      <c r="X1729" s="1"/>
    </row>
    <row r="1730" customFormat="1" s="34">
      <c r="X1730" s="1"/>
    </row>
    <row r="1731" customFormat="1" s="34">
      <c r="X1731" s="1"/>
    </row>
    <row r="1732" customFormat="1" s="34">
      <c r="X1732" s="1"/>
    </row>
    <row r="1733" customFormat="1" s="34">
      <c r="X1733" s="1"/>
    </row>
    <row r="1734" customFormat="1" s="34">
      <c r="X1734" s="1"/>
    </row>
    <row r="1735" customFormat="1" s="34">
      <c r="X1735" s="1"/>
    </row>
    <row r="1736" customFormat="1" s="34">
      <c r="X1736" s="1"/>
    </row>
    <row r="1737" customFormat="1" s="34">
      <c r="X1737" s="1"/>
    </row>
    <row r="1738" customFormat="1" s="34">
      <c r="X1738" s="1"/>
    </row>
    <row r="1739" customFormat="1" s="34">
      <c r="X1739" s="1"/>
    </row>
    <row r="1740" customFormat="1" s="34">
      <c r="X1740" s="1"/>
    </row>
    <row r="1741" customFormat="1" s="34">
      <c r="X1741" s="1"/>
    </row>
    <row r="1742" customFormat="1" s="34">
      <c r="X1742" s="1"/>
    </row>
    <row r="1743" customFormat="1" s="34">
      <c r="X1743" s="1"/>
    </row>
    <row r="1744" customFormat="1" s="34">
      <c r="X1744" s="1"/>
    </row>
    <row r="1745" customFormat="1" s="34">
      <c r="X1745" s="1"/>
    </row>
    <row r="1746" customFormat="1" s="34">
      <c r="X1746" s="1"/>
    </row>
    <row r="1747" customFormat="1" s="34">
      <c r="X1747" s="1"/>
    </row>
    <row r="1748" customFormat="1" s="34">
      <c r="X1748" s="1"/>
    </row>
    <row r="1749" customFormat="1" s="34">
      <c r="X1749" s="1"/>
    </row>
    <row r="1750" customFormat="1" s="34">
      <c r="X1750" s="1"/>
    </row>
    <row r="1751" customFormat="1" s="34">
      <c r="X1751" s="1"/>
    </row>
    <row r="1752" customFormat="1" s="34">
      <c r="X1752" s="1"/>
    </row>
    <row r="1753" customFormat="1" s="34">
      <c r="X1753" s="1"/>
    </row>
    <row r="1754" customFormat="1" s="34">
      <c r="X1754" s="1"/>
    </row>
    <row r="1755" customFormat="1" s="34">
      <c r="X1755" s="1"/>
    </row>
    <row r="1756" customFormat="1" s="34">
      <c r="X1756" s="1"/>
    </row>
    <row r="1757" customFormat="1" s="34">
      <c r="X1757" s="1"/>
    </row>
    <row r="1758" customFormat="1" s="34">
      <c r="X1758" s="1"/>
    </row>
    <row r="1759" customFormat="1" s="34">
      <c r="X1759" s="1"/>
    </row>
    <row r="1760" customFormat="1" s="34">
      <c r="X1760" s="1"/>
    </row>
    <row r="1761" customFormat="1" s="34">
      <c r="X1761" s="1"/>
    </row>
    <row r="1762" customFormat="1" s="34">
      <c r="X1762" s="1"/>
    </row>
    <row r="1763" customFormat="1" s="34">
      <c r="X1763" s="1"/>
    </row>
    <row r="1764" customFormat="1" s="34">
      <c r="X1764" s="1"/>
    </row>
    <row r="1765" customFormat="1" s="34">
      <c r="X1765" s="1"/>
    </row>
    <row r="1766" customFormat="1" s="34">
      <c r="X1766" s="1"/>
    </row>
    <row r="1767" customFormat="1" s="34">
      <c r="X1767" s="1"/>
    </row>
    <row r="1768" customFormat="1" s="34">
      <c r="X1768" s="1"/>
    </row>
    <row r="1769" customFormat="1" s="34">
      <c r="X1769" s="1"/>
    </row>
    <row r="1770" customFormat="1" s="34">
      <c r="X1770" s="1"/>
    </row>
    <row r="1771" customFormat="1" s="34">
      <c r="X1771" s="1"/>
    </row>
    <row r="1772" customFormat="1" s="34">
      <c r="X1772" s="1"/>
    </row>
    <row r="1773" customFormat="1" s="34">
      <c r="X1773" s="1"/>
    </row>
    <row r="1774" customFormat="1" s="34">
      <c r="X1774" s="1"/>
    </row>
    <row r="1775" customFormat="1" s="34">
      <c r="X1775" s="1"/>
    </row>
    <row r="1776" customFormat="1" s="34">
      <c r="X1776" s="1"/>
    </row>
    <row r="1777" customFormat="1" s="34">
      <c r="X1777" s="1"/>
    </row>
    <row r="1778" customFormat="1" s="34">
      <c r="X1778" s="1"/>
    </row>
    <row r="1779" customFormat="1" s="34">
      <c r="X1779" s="1"/>
    </row>
    <row r="1780" customFormat="1" s="34">
      <c r="X1780" s="1"/>
    </row>
    <row r="1781" customFormat="1" s="34">
      <c r="X1781" s="1"/>
    </row>
    <row r="1782" customFormat="1" s="34">
      <c r="X1782" s="1"/>
    </row>
    <row r="1783" customFormat="1" s="34">
      <c r="X1783" s="1"/>
    </row>
    <row r="1784" customFormat="1" s="34">
      <c r="X1784" s="1"/>
    </row>
    <row r="1785" customFormat="1" s="34">
      <c r="X1785" s="1"/>
    </row>
    <row r="1786" customFormat="1" s="34">
      <c r="X1786" s="1"/>
    </row>
    <row r="1787" customFormat="1" s="34">
      <c r="X1787" s="1"/>
    </row>
    <row r="1788" customFormat="1" s="34">
      <c r="X1788" s="1"/>
    </row>
    <row r="1789" customFormat="1" s="34">
      <c r="X1789" s="1"/>
    </row>
    <row r="1790" customFormat="1" s="34">
      <c r="X1790" s="1"/>
    </row>
    <row r="1791" customFormat="1" s="34">
      <c r="X1791" s="1"/>
    </row>
    <row r="1792" customFormat="1" s="34">
      <c r="X1792" s="1"/>
    </row>
    <row r="1793" customFormat="1" s="34">
      <c r="X1793" s="1"/>
    </row>
    <row r="1794" customFormat="1" s="34">
      <c r="X1794" s="1"/>
    </row>
    <row r="1795" customFormat="1" s="34">
      <c r="X1795" s="1"/>
    </row>
    <row r="1796" customFormat="1" s="34">
      <c r="X1796" s="1"/>
    </row>
    <row r="1797" customFormat="1" s="34">
      <c r="X1797" s="1"/>
    </row>
    <row r="1798" customFormat="1" s="34">
      <c r="X1798" s="1"/>
    </row>
    <row r="1799" customFormat="1" s="34">
      <c r="X1799" s="1"/>
    </row>
    <row r="1800" customFormat="1" s="34">
      <c r="X1800" s="1"/>
    </row>
    <row r="1801" customFormat="1" s="34">
      <c r="X1801" s="1"/>
    </row>
    <row r="1802" customFormat="1" s="34">
      <c r="X1802" s="1"/>
    </row>
    <row r="1803" customFormat="1" s="34">
      <c r="X1803" s="1"/>
    </row>
    <row r="1804" customFormat="1" s="34">
      <c r="X1804" s="1"/>
    </row>
    <row r="1805" customFormat="1" s="34">
      <c r="X1805" s="1"/>
    </row>
    <row r="1806" customFormat="1" s="34">
      <c r="X1806" s="1"/>
    </row>
    <row r="1807" customFormat="1" s="34">
      <c r="X1807" s="1"/>
    </row>
    <row r="1808" customFormat="1" s="34">
      <c r="X1808" s="1"/>
    </row>
    <row r="1809" customFormat="1" s="34">
      <c r="X1809" s="1"/>
    </row>
    <row r="1810" customFormat="1" s="34">
      <c r="X1810" s="1"/>
    </row>
    <row r="1811" customFormat="1" s="34">
      <c r="X1811" s="1"/>
    </row>
    <row r="1812" customFormat="1" s="34">
      <c r="X1812" s="1"/>
    </row>
    <row r="1813" customFormat="1" s="34">
      <c r="X1813" s="1"/>
    </row>
    <row r="1814" customFormat="1" s="34">
      <c r="X1814" s="1"/>
    </row>
    <row r="1815" customFormat="1" s="34">
      <c r="X1815" s="1"/>
    </row>
    <row r="1816" customFormat="1" s="34">
      <c r="X1816" s="1"/>
    </row>
    <row r="1817" customFormat="1" s="34">
      <c r="X1817" s="1"/>
    </row>
    <row r="1818" customFormat="1" s="34">
      <c r="X1818" s="1"/>
    </row>
    <row r="1819" customFormat="1" s="34">
      <c r="X1819" s="1"/>
    </row>
    <row r="1820" customFormat="1" s="34">
      <c r="X1820" s="1"/>
    </row>
    <row r="1821" customFormat="1" s="34">
      <c r="X1821" s="1"/>
    </row>
    <row r="1822" customFormat="1" s="34">
      <c r="X1822" s="1"/>
    </row>
    <row r="1823" customFormat="1" s="34">
      <c r="X1823" s="1"/>
    </row>
    <row r="1824" customFormat="1" s="34">
      <c r="X1824" s="1"/>
    </row>
    <row r="1825" customFormat="1" s="34">
      <c r="X1825" s="1"/>
    </row>
    <row r="1826" customFormat="1" s="34">
      <c r="X1826" s="1"/>
    </row>
    <row r="1827" customFormat="1" s="34">
      <c r="X1827" s="1"/>
    </row>
    <row r="1828" customFormat="1" s="34">
      <c r="X1828" s="1"/>
    </row>
    <row r="1829" customFormat="1" s="34">
      <c r="X1829" s="1"/>
    </row>
    <row r="1830" customFormat="1" s="34">
      <c r="X1830" s="1"/>
    </row>
    <row r="1831" customFormat="1" s="34">
      <c r="X1831" s="1"/>
    </row>
    <row r="1832" customFormat="1" s="34">
      <c r="X1832" s="1"/>
    </row>
    <row r="1833" customFormat="1" s="34">
      <c r="X1833" s="1"/>
    </row>
    <row r="1834" customFormat="1" s="34">
      <c r="X1834" s="1"/>
    </row>
    <row r="1835" customFormat="1" s="34">
      <c r="X1835" s="1"/>
    </row>
    <row r="1836" customFormat="1" s="34">
      <c r="X1836" s="1"/>
    </row>
    <row r="1837" customFormat="1" s="34">
      <c r="X1837" s="1"/>
    </row>
    <row r="1838" customFormat="1" s="34">
      <c r="X1838" s="1"/>
    </row>
    <row r="1839" customFormat="1" s="34">
      <c r="X1839" s="1"/>
    </row>
    <row r="1840" customFormat="1" s="34">
      <c r="X1840" s="1"/>
    </row>
    <row r="1841" customFormat="1" s="34">
      <c r="X1841" s="1"/>
    </row>
    <row r="1842" customFormat="1" s="34">
      <c r="X1842" s="1"/>
    </row>
    <row r="1843" customFormat="1" s="34">
      <c r="X1843" s="1"/>
    </row>
    <row r="1844" customFormat="1" s="34">
      <c r="X1844" s="1"/>
    </row>
    <row r="1845" customFormat="1" s="34">
      <c r="X1845" s="1"/>
    </row>
    <row r="1846" customFormat="1" s="34">
      <c r="X1846" s="1"/>
    </row>
    <row r="1847" customFormat="1" s="34">
      <c r="X1847" s="1"/>
    </row>
    <row r="1848" customFormat="1" s="34">
      <c r="X1848" s="1"/>
    </row>
    <row r="1849" customFormat="1" s="34">
      <c r="X1849" s="1"/>
    </row>
    <row r="1850" customFormat="1" s="34">
      <c r="X1850" s="1"/>
    </row>
    <row r="1851" customFormat="1" s="34">
      <c r="X1851" s="1"/>
    </row>
    <row r="1852" customFormat="1" s="34">
      <c r="X1852" s="1"/>
    </row>
    <row r="1853" customFormat="1" s="34">
      <c r="X1853" s="1"/>
    </row>
    <row r="1854" customFormat="1" s="34">
      <c r="X1854" s="1"/>
    </row>
    <row r="1855" customFormat="1" s="34">
      <c r="X1855" s="1"/>
    </row>
    <row r="1856" customFormat="1" s="34">
      <c r="X1856" s="1"/>
    </row>
    <row r="1857" customFormat="1" s="34">
      <c r="X1857" s="1"/>
    </row>
    <row r="1858" customFormat="1" s="34">
      <c r="X1858" s="1"/>
    </row>
    <row r="1859" customFormat="1" s="34">
      <c r="X1859" s="1"/>
    </row>
    <row r="1860" customFormat="1" s="34">
      <c r="X1860" s="1"/>
    </row>
    <row r="1861" customFormat="1" s="34">
      <c r="X1861" s="1"/>
    </row>
    <row r="1862" customFormat="1" s="34">
      <c r="X1862" s="1"/>
    </row>
    <row r="1863" customFormat="1" s="34">
      <c r="X1863" s="1"/>
    </row>
    <row r="1864" customFormat="1" s="34">
      <c r="X1864" s="1"/>
    </row>
    <row r="1865" customFormat="1" s="34">
      <c r="X1865" s="1"/>
    </row>
    <row r="1866" customFormat="1" s="34">
      <c r="X1866" s="1"/>
    </row>
    <row r="1867" customFormat="1" s="34">
      <c r="X1867" s="1"/>
    </row>
    <row r="1868" customFormat="1" s="34">
      <c r="X1868" s="1"/>
    </row>
    <row r="1869" customFormat="1" s="34">
      <c r="X1869" s="1"/>
    </row>
    <row r="1870" customFormat="1" s="34">
      <c r="X1870" s="1"/>
    </row>
    <row r="1871" customFormat="1" s="34">
      <c r="X1871" s="1"/>
    </row>
    <row r="1872" customFormat="1" s="34">
      <c r="X1872" s="1"/>
    </row>
    <row r="1873" customFormat="1" s="34">
      <c r="X1873" s="1"/>
    </row>
    <row r="1874" customFormat="1" s="34">
      <c r="X1874" s="1"/>
    </row>
    <row r="1875" customFormat="1" s="34">
      <c r="X1875" s="1"/>
    </row>
    <row r="1876" customFormat="1" s="34">
      <c r="X1876" s="1"/>
    </row>
    <row r="1877" customFormat="1" s="34">
      <c r="X1877" s="1"/>
    </row>
    <row r="1878" customFormat="1" s="34">
      <c r="X1878" s="1"/>
    </row>
    <row r="1879" customFormat="1" s="34">
      <c r="X1879" s="1"/>
    </row>
    <row r="1880" customFormat="1" s="34">
      <c r="X1880" s="1"/>
    </row>
    <row r="1881" customFormat="1" s="34">
      <c r="X1881" s="1"/>
    </row>
    <row r="1882" customFormat="1" s="34">
      <c r="X1882" s="1"/>
    </row>
    <row r="1883" customFormat="1" s="34">
      <c r="X1883" s="1"/>
    </row>
    <row r="1884" customFormat="1" s="34">
      <c r="X1884" s="1"/>
    </row>
    <row r="1885" customFormat="1" s="34">
      <c r="X1885" s="1"/>
    </row>
    <row r="1886" customFormat="1" s="34">
      <c r="X1886" s="1"/>
    </row>
    <row r="1887" customFormat="1" s="34">
      <c r="X1887" s="1"/>
    </row>
    <row r="1888" customFormat="1" s="34">
      <c r="X1888" s="1"/>
    </row>
    <row r="1889" customFormat="1" s="34">
      <c r="X1889" s="1"/>
    </row>
    <row r="1890" customFormat="1" s="34">
      <c r="X1890" s="1"/>
    </row>
    <row r="1891" customFormat="1" s="34">
      <c r="X1891" s="1"/>
    </row>
    <row r="1892" customFormat="1" s="34">
      <c r="X1892" s="1"/>
    </row>
    <row r="1893" customFormat="1" s="34">
      <c r="X1893" s="1"/>
    </row>
    <row r="1894" customFormat="1" s="34">
      <c r="X1894" s="1"/>
    </row>
    <row r="1895" customFormat="1" s="34">
      <c r="X1895" s="1"/>
    </row>
    <row r="1896" customFormat="1" s="34">
      <c r="X1896" s="1"/>
    </row>
    <row r="1897" customFormat="1" s="34">
      <c r="X1897" s="1"/>
    </row>
    <row r="1898" customFormat="1" s="34">
      <c r="X1898" s="1"/>
    </row>
    <row r="1899" customFormat="1" s="34">
      <c r="X1899" s="1"/>
    </row>
    <row r="1900" customFormat="1" s="34">
      <c r="X1900" s="1"/>
    </row>
    <row r="1901" customFormat="1" s="34">
      <c r="X1901" s="1"/>
    </row>
    <row r="1902" customFormat="1" s="34">
      <c r="X1902" s="1"/>
    </row>
    <row r="1903" customFormat="1" s="34">
      <c r="X1903" s="1"/>
    </row>
    <row r="1904" customFormat="1" s="34">
      <c r="X1904" s="1"/>
    </row>
    <row r="1905" customFormat="1" s="34">
      <c r="X1905" s="1"/>
    </row>
    <row r="1906" customFormat="1" s="34">
      <c r="X1906" s="1"/>
    </row>
    <row r="1907" customFormat="1" s="34">
      <c r="X1907" s="1"/>
    </row>
    <row r="1908" customFormat="1" s="34">
      <c r="X1908" s="1"/>
    </row>
    <row r="1909" customFormat="1" s="34">
      <c r="X1909" s="1"/>
    </row>
    <row r="1910" customFormat="1" s="34">
      <c r="X1910" s="1"/>
    </row>
    <row r="1911" customFormat="1" s="34">
      <c r="X1911" s="1"/>
    </row>
    <row r="1912" customFormat="1" s="34">
      <c r="X1912" s="1"/>
    </row>
    <row r="1913" customFormat="1" s="34">
      <c r="X1913" s="1"/>
    </row>
    <row r="1914" customFormat="1" s="34">
      <c r="X1914" s="1"/>
    </row>
    <row r="1915" customFormat="1" s="34">
      <c r="X1915" s="1"/>
    </row>
    <row r="1916" customFormat="1" s="34">
      <c r="X1916" s="1"/>
    </row>
    <row r="1917" customFormat="1" s="34">
      <c r="X1917" s="1"/>
    </row>
    <row r="1918" customFormat="1" s="34">
      <c r="X1918" s="1"/>
    </row>
    <row r="1919" customFormat="1" s="34">
      <c r="X1919" s="1"/>
    </row>
    <row r="1920" customFormat="1" s="34">
      <c r="X1920" s="1"/>
    </row>
    <row r="1921" customFormat="1" s="34">
      <c r="X1921" s="1"/>
    </row>
    <row r="1922" customFormat="1" s="34">
      <c r="X1922" s="1"/>
    </row>
    <row r="1923" customFormat="1" s="34">
      <c r="X1923" s="1"/>
    </row>
    <row r="1924" customFormat="1" s="34">
      <c r="X1924" s="1"/>
    </row>
    <row r="1925" customFormat="1" s="34">
      <c r="X1925" s="1"/>
    </row>
    <row r="1926" customFormat="1" s="34">
      <c r="X1926" s="1"/>
    </row>
    <row r="1927" customFormat="1" s="34">
      <c r="X1927" s="1"/>
    </row>
    <row r="1928" customFormat="1" s="34">
      <c r="X1928" s="1"/>
    </row>
    <row r="1929" customFormat="1" s="34">
      <c r="X1929" s="1"/>
    </row>
    <row r="1930" customFormat="1" s="34">
      <c r="X1930" s="1"/>
    </row>
    <row r="1931" customFormat="1" s="34">
      <c r="X1931" s="1"/>
    </row>
    <row r="1932" customFormat="1" s="34">
      <c r="X1932" s="1"/>
    </row>
    <row r="1933" customFormat="1" s="34">
      <c r="X1933" s="1"/>
    </row>
    <row r="1934" customFormat="1" s="34">
      <c r="X1934" s="1"/>
    </row>
    <row r="1935" customFormat="1" s="34">
      <c r="X1935" s="1"/>
    </row>
    <row r="1936" customFormat="1" s="34">
      <c r="X1936" s="1"/>
    </row>
    <row r="1937" customFormat="1" s="34">
      <c r="X1937" s="1"/>
    </row>
    <row r="1938" customFormat="1" s="34">
      <c r="X1938" s="1"/>
    </row>
    <row r="1939" customFormat="1" s="34">
      <c r="X1939" s="1"/>
    </row>
    <row r="1940" customFormat="1" s="34">
      <c r="X1940" s="1"/>
    </row>
    <row r="1941" customFormat="1" s="34">
      <c r="X1941" s="1"/>
    </row>
    <row r="1942" customFormat="1" s="34">
      <c r="X1942" s="1"/>
    </row>
    <row r="1943" customFormat="1" s="34">
      <c r="X1943" s="1"/>
    </row>
    <row r="1944" customFormat="1" s="34">
      <c r="X1944" s="1"/>
    </row>
    <row r="1945" customFormat="1" s="34">
      <c r="X1945" s="1"/>
    </row>
    <row r="1946" customFormat="1" s="34">
      <c r="X1946" s="1"/>
    </row>
    <row r="1947" customFormat="1" s="34">
      <c r="X1947" s="1"/>
    </row>
    <row r="1948" customFormat="1" s="34">
      <c r="X1948" s="1"/>
    </row>
    <row r="1949" customFormat="1" s="34">
      <c r="X1949" s="1"/>
    </row>
    <row r="1950" customFormat="1" s="34">
      <c r="X1950" s="1"/>
    </row>
    <row r="1951" customFormat="1" s="34">
      <c r="X1951" s="1"/>
    </row>
    <row r="1952" customFormat="1" s="34">
      <c r="X1952" s="1"/>
    </row>
    <row r="1953" customFormat="1" s="34">
      <c r="X1953" s="1"/>
    </row>
    <row r="1954" customFormat="1" s="34">
      <c r="X1954" s="1"/>
    </row>
    <row r="1955" customFormat="1" s="34">
      <c r="X1955" s="1"/>
    </row>
    <row r="1956" customFormat="1" s="34">
      <c r="X1956" s="1"/>
    </row>
    <row r="1957" customFormat="1" s="34">
      <c r="X1957" s="1"/>
    </row>
    <row r="1958" customFormat="1" s="34">
      <c r="X1958" s="1"/>
    </row>
    <row r="1959" customFormat="1" s="34">
      <c r="X1959" s="1"/>
    </row>
    <row r="1960" customFormat="1" s="34">
      <c r="X1960" s="1"/>
    </row>
    <row r="1961" customFormat="1" s="34">
      <c r="X1961" s="1"/>
    </row>
    <row r="1962" customFormat="1" s="34">
      <c r="X1962" s="1"/>
    </row>
    <row r="1963" customFormat="1" s="34">
      <c r="X1963" s="1"/>
    </row>
    <row r="1964" customFormat="1" s="34">
      <c r="X1964" s="1"/>
    </row>
    <row r="1965" customFormat="1" s="34">
      <c r="X1965" s="1"/>
    </row>
    <row r="1966" customFormat="1" s="34">
      <c r="X1966" s="1"/>
    </row>
    <row r="1967" customFormat="1" s="34">
      <c r="X1967" s="1"/>
    </row>
    <row r="1968" customFormat="1" s="34">
      <c r="X1968" s="1"/>
    </row>
    <row r="1969" customFormat="1" s="34">
      <c r="X1969" s="1"/>
    </row>
    <row r="1970" customFormat="1" s="34">
      <c r="X1970" s="1"/>
    </row>
    <row r="1971" customFormat="1" s="34">
      <c r="X1971" s="1"/>
    </row>
    <row r="1972" customFormat="1" s="34">
      <c r="X1972" s="1"/>
    </row>
    <row r="1973" customFormat="1" s="34">
      <c r="X1973" s="1"/>
    </row>
    <row r="1974" customFormat="1" s="34">
      <c r="X1974" s="1"/>
    </row>
    <row r="1975" customFormat="1" s="34">
      <c r="X1975" s="1"/>
    </row>
    <row r="1976" customFormat="1" s="34">
      <c r="X1976" s="1"/>
    </row>
    <row r="1977" customFormat="1" s="34">
      <c r="X1977" s="1"/>
    </row>
    <row r="1978" customFormat="1" s="34">
      <c r="X1978" s="1"/>
    </row>
    <row r="1979" customFormat="1" s="34">
      <c r="X1979" s="1"/>
    </row>
    <row r="1980" customFormat="1" s="34">
      <c r="X1980" s="1"/>
    </row>
    <row r="1981" customFormat="1" s="34">
      <c r="X1981" s="1"/>
    </row>
    <row r="1982" customFormat="1" s="34">
      <c r="X1982" s="1"/>
    </row>
    <row r="1983" customFormat="1" s="34">
      <c r="X1983" s="1"/>
    </row>
    <row r="1984" customFormat="1" s="34">
      <c r="X1984" s="1"/>
    </row>
    <row r="1985" customFormat="1" s="34">
      <c r="X1985" s="1"/>
    </row>
    <row r="1986" customFormat="1" s="34">
      <c r="X1986" s="1"/>
    </row>
    <row r="1987" customFormat="1" s="34">
      <c r="X1987" s="1"/>
    </row>
    <row r="1988" customFormat="1" s="34">
      <c r="X1988" s="1"/>
    </row>
    <row r="1989" customFormat="1" s="34">
      <c r="X1989" s="1"/>
    </row>
    <row r="1990" customFormat="1" s="34">
      <c r="X1990" s="1"/>
    </row>
    <row r="1991" customFormat="1" s="34">
      <c r="X1991" s="1"/>
    </row>
    <row r="1992" customFormat="1" s="34">
      <c r="X1992" s="1"/>
    </row>
    <row r="1993" customFormat="1" s="34">
      <c r="X1993" s="1"/>
    </row>
    <row r="1994" customFormat="1" s="34">
      <c r="X1994" s="1"/>
    </row>
    <row r="1995" customFormat="1" s="34">
      <c r="X1995" s="1"/>
    </row>
    <row r="1996" customFormat="1" s="34">
      <c r="X1996" s="1"/>
    </row>
    <row r="1997" customFormat="1" s="34">
      <c r="X1997" s="1"/>
    </row>
    <row r="1998" customFormat="1" s="34">
      <c r="X1998" s="1"/>
    </row>
    <row r="1999" customFormat="1" s="34">
      <c r="X1999" s="1"/>
    </row>
    <row r="2000" customFormat="1" s="34">
      <c r="X2000" s="1"/>
    </row>
    <row r="131101">
      <c r="X131101" s="1"/>
    </row>
  </sheetData>
  <autoFilter ref="A1:X159"/>
  <hyperlinks>
    <hyperlink ref="D2" r:id="rId1"/>
    <hyperlink ref="F2" r:id="rId2"/>
    <hyperlink ref="U2" r:id="rId3"/>
    <hyperlink ref="D3" r:id="rId4"/>
    <hyperlink ref="F3" r:id="rId5"/>
    <hyperlink ref="U3" r:id="rId6"/>
    <hyperlink ref="W3" r:id="rId7"/>
    <hyperlink ref="D4" r:id="rId8"/>
    <hyperlink ref="F4" r:id="rId9"/>
    <hyperlink ref="L4" r:id="rId10"/>
    <hyperlink ref="D5" r:id="rId11"/>
    <hyperlink ref="F5" r:id="rId12"/>
    <hyperlink ref="D6" r:id="rId13"/>
    <hyperlink ref="F6" r:id="rId14"/>
    <hyperlink ref="L6" r:id="rId15"/>
    <hyperlink ref="D7" r:id="rId16"/>
    <hyperlink ref="F7" r:id="rId17"/>
    <hyperlink ref="L7" r:id="rId18"/>
    <hyperlink ref="D8" r:id="rId19"/>
    <hyperlink ref="F8" r:id="rId20"/>
    <hyperlink ref="U8" r:id="rId21"/>
    <hyperlink ref="D9" r:id="rId22"/>
    <hyperlink ref="F9" r:id="rId23"/>
    <hyperlink ref="U9" r:id="rId24"/>
    <hyperlink ref="D10" r:id="rId25"/>
    <hyperlink ref="F10" r:id="rId26"/>
    <hyperlink ref="U10" r:id="rId27"/>
    <hyperlink ref="W10" r:id="rId28"/>
    <hyperlink ref="D11" r:id="rId29"/>
    <hyperlink ref="F11" r:id="rId30"/>
    <hyperlink ref="D12" r:id="rId31"/>
    <hyperlink ref="F12" r:id="rId32"/>
    <hyperlink ref="L12" r:id="rId33"/>
    <hyperlink ref="U12" r:id="rId34"/>
    <hyperlink ref="D13" r:id="rId35"/>
    <hyperlink ref="F13" r:id="rId36"/>
    <hyperlink ref="U13" r:id="rId37"/>
    <hyperlink ref="D14" r:id="rId38"/>
    <hyperlink ref="F14" r:id="rId39"/>
    <hyperlink ref="D15" r:id="rId40"/>
    <hyperlink ref="F15" r:id="rId41"/>
    <hyperlink ref="U15" r:id="rId42"/>
    <hyperlink ref="D16" r:id="rId43"/>
    <hyperlink ref="F16" r:id="rId44"/>
    <hyperlink ref="U16" r:id="rId45"/>
    <hyperlink ref="D17" r:id="rId46"/>
    <hyperlink ref="F17" r:id="rId47"/>
    <hyperlink ref="U17" r:id="rId48"/>
    <hyperlink ref="D18" r:id="rId49"/>
    <hyperlink ref="D19" r:id="rId50"/>
    <hyperlink ref="F19" r:id="rId51"/>
    <hyperlink ref="D20" r:id="rId52"/>
    <hyperlink ref="F20" r:id="rId53"/>
    <hyperlink ref="U20" r:id="rId54"/>
    <hyperlink ref="D21" r:id="rId55"/>
    <hyperlink ref="F21" r:id="rId56"/>
    <hyperlink ref="U21" r:id="rId57"/>
    <hyperlink ref="D22" r:id="rId58"/>
    <hyperlink ref="F22" r:id="rId59"/>
    <hyperlink ref="U22" r:id="rId60"/>
    <hyperlink ref="D23" r:id="rId61"/>
    <hyperlink ref="F23" r:id="rId62"/>
    <hyperlink ref="U23" r:id="rId63"/>
    <hyperlink ref="D24" r:id="rId64"/>
    <hyperlink ref="F24" r:id="rId65"/>
    <hyperlink ref="U24" r:id="rId66"/>
    <hyperlink ref="W24" r:id="rId67"/>
    <hyperlink ref="D25" r:id="rId68"/>
    <hyperlink ref="F25" r:id="rId69"/>
    <hyperlink ref="U25" r:id="rId70"/>
    <hyperlink ref="D26" r:id="rId71"/>
    <hyperlink ref="F26" r:id="rId72"/>
    <hyperlink ref="U26" r:id="rId73"/>
    <hyperlink ref="D27" r:id="rId74"/>
    <hyperlink ref="F27" r:id="rId75"/>
    <hyperlink ref="U27" r:id="rId76"/>
    <hyperlink ref="D28" r:id="rId77"/>
    <hyperlink ref="F28" r:id="rId78"/>
    <hyperlink ref="U28" r:id="rId79"/>
    <hyperlink ref="D29" r:id="rId80"/>
    <hyperlink ref="F29" r:id="rId81"/>
    <hyperlink ref="U29" r:id="rId82"/>
    <hyperlink ref="D30" r:id="rId83"/>
    <hyperlink ref="F30" r:id="rId84"/>
    <hyperlink ref="L30" r:id="rId85"/>
    <hyperlink ref="U30" r:id="rId86"/>
    <hyperlink ref="D31" r:id="rId87"/>
    <hyperlink ref="F31" r:id="rId88"/>
    <hyperlink ref="U31" r:id="rId89"/>
    <hyperlink ref="D32" r:id="rId90"/>
    <hyperlink ref="F32" r:id="rId91"/>
    <hyperlink ref="D33" r:id="rId92"/>
    <hyperlink ref="F33" r:id="rId93"/>
    <hyperlink ref="D34" r:id="rId94"/>
    <hyperlink ref="F34" r:id="rId95"/>
    <hyperlink ref="L34" r:id="rId96"/>
    <hyperlink ref="U34" r:id="rId97"/>
    <hyperlink ref="D35" r:id="rId98"/>
    <hyperlink ref="F35" r:id="rId99"/>
    <hyperlink ref="U35" r:id="rId100"/>
    <hyperlink ref="D36" r:id="rId101"/>
    <hyperlink ref="F36" r:id="rId102"/>
    <hyperlink ref="U36" r:id="rId103"/>
    <hyperlink ref="D37" r:id="rId104"/>
    <hyperlink ref="F37" r:id="rId105"/>
    <hyperlink ref="U37" r:id="rId106"/>
    <hyperlink ref="D38" r:id="rId107"/>
    <hyperlink ref="F38" r:id="rId108"/>
    <hyperlink ref="L38" r:id="rId109"/>
    <hyperlink ref="D39" r:id="rId110"/>
    <hyperlink ref="F39" r:id="rId111"/>
    <hyperlink ref="L39" r:id="rId112"/>
    <hyperlink ref="U39" r:id="rId113"/>
    <hyperlink ref="D40" r:id="rId114"/>
    <hyperlink ref="F40" r:id="rId115"/>
    <hyperlink ref="L40" r:id="rId116"/>
    <hyperlink ref="U40" r:id="rId117"/>
    <hyperlink ref="D41" r:id="rId118"/>
    <hyperlink ref="F41" r:id="rId119"/>
    <hyperlink ref="D42" r:id="rId120"/>
    <hyperlink ref="F42" r:id="rId121"/>
    <hyperlink ref="U42" r:id="rId122"/>
    <hyperlink ref="D43" r:id="rId123"/>
    <hyperlink ref="F43" r:id="rId124"/>
    <hyperlink ref="L43" r:id="rId125"/>
    <hyperlink ref="U43" r:id="rId126"/>
    <hyperlink ref="D44" r:id="rId127"/>
    <hyperlink ref="F44" r:id="rId128"/>
    <hyperlink ref="U44" r:id="rId129"/>
    <hyperlink ref="D45" r:id="rId130"/>
    <hyperlink ref="F45" r:id="rId131"/>
    <hyperlink ref="U45" r:id="rId132"/>
    <hyperlink ref="D46" r:id="rId133"/>
    <hyperlink ref="F46" r:id="rId134"/>
    <hyperlink ref="L46" r:id="rId135"/>
    <hyperlink ref="U46" r:id="rId136"/>
    <hyperlink ref="D47" r:id="rId137"/>
    <hyperlink ref="F47" r:id="rId138"/>
    <hyperlink ref="U47" r:id="rId139"/>
    <hyperlink ref="D48" r:id="rId140"/>
    <hyperlink ref="F48" r:id="rId141"/>
    <hyperlink ref="U48" r:id="rId142"/>
    <hyperlink ref="D49" r:id="rId143"/>
    <hyperlink ref="F49" r:id="rId144"/>
    <hyperlink ref="T49" r:id="rId145"/>
    <hyperlink ref="D50" r:id="rId146"/>
    <hyperlink ref="F50" r:id="rId147"/>
    <hyperlink ref="U50" r:id="rId148"/>
    <hyperlink ref="D51" r:id="rId149"/>
    <hyperlink ref="F51" r:id="rId150"/>
    <hyperlink ref="U51" r:id="rId151"/>
    <hyperlink ref="D52" r:id="rId152"/>
    <hyperlink ref="F52" r:id="rId153"/>
    <hyperlink ref="U52" r:id="rId154"/>
    <hyperlink ref="D53" r:id="rId155"/>
    <hyperlink ref="F53" r:id="rId156"/>
    <hyperlink ref="D54" r:id="rId157"/>
    <hyperlink ref="F54" r:id="rId158"/>
    <hyperlink ref="D55" r:id="rId159"/>
    <hyperlink ref="F55" r:id="rId160"/>
    <hyperlink ref="D56" r:id="rId161"/>
    <hyperlink ref="F56" r:id="rId162"/>
    <hyperlink ref="D57" r:id="rId163"/>
    <hyperlink ref="F57" r:id="rId164"/>
    <hyperlink ref="D58" r:id="rId165"/>
    <hyperlink ref="F58" r:id="rId166"/>
    <hyperlink ref="U58" r:id="rId167"/>
    <hyperlink ref="D59" r:id="rId168"/>
    <hyperlink ref="F59" r:id="rId169"/>
    <hyperlink ref="D60" r:id="rId170"/>
    <hyperlink ref="F60" r:id="rId171"/>
    <hyperlink ref="L60" r:id="rId172"/>
    <hyperlink ref="U60" r:id="rId173"/>
    <hyperlink ref="D61" r:id="rId174"/>
    <hyperlink ref="F61" r:id="rId175"/>
    <hyperlink ref="U61" r:id="rId176"/>
    <hyperlink ref="D62" r:id="rId177"/>
    <hyperlink ref="F62" r:id="rId178"/>
    <hyperlink ref="L62" r:id="rId179"/>
    <hyperlink ref="U62" r:id="rId180"/>
    <hyperlink ref="D63" r:id="rId181"/>
    <hyperlink ref="F63" r:id="rId182"/>
    <hyperlink ref="D64" r:id="rId183"/>
    <hyperlink ref="F64" r:id="rId184"/>
    <hyperlink ref="L64" r:id="rId185"/>
    <hyperlink ref="D65" r:id="rId186"/>
    <hyperlink ref="F65" r:id="rId187"/>
    <hyperlink ref="D66" r:id="rId188"/>
    <hyperlink ref="F66" r:id="rId189"/>
    <hyperlink ref="L66" r:id="rId190"/>
    <hyperlink ref="U66" r:id="rId191"/>
    <hyperlink ref="D67" r:id="rId192"/>
    <hyperlink ref="F67" r:id="rId193"/>
    <hyperlink ref="D68" r:id="rId194"/>
    <hyperlink ref="F68" r:id="rId195"/>
    <hyperlink ref="D69" r:id="rId196"/>
    <hyperlink ref="F69" r:id="rId197"/>
    <hyperlink ref="L69" r:id="rId198"/>
    <hyperlink ref="U69" r:id="rId199"/>
    <hyperlink ref="D70" r:id="rId200"/>
    <hyperlink ref="F70" r:id="rId201"/>
    <hyperlink ref="U70" r:id="rId202"/>
    <hyperlink ref="D71" r:id="rId203"/>
    <hyperlink ref="F71" r:id="rId204"/>
    <hyperlink ref="D72" r:id="rId205"/>
    <hyperlink ref="F72" r:id="rId206"/>
    <hyperlink ref="L72" r:id="rId207"/>
    <hyperlink ref="U72" r:id="rId208"/>
    <hyperlink ref="D73" r:id="rId209"/>
    <hyperlink ref="F73" r:id="rId210"/>
    <hyperlink ref="U73" r:id="rId211"/>
    <hyperlink ref="D74" r:id="rId212"/>
    <hyperlink ref="F74" r:id="rId213"/>
    <hyperlink ref="D75" r:id="rId214"/>
    <hyperlink ref="F75" r:id="rId215"/>
    <hyperlink ref="U75" r:id="rId216"/>
    <hyperlink ref="D76" r:id="rId217"/>
    <hyperlink ref="F76" r:id="rId218"/>
    <hyperlink ref="U76" r:id="rId219"/>
    <hyperlink ref="D77" r:id="rId220"/>
    <hyperlink ref="F77" r:id="rId221"/>
    <hyperlink ref="D78" r:id="rId222"/>
    <hyperlink ref="F78" r:id="rId223"/>
    <hyperlink ref="L78" r:id="rId224"/>
    <hyperlink ref="U78" r:id="rId225"/>
    <hyperlink ref="D79" r:id="rId226"/>
    <hyperlink ref="F79" r:id="rId227"/>
    <hyperlink ref="L79" r:id="rId228"/>
    <hyperlink ref="U79" r:id="rId229"/>
    <hyperlink ref="D80" r:id="rId230"/>
    <hyperlink ref="F80" r:id="rId231"/>
    <hyperlink ref="U80" r:id="rId232"/>
    <hyperlink ref="D81" r:id="rId233"/>
    <hyperlink ref="F81" r:id="rId234"/>
    <hyperlink ref="D82" r:id="rId235"/>
    <hyperlink ref="F82" r:id="rId236"/>
    <hyperlink ref="U82" r:id="rId237"/>
    <hyperlink ref="D83" r:id="rId238"/>
    <hyperlink ref="F83" r:id="rId239"/>
    <hyperlink ref="L83" r:id="rId240"/>
    <hyperlink ref="D84" r:id="rId241"/>
    <hyperlink ref="F84" r:id="rId242"/>
    <hyperlink ref="L84" r:id="rId243"/>
    <hyperlink ref="D85" r:id="rId244"/>
    <hyperlink ref="F85" r:id="rId245"/>
    <hyperlink ref="U85" r:id="rId246"/>
    <hyperlink ref="D86" r:id="rId247"/>
    <hyperlink ref="F86" r:id="rId248"/>
    <hyperlink ref="U86" r:id="rId249"/>
    <hyperlink ref="D87" r:id="rId250"/>
    <hyperlink ref="F87" r:id="rId251"/>
    <hyperlink ref="D88" r:id="rId252"/>
    <hyperlink ref="F88" r:id="rId253"/>
    <hyperlink ref="U88" r:id="rId254"/>
    <hyperlink ref="D89" r:id="rId255"/>
    <hyperlink ref="F89" r:id="rId256"/>
    <hyperlink ref="L89" r:id="rId257"/>
    <hyperlink ref="D90" r:id="rId258"/>
    <hyperlink ref="F90" r:id="rId259"/>
    <hyperlink ref="U90" r:id="rId260"/>
    <hyperlink ref="D91" r:id="rId261"/>
    <hyperlink ref="F91" r:id="rId262"/>
    <hyperlink ref="D92" r:id="rId263"/>
    <hyperlink ref="F92" r:id="rId264"/>
    <hyperlink ref="L92" r:id="rId265"/>
    <hyperlink ref="U92" r:id="rId266"/>
    <hyperlink ref="W92" r:id="rId267"/>
    <hyperlink ref="D93" r:id="rId268"/>
    <hyperlink ref="F93" r:id="rId269"/>
    <hyperlink ref="L93" r:id="rId270"/>
    <hyperlink ref="U93" r:id="rId271"/>
    <hyperlink ref="D94" r:id="rId272"/>
    <hyperlink ref="F94" r:id="rId273"/>
    <hyperlink ref="U94" r:id="rId274"/>
    <hyperlink ref="W94" r:id="rId275"/>
    <hyperlink ref="D95" r:id="rId276"/>
    <hyperlink ref="F95" r:id="rId277"/>
    <hyperlink ref="L95" r:id="rId278"/>
    <hyperlink ref="U95" r:id="rId279"/>
    <hyperlink ref="W95" r:id="rId280"/>
    <hyperlink ref="D96" r:id="rId281"/>
    <hyperlink ref="F96" r:id="rId282"/>
    <hyperlink ref="U96" r:id="rId283"/>
    <hyperlink ref="D97" r:id="rId284"/>
    <hyperlink ref="F97" r:id="rId285"/>
    <hyperlink ref="U97" r:id="rId286"/>
    <hyperlink ref="D98" r:id="rId287"/>
    <hyperlink ref="F98" r:id="rId288"/>
    <hyperlink ref="U98" r:id="rId289"/>
    <hyperlink ref="D99" r:id="rId290"/>
    <hyperlink ref="F99" r:id="rId291"/>
    <hyperlink ref="U99" r:id="rId292"/>
    <hyperlink ref="D100" r:id="rId293"/>
    <hyperlink ref="F100" r:id="rId294"/>
    <hyperlink ref="L100" r:id="rId295"/>
    <hyperlink ref="U100" r:id="rId296"/>
  </hyperlinks>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W99"/>
  <sheetViews>
    <sheetView workbookViewId="0"/>
  </sheetViews>
  <sheetFormatPr defaultRowHeight="14.0" customHeight="1"/>
  <cols>
    <col min="1" max="1" style="34" width="10.2"/>
    <col min="2" max="2" style="34" width="9.0"/>
    <col min="3" max="3" style="34" width="12.18"/>
    <col min="4" max="4" style="34" width="38.82"/>
    <col min="5" max="6" style="34" width="13.24"/>
    <col min="7" max="7" style="34" width="62.14"/>
    <col min="8" max="8" style="34" width="53.92"/>
    <col min="9" max="10" style="34" width="13.24"/>
    <col min="11" max="11" style="34" width="16.42"/>
    <col min="12" max="12" style="34" width="13.64"/>
    <col min="13" max="13" style="34" width="27.82"/>
    <col min="14" max="14" style="34" width="21.33"/>
    <col min="15" max="15" style="34" width="16.69"/>
    <col min="16" max="19" style="34" width="13.24"/>
    <col min="20" max="20" style="34" width="49.42"/>
    <col min="21" max="21" style="34" width="51.8"/>
    <col min="22" max="22" style="34" width="36.3"/>
    <col min="23" max="23" style="34" width="49.55"/>
    <col min="24" max="2048" style="34" width="13.24"/>
  </cols>
  <sheetData>
    <row r="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62</v>
      </c>
    </row>
    <row hidden="1" r="2" ht="205.0" customFormat="1" s="34">
      <c r="A2" s="36">
        <v>46055</v>
      </c>
      <c r="B2" s="34" t="s">
        <v>34</v>
      </c>
      <c r="C2" s="34" t="s">
        <v>63</v>
      </c>
      <c r="D2" s="37" t="s">
        <v>662</v>
      </c>
      <c r="E2" s="34" t="s">
        <v>663</v>
      </c>
      <c r="F2" s="38" t="s">
        <v>664</v>
      </c>
      <c r="G2" s="34" t="s">
        <v>665</v>
      </c>
      <c r="H2" s="34" t="s">
        <v>666</v>
      </c>
      <c r="I2" s="34" t="s">
        <v>667</v>
      </c>
      <c r="K2" s="34" t="s">
        <v>95</v>
      </c>
      <c r="M2" s="34" t="s">
        <v>97</v>
      </c>
      <c r="N2" s="34" t="s">
        <v>71</v>
      </c>
      <c r="O2" s="34" t="s">
        <v>98</v>
      </c>
      <c r="P2" s="34" t="s">
        <v>10</v>
      </c>
      <c r="Q2" s="34">
        <v>550.0</v>
      </c>
      <c r="S2" s="40" t="s">
        <v>127</v>
      </c>
      <c r="U2" s="34" t="s">
        <v>668</v>
      </c>
      <c r="V2" s="34" t="s">
        <v>669</v>
      </c>
      <c r="W2" s="34" t="s">
        <v>670</v>
      </c>
    </row>
    <row r="3" ht="27.0" customFormat="1" s="34">
      <c r="A3" s="36">
        <v>46055</v>
      </c>
      <c r="B3" s="34" t="s">
        <v>34</v>
      </c>
      <c r="C3" s="34" t="s">
        <v>76</v>
      </c>
      <c r="D3" s="37" t="s">
        <v>671</v>
      </c>
      <c r="E3" s="34" t="s">
        <v>672</v>
      </c>
      <c r="F3" s="38" t="s">
        <v>673</v>
      </c>
      <c r="G3" s="34" t="s">
        <v>674</v>
      </c>
      <c r="J3" s="34" t="s">
        <v>675</v>
      </c>
      <c r="K3" s="34" t="s">
        <v>115</v>
      </c>
      <c r="M3" s="34" t="s">
        <v>97</v>
      </c>
      <c r="N3" s="34" t="s">
        <v>71</v>
      </c>
      <c r="O3" s="34" t="s">
        <v>84</v>
      </c>
      <c r="P3" s="34" t="s">
        <v>9</v>
      </c>
      <c r="Q3" s="34">
        <v>1.0</v>
      </c>
      <c r="S3" s="40" t="s">
        <v>294</v>
      </c>
      <c r="U3" s="38" t="s">
        <v>676</v>
      </c>
    </row>
    <row hidden="1" r="4" ht="82.0" customFormat="1" s="34">
      <c r="A4" s="36">
        <v>46055</v>
      </c>
      <c r="B4" s="34" t="s">
        <v>35</v>
      </c>
      <c r="C4" s="34" t="s">
        <v>108</v>
      </c>
      <c r="D4" s="37" t="s">
        <v>677</v>
      </c>
      <c r="E4" s="34" t="s">
        <v>678</v>
      </c>
      <c r="F4" s="38" t="s">
        <v>679</v>
      </c>
      <c r="G4" s="34" t="s">
        <v>680</v>
      </c>
      <c r="H4" s="34" t="s">
        <v>163</v>
      </c>
      <c r="I4" s="34" t="s">
        <v>266</v>
      </c>
      <c r="K4" s="34" t="s">
        <v>95</v>
      </c>
      <c r="L4" s="34" t="s">
        <v>681</v>
      </c>
      <c r="M4" s="34" t="s">
        <v>97</v>
      </c>
      <c r="N4" s="34" t="s">
        <v>71</v>
      </c>
      <c r="O4" s="34" t="s">
        <v>84</v>
      </c>
      <c r="P4" s="34" t="s">
        <v>10</v>
      </c>
      <c r="Q4" s="34" t="s">
        <v>682</v>
      </c>
      <c r="S4" s="40" t="s">
        <v>127</v>
      </c>
      <c r="U4" s="38" t="s">
        <v>683</v>
      </c>
      <c r="V4" s="34" t="s">
        <v>684</v>
      </c>
    </row>
    <row hidden="1" r="5" ht="41.0" customFormat="1" s="34">
      <c r="A5" s="36">
        <v>46055</v>
      </c>
      <c r="B5" s="34" t="s">
        <v>35</v>
      </c>
      <c r="C5" s="34" t="s">
        <v>88</v>
      </c>
      <c r="D5" s="37" t="s">
        <v>685</v>
      </c>
      <c r="E5" s="34" t="s">
        <v>539</v>
      </c>
      <c r="F5" s="38" t="s">
        <v>686</v>
      </c>
      <c r="G5" s="34" t="s">
        <v>687</v>
      </c>
      <c r="H5" s="34" t="s">
        <v>688</v>
      </c>
      <c r="K5" s="34" t="s">
        <v>689</v>
      </c>
      <c r="L5" s="34" t="s">
        <v>681</v>
      </c>
      <c r="M5" s="34" t="s">
        <v>97</v>
      </c>
      <c r="N5" s="34" t="s">
        <v>71</v>
      </c>
      <c r="O5" s="34" t="s">
        <v>84</v>
      </c>
      <c r="P5" s="34" t="s">
        <v>10</v>
      </c>
      <c r="Q5" s="34">
        <v>1.0</v>
      </c>
      <c r="S5" s="40" t="s">
        <v>85</v>
      </c>
      <c r="T5" s="34" t="s">
        <v>690</v>
      </c>
      <c r="U5" s="38" t="s">
        <v>691</v>
      </c>
      <c r="W5" s="41" t="s">
        <v>692</v>
      </c>
    </row>
    <row hidden="1" r="6" ht="68.0">
      <c r="A6" s="36">
        <v>46056</v>
      </c>
      <c r="B6" s="34" t="s">
        <v>35</v>
      </c>
      <c r="C6" s="34" t="s">
        <v>88</v>
      </c>
      <c r="D6" s="37" t="s">
        <v>693</v>
      </c>
      <c r="E6" s="34" t="s">
        <v>130</v>
      </c>
      <c r="F6" s="38" t="s">
        <v>694</v>
      </c>
      <c r="G6" s="34" t="s">
        <v>695</v>
      </c>
      <c r="H6" s="34" t="s">
        <v>163</v>
      </c>
      <c r="K6" s="34" t="s">
        <v>95</v>
      </c>
      <c r="L6" s="38" t="s">
        <v>696</v>
      </c>
      <c r="M6" s="34" t="s">
        <v>117</v>
      </c>
      <c r="N6" s="34" t="s">
        <v>71</v>
      </c>
      <c r="O6" s="34" t="s">
        <v>133</v>
      </c>
      <c r="P6" s="34" t="s">
        <v>10</v>
      </c>
      <c r="Q6" s="34">
        <v>20.0</v>
      </c>
      <c r="S6" s="40" t="s">
        <v>134</v>
      </c>
      <c r="U6" s="38" t="s">
        <v>697</v>
      </c>
      <c r="V6" s="34" t="s">
        <v>698</v>
      </c>
    </row>
    <row hidden="1" r="7" ht="68.0">
      <c r="A7" s="36">
        <v>46056</v>
      </c>
      <c r="B7" s="34" t="s">
        <v>34</v>
      </c>
      <c r="C7" s="34" t="s">
        <v>88</v>
      </c>
      <c r="D7" s="37" t="s">
        <v>699</v>
      </c>
      <c r="E7" s="34" t="s">
        <v>539</v>
      </c>
      <c r="F7" s="38" t="s">
        <v>700</v>
      </c>
      <c r="G7" s="34" t="s">
        <v>701</v>
      </c>
      <c r="H7" s="34" t="s">
        <v>163</v>
      </c>
      <c r="I7" s="34" t="s">
        <v>702</v>
      </c>
      <c r="J7" s="34" t="s">
        <v>703</v>
      </c>
      <c r="K7" s="34" t="s">
        <v>95</v>
      </c>
      <c r="L7" s="38" t="s">
        <v>704</v>
      </c>
      <c r="M7" s="34" t="s">
        <v>117</v>
      </c>
      <c r="N7" s="34" t="s">
        <v>71</v>
      </c>
      <c r="O7" s="34" t="s">
        <v>133</v>
      </c>
      <c r="P7" s="34" t="s">
        <v>10</v>
      </c>
      <c r="Q7" s="34">
        <v>10.0</v>
      </c>
      <c r="S7" s="40" t="s">
        <v>134</v>
      </c>
      <c r="U7" s="38" t="s">
        <v>705</v>
      </c>
      <c r="V7" s="34" t="s">
        <v>706</v>
      </c>
    </row>
    <row hidden="1" r="8" ht="27.0">
      <c r="A8" s="36">
        <v>46056</v>
      </c>
      <c r="B8" s="34" t="s">
        <v>34</v>
      </c>
      <c r="C8" s="34" t="s">
        <v>76</v>
      </c>
      <c r="D8" s="37" t="s">
        <v>707</v>
      </c>
      <c r="E8" s="34" t="s">
        <v>297</v>
      </c>
      <c r="F8" s="38" t="s">
        <v>708</v>
      </c>
      <c r="G8" s="34" t="s">
        <v>709</v>
      </c>
      <c r="J8" s="34" t="s">
        <v>710</v>
      </c>
      <c r="K8" s="34" t="s">
        <v>95</v>
      </c>
      <c r="M8" s="34" t="s">
        <v>83</v>
      </c>
      <c r="N8" s="34" t="s">
        <v>71</v>
      </c>
      <c r="O8" s="34" t="s">
        <v>84</v>
      </c>
      <c r="P8" s="34" t="s">
        <v>10</v>
      </c>
      <c r="Q8" s="34">
        <v>1.0</v>
      </c>
      <c r="S8" s="40" t="s">
        <v>568</v>
      </c>
      <c r="U8" s="38" t="s">
        <v>711</v>
      </c>
    </row>
    <row hidden="1" r="9" ht="27.0">
      <c r="A9" s="36">
        <v>46056</v>
      </c>
      <c r="B9" s="34" t="s">
        <v>34</v>
      </c>
      <c r="C9" s="34" t="s">
        <v>76</v>
      </c>
      <c r="D9" s="37" t="s">
        <v>712</v>
      </c>
      <c r="E9" s="34" t="s">
        <v>130</v>
      </c>
      <c r="F9" s="38" t="s">
        <v>713</v>
      </c>
      <c r="G9" s="34" t="s">
        <v>714</v>
      </c>
      <c r="J9" s="34" t="s">
        <v>715</v>
      </c>
      <c r="K9" s="34" t="s">
        <v>95</v>
      </c>
      <c r="M9" s="34" t="s">
        <v>117</v>
      </c>
      <c r="N9" s="34" t="s">
        <v>71</v>
      </c>
      <c r="O9" s="34" t="s">
        <v>84</v>
      </c>
      <c r="P9" s="34" t="s">
        <v>10</v>
      </c>
      <c r="Q9" s="34" t="s">
        <v>716</v>
      </c>
      <c r="S9" s="40" t="s">
        <v>99</v>
      </c>
      <c r="U9" s="38" t="s">
        <v>717</v>
      </c>
      <c r="V9" s="34" t="s">
        <v>718</v>
      </c>
    </row>
    <row hidden="1" r="10" ht="43.0">
      <c r="A10" s="36">
        <v>46056</v>
      </c>
      <c r="B10" s="34" t="s">
        <v>34</v>
      </c>
      <c r="C10" s="34" t="s">
        <v>76</v>
      </c>
      <c r="D10" s="37" t="s">
        <v>719</v>
      </c>
      <c r="E10" s="34" t="s">
        <v>720</v>
      </c>
      <c r="F10" s="38" t="s">
        <v>721</v>
      </c>
      <c r="G10" s="42" t="s">
        <v>722</v>
      </c>
      <c r="J10" s="34" t="s">
        <v>140</v>
      </c>
      <c r="K10" s="34" t="s">
        <v>95</v>
      </c>
      <c r="M10" s="34" t="s">
        <v>97</v>
      </c>
      <c r="N10" s="34" t="s">
        <v>71</v>
      </c>
      <c r="O10" s="34" t="s">
        <v>98</v>
      </c>
      <c r="P10" s="34" t="s">
        <v>10</v>
      </c>
      <c r="Q10" s="34">
        <v>10.0</v>
      </c>
      <c r="S10" s="40" t="s">
        <v>134</v>
      </c>
      <c r="U10" s="38" t="s">
        <v>723</v>
      </c>
    </row>
    <row hidden="1" r="11" ht="27.0">
      <c r="A11" s="36">
        <v>46056</v>
      </c>
      <c r="B11" s="34" t="s">
        <v>34</v>
      </c>
      <c r="C11" s="34" t="s">
        <v>76</v>
      </c>
      <c r="D11" s="37" t="s">
        <v>724</v>
      </c>
      <c r="E11" s="34" t="s">
        <v>725</v>
      </c>
      <c r="F11" s="38" t="s">
        <v>726</v>
      </c>
      <c r="G11" s="34" t="s">
        <v>727</v>
      </c>
      <c r="J11" s="34" t="s">
        <v>140</v>
      </c>
      <c r="K11" s="34" t="s">
        <v>125</v>
      </c>
      <c r="M11" s="34" t="s">
        <v>97</v>
      </c>
      <c r="N11" s="34" t="s">
        <v>71</v>
      </c>
      <c r="O11" s="34" t="s">
        <v>98</v>
      </c>
      <c r="P11" s="34" t="s">
        <v>10</v>
      </c>
      <c r="Q11" s="34">
        <v>13.0</v>
      </c>
      <c r="S11" s="40" t="s">
        <v>134</v>
      </c>
      <c r="U11" s="38" t="s">
        <v>728</v>
      </c>
      <c r="V11" s="34" t="s">
        <v>729</v>
      </c>
    </row>
    <row hidden="1" r="12" ht="41.0">
      <c r="A12" s="36">
        <v>46056</v>
      </c>
      <c r="B12" s="34" t="s">
        <v>34</v>
      </c>
      <c r="C12" s="34" t="s">
        <v>108</v>
      </c>
      <c r="D12" s="37" t="s">
        <v>730</v>
      </c>
      <c r="E12" s="34" t="s">
        <v>731</v>
      </c>
      <c r="F12" s="38" t="s">
        <v>732</v>
      </c>
      <c r="G12" s="34" t="s">
        <v>733</v>
      </c>
      <c r="H12" s="34" t="s">
        <v>163</v>
      </c>
      <c r="I12" s="34" t="s">
        <v>734</v>
      </c>
      <c r="J12" s="34" t="s">
        <v>735</v>
      </c>
      <c r="K12" s="34" t="s">
        <v>95</v>
      </c>
      <c r="L12" s="38" t="s">
        <v>736</v>
      </c>
      <c r="M12" s="34" t="s">
        <v>117</v>
      </c>
      <c r="N12" s="34" t="s">
        <v>71</v>
      </c>
      <c r="O12" s="34" t="s">
        <v>84</v>
      </c>
      <c r="P12" s="34" t="s">
        <v>10</v>
      </c>
      <c r="Q12" s="43">
        <v>46366</v>
      </c>
      <c r="S12" s="40" t="s">
        <v>99</v>
      </c>
      <c r="U12" s="38" t="s">
        <v>737</v>
      </c>
      <c r="V12" s="34" t="s">
        <v>738</v>
      </c>
    </row>
    <row hidden="1" r="13" ht="68.0">
      <c r="A13" s="36">
        <v>46056</v>
      </c>
      <c r="B13" s="34" t="s">
        <v>34</v>
      </c>
      <c r="C13" s="34" t="s">
        <v>108</v>
      </c>
      <c r="D13" s="37" t="s">
        <v>739</v>
      </c>
      <c r="E13" s="34" t="s">
        <v>517</v>
      </c>
      <c r="F13" s="38" t="s">
        <v>740</v>
      </c>
      <c r="G13" s="34" t="s">
        <v>741</v>
      </c>
      <c r="H13" s="34" t="s">
        <v>163</v>
      </c>
      <c r="I13" s="34" t="s">
        <v>266</v>
      </c>
      <c r="K13" s="34" t="s">
        <v>95</v>
      </c>
      <c r="L13" s="38" t="s">
        <v>742</v>
      </c>
      <c r="M13" s="34" t="s">
        <v>97</v>
      </c>
      <c r="N13" s="34" t="s">
        <v>71</v>
      </c>
      <c r="O13" s="34" t="s">
        <v>84</v>
      </c>
      <c r="P13" s="34" t="s">
        <v>10</v>
      </c>
      <c r="Q13" s="43"/>
      <c r="S13" s="40"/>
      <c r="U13" s="38" t="s">
        <v>743</v>
      </c>
      <c r="V13" s="34" t="s">
        <v>744</v>
      </c>
    </row>
    <row r="14" ht="41.0">
      <c r="A14" s="36">
        <v>46057</v>
      </c>
      <c r="B14" s="34" t="s">
        <v>35</v>
      </c>
      <c r="C14" s="34" t="s">
        <v>88</v>
      </c>
      <c r="D14" s="37" t="s">
        <v>745</v>
      </c>
      <c r="E14" s="34" t="s">
        <v>558</v>
      </c>
      <c r="F14" s="38" t="s">
        <v>746</v>
      </c>
      <c r="G14" s="34" t="s">
        <v>747</v>
      </c>
      <c r="H14" s="34" t="s">
        <v>163</v>
      </c>
      <c r="I14" s="34" t="s">
        <v>748</v>
      </c>
      <c r="J14" s="34" t="s">
        <v>419</v>
      </c>
      <c r="K14" s="34" t="s">
        <v>125</v>
      </c>
      <c r="L14" s="34" t="s">
        <v>681</v>
      </c>
      <c r="M14" s="34" t="s">
        <v>83</v>
      </c>
      <c r="N14" s="34" t="s">
        <v>71</v>
      </c>
      <c r="O14" s="34" t="s">
        <v>84</v>
      </c>
      <c r="P14" s="34" t="s">
        <v>9</v>
      </c>
      <c r="Q14" s="34">
        <v>8.0</v>
      </c>
      <c r="R14" s="39">
        <v>104.54</v>
      </c>
      <c r="S14" s="40" t="s">
        <v>294</v>
      </c>
      <c r="T14" s="38" t="s">
        <v>749</v>
      </c>
      <c r="U14" s="38" t="s">
        <v>750</v>
      </c>
    </row>
    <row hidden="1" r="15" ht="27.0">
      <c r="A15" s="36">
        <v>46057</v>
      </c>
      <c r="B15" s="34" t="s">
        <v>34</v>
      </c>
      <c r="C15" s="34" t="s">
        <v>108</v>
      </c>
      <c r="D15" s="37" t="s">
        <v>751</v>
      </c>
      <c r="E15" s="34" t="s">
        <v>530</v>
      </c>
      <c r="F15" s="38" t="s">
        <v>752</v>
      </c>
      <c r="G15" s="34" t="s">
        <v>753</v>
      </c>
      <c r="H15" s="34" t="s">
        <v>163</v>
      </c>
      <c r="I15" s="34" t="s">
        <v>266</v>
      </c>
      <c r="K15" s="34" t="s">
        <v>95</v>
      </c>
      <c r="L15" s="38" t="s">
        <v>754</v>
      </c>
      <c r="M15" s="34" t="s">
        <v>83</v>
      </c>
      <c r="N15" s="34" t="s">
        <v>71</v>
      </c>
      <c r="O15" s="34" t="s">
        <v>84</v>
      </c>
      <c r="P15" s="34" t="s">
        <v>10</v>
      </c>
      <c r="Q15" s="34">
        <v>3.0</v>
      </c>
      <c r="R15" s="39"/>
      <c r="S15" s="40"/>
      <c r="U15" s="34" t="s">
        <v>456</v>
      </c>
      <c r="V15" s="34" t="s">
        <v>755</v>
      </c>
    </row>
    <row hidden="1" r="16" ht="68.0">
      <c r="A16" s="36">
        <v>46057</v>
      </c>
      <c r="B16" s="34" t="s">
        <v>34</v>
      </c>
      <c r="C16" s="34" t="s">
        <v>108</v>
      </c>
      <c r="D16" s="37" t="s">
        <v>756</v>
      </c>
      <c r="E16" s="34" t="s">
        <v>757</v>
      </c>
      <c r="F16" s="38" t="s">
        <v>758</v>
      </c>
      <c r="G16" s="34" t="s">
        <v>759</v>
      </c>
      <c r="H16" s="34" t="s">
        <v>760</v>
      </c>
      <c r="I16" s="34" t="s">
        <v>266</v>
      </c>
      <c r="K16" s="34" t="s">
        <v>95</v>
      </c>
      <c r="L16" s="38" t="s">
        <v>761</v>
      </c>
      <c r="M16" s="34" t="s">
        <v>117</v>
      </c>
      <c r="N16" s="34" t="s">
        <v>71</v>
      </c>
      <c r="O16" s="34" t="s">
        <v>84</v>
      </c>
      <c r="P16" s="34" t="s">
        <v>10</v>
      </c>
      <c r="Q16" s="34" t="s">
        <v>762</v>
      </c>
      <c r="R16" s="39"/>
      <c r="S16" s="40" t="s">
        <v>127</v>
      </c>
      <c r="U16" s="38" t="s">
        <v>763</v>
      </c>
      <c r="V16" s="34" t="s">
        <v>764</v>
      </c>
      <c r="W16" s="41" t="s">
        <v>765</v>
      </c>
    </row>
    <row hidden="1" r="17" ht="55.0" customFormat="1" s="34">
      <c r="A17" s="36">
        <v>46057</v>
      </c>
      <c r="B17" s="34" t="s">
        <v>34</v>
      </c>
      <c r="C17" s="34" t="s">
        <v>76</v>
      </c>
      <c r="D17" s="37" t="s">
        <v>766</v>
      </c>
      <c r="E17" s="34" t="s">
        <v>517</v>
      </c>
      <c r="F17" s="38" t="s">
        <v>767</v>
      </c>
      <c r="G17" s="34" t="s">
        <v>768</v>
      </c>
      <c r="K17" s="34" t="s">
        <v>95</v>
      </c>
      <c r="M17" s="34" t="s">
        <v>117</v>
      </c>
      <c r="N17" s="34" t="s">
        <v>71</v>
      </c>
      <c r="O17" s="34" t="s">
        <v>84</v>
      </c>
      <c r="P17" s="34" t="s">
        <v>535</v>
      </c>
      <c r="S17" s="40"/>
    </row>
    <row hidden="1" r="18" ht="27.0" customFormat="1" s="34">
      <c r="A18" s="36">
        <v>46057</v>
      </c>
      <c r="B18" s="34" t="s">
        <v>34</v>
      </c>
      <c r="C18" s="34" t="s">
        <v>76</v>
      </c>
      <c r="D18" s="37" t="s">
        <v>769</v>
      </c>
      <c r="E18" s="34" t="s">
        <v>770</v>
      </c>
      <c r="F18" s="38" t="s">
        <v>771</v>
      </c>
      <c r="G18" s="34" t="s">
        <v>772</v>
      </c>
      <c r="J18" s="34" t="s">
        <v>773</v>
      </c>
      <c r="K18" s="34" t="s">
        <v>69</v>
      </c>
      <c r="M18" s="34" t="s">
        <v>83</v>
      </c>
      <c r="N18" s="34" t="s">
        <v>71</v>
      </c>
      <c r="O18" s="34" t="s">
        <v>98</v>
      </c>
      <c r="P18" s="34" t="s">
        <v>395</v>
      </c>
      <c r="S18" s="40"/>
    </row>
    <row hidden="1" r="19" ht="41.0">
      <c r="A19" s="36">
        <v>46057</v>
      </c>
      <c r="B19" s="34" t="s">
        <v>35</v>
      </c>
      <c r="C19" s="34" t="s">
        <v>88</v>
      </c>
      <c r="D19" s="37" t="s">
        <v>774</v>
      </c>
      <c r="E19" s="34" t="s">
        <v>377</v>
      </c>
      <c r="F19" s="38" t="s">
        <v>775</v>
      </c>
      <c r="G19" s="34" t="s">
        <v>776</v>
      </c>
      <c r="H19" s="34" t="s">
        <v>163</v>
      </c>
      <c r="K19" s="34" t="s">
        <v>689</v>
      </c>
      <c r="L19" s="34" t="s">
        <v>681</v>
      </c>
      <c r="M19" s="34" t="s">
        <v>97</v>
      </c>
      <c r="N19" s="34" t="s">
        <v>71</v>
      </c>
      <c r="O19" s="34" t="s">
        <v>207</v>
      </c>
      <c r="P19" s="34" t="s">
        <v>10</v>
      </c>
      <c r="Q19" s="43">
        <v>46174</v>
      </c>
      <c r="S19" s="40" t="s">
        <v>85</v>
      </c>
      <c r="T19" s="34" t="s">
        <v>777</v>
      </c>
      <c r="U19" s="34" t="s">
        <v>778</v>
      </c>
      <c r="V19" s="34" t="s">
        <v>684</v>
      </c>
    </row>
    <row r="20" ht="27.0">
      <c r="A20" s="36">
        <v>46058</v>
      </c>
      <c r="B20" s="34" t="s">
        <v>34</v>
      </c>
      <c r="C20" s="34" t="s">
        <v>76</v>
      </c>
      <c r="D20" s="37" t="s">
        <v>779</v>
      </c>
      <c r="E20" s="34" t="s">
        <v>78</v>
      </c>
      <c r="F20" s="38" t="s">
        <v>780</v>
      </c>
      <c r="G20" s="34" t="s">
        <v>781</v>
      </c>
      <c r="K20" s="34" t="s">
        <v>125</v>
      </c>
      <c r="M20" s="34" t="s">
        <v>117</v>
      </c>
      <c r="N20" s="34" t="s">
        <v>71</v>
      </c>
      <c r="O20" s="34" t="s">
        <v>84</v>
      </c>
      <c r="P20" s="34" t="s">
        <v>9</v>
      </c>
      <c r="Q20" s="34">
        <v>10.0</v>
      </c>
      <c r="S20" s="40" t="s">
        <v>99</v>
      </c>
    </row>
    <row hidden="1" r="21" ht="137.0">
      <c r="A21" s="36">
        <v>46058</v>
      </c>
      <c r="B21" s="34" t="s">
        <v>34</v>
      </c>
      <c r="C21" s="34" t="s">
        <v>108</v>
      </c>
      <c r="D21" s="37" t="s">
        <v>782</v>
      </c>
      <c r="E21" s="34" t="s">
        <v>783</v>
      </c>
      <c r="F21" s="38" t="s">
        <v>784</v>
      </c>
      <c r="G21" s="34" t="s">
        <v>785</v>
      </c>
      <c r="H21" s="34" t="s">
        <v>786</v>
      </c>
      <c r="K21" s="34" t="s">
        <v>95</v>
      </c>
      <c r="L21" s="38" t="s">
        <v>787</v>
      </c>
      <c r="M21" s="34" t="s">
        <v>117</v>
      </c>
      <c r="N21" s="34" t="s">
        <v>71</v>
      </c>
      <c r="O21" s="34" t="s">
        <v>98</v>
      </c>
      <c r="P21" s="34" t="s">
        <v>10</v>
      </c>
      <c r="Q21" s="34">
        <v>50.0</v>
      </c>
      <c r="S21" s="40" t="s">
        <v>127</v>
      </c>
      <c r="T21" s="58" t="s">
        <v>788</v>
      </c>
      <c r="U21" s="38" t="s">
        <v>789</v>
      </c>
      <c r="V21" s="34" t="s">
        <v>684</v>
      </c>
      <c r="W21" s="38" t="s">
        <v>790</v>
      </c>
    </row>
    <row hidden="1" r="22" ht="27.0">
      <c r="A22" s="36">
        <v>46058</v>
      </c>
      <c r="B22" s="34" t="s">
        <v>37</v>
      </c>
      <c r="C22" s="34" t="s">
        <v>108</v>
      </c>
      <c r="D22" s="37" t="s">
        <v>791</v>
      </c>
      <c r="E22" s="34" t="s">
        <v>517</v>
      </c>
      <c r="F22" s="38" t="s">
        <v>792</v>
      </c>
      <c r="G22" s="34" t="s">
        <v>793</v>
      </c>
      <c r="I22" s="34" t="s">
        <v>140</v>
      </c>
      <c r="K22" s="34" t="s">
        <v>69</v>
      </c>
      <c r="L22" s="41" t="s">
        <v>794</v>
      </c>
      <c r="M22" s="34" t="s">
        <v>117</v>
      </c>
      <c r="N22" s="34" t="s">
        <v>534</v>
      </c>
      <c r="O22" s="34" t="s">
        <v>98</v>
      </c>
      <c r="P22" s="34" t="s">
        <v>395</v>
      </c>
      <c r="S22" s="40"/>
    </row>
    <row hidden="1" r="23" ht="109.0">
      <c r="A23" s="36">
        <v>46059</v>
      </c>
      <c r="B23" s="34" t="s">
        <v>34</v>
      </c>
      <c r="C23" s="34" t="s">
        <v>108</v>
      </c>
      <c r="D23" s="37" t="s">
        <v>795</v>
      </c>
      <c r="E23" s="34" t="s">
        <v>517</v>
      </c>
      <c r="F23" s="38" t="s">
        <v>796</v>
      </c>
      <c r="G23" s="34" t="s">
        <v>797</v>
      </c>
      <c r="H23" s="34" t="s">
        <v>798</v>
      </c>
      <c r="I23" s="34" t="s">
        <v>337</v>
      </c>
      <c r="K23" s="34" t="s">
        <v>125</v>
      </c>
      <c r="L23" s="41" t="s">
        <v>799</v>
      </c>
      <c r="M23" s="34" t="s">
        <v>83</v>
      </c>
      <c r="N23" s="34" t="s">
        <v>309</v>
      </c>
      <c r="O23" s="34" t="s">
        <v>98</v>
      </c>
      <c r="P23" s="34" t="s">
        <v>10</v>
      </c>
      <c r="Q23" s="34">
        <v>100.0</v>
      </c>
      <c r="S23" s="40" t="s">
        <v>127</v>
      </c>
      <c r="T23" s="38" t="s">
        <v>788</v>
      </c>
      <c r="U23" s="38" t="s">
        <v>800</v>
      </c>
      <c r="V23" s="34" t="s">
        <v>801</v>
      </c>
      <c r="W23" s="41" t="s">
        <v>802</v>
      </c>
    </row>
    <row r="24" ht="82.0">
      <c r="A24" s="36">
        <v>46059</v>
      </c>
      <c r="B24" s="34" t="s">
        <v>34</v>
      </c>
      <c r="C24" s="34" t="s">
        <v>108</v>
      </c>
      <c r="D24" s="37" t="s">
        <v>803</v>
      </c>
      <c r="E24" s="34" t="s">
        <v>804</v>
      </c>
      <c r="F24" s="38" t="s">
        <v>805</v>
      </c>
      <c r="G24" s="34" t="s">
        <v>806</v>
      </c>
      <c r="H24" s="34" t="s">
        <v>163</v>
      </c>
      <c r="K24" s="34" t="s">
        <v>69</v>
      </c>
      <c r="L24" s="41" t="s">
        <v>807</v>
      </c>
      <c r="M24" s="34" t="s">
        <v>117</v>
      </c>
      <c r="N24" s="34" t="s">
        <v>71</v>
      </c>
      <c r="O24" s="34" t="s">
        <v>84</v>
      </c>
      <c r="P24" s="34" t="s">
        <v>9</v>
      </c>
      <c r="Q24" s="34">
        <v>8.0</v>
      </c>
      <c r="S24" s="40" t="s">
        <v>134</v>
      </c>
    </row>
    <row hidden="1" r="25" ht="68.0">
      <c r="A25" s="36">
        <v>46059</v>
      </c>
      <c r="B25" s="34" t="s">
        <v>34</v>
      </c>
      <c r="C25" s="34" t="s">
        <v>108</v>
      </c>
      <c r="D25" s="37" t="s">
        <v>808</v>
      </c>
      <c r="E25" s="34" t="s">
        <v>809</v>
      </c>
      <c r="F25" s="38" t="s">
        <v>810</v>
      </c>
      <c r="G25" s="34" t="s">
        <v>811</v>
      </c>
      <c r="H25" s="34" t="s">
        <v>163</v>
      </c>
      <c r="I25" s="34" t="s">
        <v>140</v>
      </c>
      <c r="K25" s="34" t="s">
        <v>95</v>
      </c>
      <c r="L25" s="34" t="s">
        <v>681</v>
      </c>
      <c r="M25" s="34" t="s">
        <v>97</v>
      </c>
      <c r="N25" s="34" t="s">
        <v>71</v>
      </c>
      <c r="O25" s="34" t="s">
        <v>84</v>
      </c>
      <c r="P25" s="34" t="s">
        <v>10</v>
      </c>
      <c r="Q25" s="34">
        <v>3.0</v>
      </c>
      <c r="S25" s="40" t="s">
        <v>134</v>
      </c>
      <c r="U25" s="38" t="s">
        <v>812</v>
      </c>
      <c r="V25" s="34" t="s">
        <v>684</v>
      </c>
    </row>
    <row hidden="1" r="26" ht="27.0">
      <c r="A26" s="36">
        <v>46059</v>
      </c>
      <c r="B26" s="34" t="s">
        <v>34</v>
      </c>
      <c r="C26" s="34" t="s">
        <v>88</v>
      </c>
      <c r="D26" s="37" t="s">
        <v>813</v>
      </c>
      <c r="E26" s="34" t="s">
        <v>517</v>
      </c>
      <c r="F26" s="38" t="s">
        <v>814</v>
      </c>
      <c r="G26" s="34" t="s">
        <v>815</v>
      </c>
      <c r="I26" s="34" t="s">
        <v>816</v>
      </c>
      <c r="K26" s="34" t="s">
        <v>420</v>
      </c>
      <c r="L26" s="34" t="s">
        <v>681</v>
      </c>
      <c r="M26" s="34" t="s">
        <v>70</v>
      </c>
      <c r="N26" s="34" t="s">
        <v>71</v>
      </c>
      <c r="O26" s="34" t="s">
        <v>98</v>
      </c>
      <c r="P26" s="34" t="s">
        <v>10</v>
      </c>
      <c r="Q26" s="34">
        <v>1.0</v>
      </c>
      <c r="S26" s="40"/>
      <c r="T26" s="34" t="s">
        <v>817</v>
      </c>
    </row>
    <row hidden="1" r="27" ht="96.0">
      <c r="A27" s="36">
        <v>46058</v>
      </c>
      <c r="B27" s="34" t="s">
        <v>34</v>
      </c>
      <c r="C27" s="34" t="s">
        <v>63</v>
      </c>
      <c r="D27" s="37" t="s">
        <v>818</v>
      </c>
      <c r="E27" s="34" t="s">
        <v>517</v>
      </c>
      <c r="F27" s="38" t="s">
        <v>819</v>
      </c>
      <c r="G27" s="34" t="s">
        <v>820</v>
      </c>
      <c r="H27" s="34" t="s">
        <v>821</v>
      </c>
      <c r="I27" s="34" t="s">
        <v>140</v>
      </c>
      <c r="K27" s="34" t="s">
        <v>95</v>
      </c>
      <c r="M27" s="34" t="s">
        <v>117</v>
      </c>
      <c r="N27" s="34" t="s">
        <v>309</v>
      </c>
      <c r="O27" s="34" t="s">
        <v>98</v>
      </c>
      <c r="P27" s="34" t="s">
        <v>10</v>
      </c>
      <c r="Q27" s="34" t="s">
        <v>822</v>
      </c>
      <c r="S27" s="40" t="s">
        <v>127</v>
      </c>
      <c r="T27" s="38" t="s">
        <v>788</v>
      </c>
      <c r="U27" s="34" t="s">
        <v>823</v>
      </c>
      <c r="V27" s="34" t="s">
        <v>824</v>
      </c>
      <c r="W27" s="41" t="s">
        <v>825</v>
      </c>
    </row>
    <row r="28" customHeight="1" ht="13.0">
      <c r="A28" s="36">
        <v>46062</v>
      </c>
      <c r="B28" s="34" t="s">
        <v>34</v>
      </c>
      <c r="C28" s="34" t="s">
        <v>76</v>
      </c>
      <c r="D28" s="37" t="s">
        <v>826</v>
      </c>
      <c r="E28" s="34" t="s">
        <v>517</v>
      </c>
      <c r="F28" s="38" t="s">
        <v>827</v>
      </c>
      <c r="G28" s="34" t="s">
        <v>828</v>
      </c>
      <c r="K28" s="34" t="s">
        <v>115</v>
      </c>
      <c r="M28" s="34" t="s">
        <v>97</v>
      </c>
      <c r="N28" s="34" t="s">
        <v>71</v>
      </c>
      <c r="O28" s="34" t="s">
        <v>84</v>
      </c>
      <c r="P28" s="34" t="s">
        <v>9</v>
      </c>
      <c r="Q28" s="34">
        <v>1.0</v>
      </c>
      <c r="S28" s="40" t="s">
        <v>127</v>
      </c>
      <c r="U28" s="38" t="s">
        <v>829</v>
      </c>
    </row>
    <row hidden="1" r="29" customHeight="1" ht="42.0">
      <c r="A29" s="36">
        <v>46062</v>
      </c>
      <c r="B29" s="34" t="s">
        <v>34</v>
      </c>
      <c r="C29" s="34" t="s">
        <v>108</v>
      </c>
      <c r="D29" s="37" t="s">
        <v>830</v>
      </c>
      <c r="E29" s="34" t="s">
        <v>831</v>
      </c>
      <c r="F29" s="38" t="s">
        <v>832</v>
      </c>
      <c r="G29" s="34" t="s">
        <v>833</v>
      </c>
      <c r="H29" s="34" t="s">
        <v>163</v>
      </c>
      <c r="K29" s="34" t="s">
        <v>173</v>
      </c>
      <c r="L29" s="34" t="s">
        <v>681</v>
      </c>
      <c r="M29" s="34" t="s">
        <v>83</v>
      </c>
      <c r="N29" s="34" t="s">
        <v>71</v>
      </c>
      <c r="O29" s="34" t="s">
        <v>84</v>
      </c>
      <c r="P29" s="34" t="s">
        <v>10</v>
      </c>
      <c r="Q29" s="34">
        <v>3.0</v>
      </c>
      <c r="S29" s="40" t="s">
        <v>134</v>
      </c>
      <c r="T29" s="34" t="s">
        <v>684</v>
      </c>
    </row>
    <row r="30" ht="27.0">
      <c r="A30" s="36">
        <v>46062</v>
      </c>
      <c r="B30" s="34" t="s">
        <v>34</v>
      </c>
      <c r="C30" s="34" t="s">
        <v>88</v>
      </c>
      <c r="D30" s="37" t="s">
        <v>834</v>
      </c>
      <c r="E30" s="34" t="s">
        <v>377</v>
      </c>
      <c r="F30" s="38" t="s">
        <v>835</v>
      </c>
      <c r="G30" s="34" t="s">
        <v>836</v>
      </c>
      <c r="H30" s="34" t="s">
        <v>837</v>
      </c>
      <c r="I30" s="34" t="s">
        <v>838</v>
      </c>
      <c r="J30" s="34" t="s">
        <v>839</v>
      </c>
      <c r="K30" s="34" t="s">
        <v>125</v>
      </c>
      <c r="L30" s="38" t="s">
        <v>840</v>
      </c>
      <c r="M30" s="34" t="s">
        <v>117</v>
      </c>
      <c r="N30" s="34" t="s">
        <v>71</v>
      </c>
      <c r="O30" s="34" t="s">
        <v>84</v>
      </c>
      <c r="P30" s="34" t="s">
        <v>9</v>
      </c>
      <c r="Q30" s="34">
        <v>3.0</v>
      </c>
      <c r="R30" s="39">
        <v>55.44</v>
      </c>
      <c r="S30" s="40" t="s">
        <v>134</v>
      </c>
      <c r="U30" s="38" t="s">
        <v>841</v>
      </c>
    </row>
    <row hidden="1" r="31" ht="43.0">
      <c r="A31" s="36">
        <v>46062</v>
      </c>
      <c r="B31" s="34" t="s">
        <v>37</v>
      </c>
      <c r="C31" s="34" t="s">
        <v>88</v>
      </c>
      <c r="D31" s="37" t="s">
        <v>842</v>
      </c>
      <c r="E31" s="34" t="s">
        <v>843</v>
      </c>
      <c r="F31" s="38" t="s">
        <v>844</v>
      </c>
      <c r="G31" s="42" t="s">
        <v>845</v>
      </c>
      <c r="H31" s="34" t="s">
        <v>837</v>
      </c>
      <c r="I31" s="34" t="s">
        <v>846</v>
      </c>
      <c r="J31" s="34" t="s">
        <v>847</v>
      </c>
      <c r="K31" s="34" t="s">
        <v>95</v>
      </c>
      <c r="L31" s="34" t="s">
        <v>681</v>
      </c>
      <c r="M31" s="34" t="s">
        <v>97</v>
      </c>
      <c r="N31" s="34" t="s">
        <v>71</v>
      </c>
      <c r="O31" s="34" t="s">
        <v>133</v>
      </c>
      <c r="P31" s="34" t="s">
        <v>10</v>
      </c>
      <c r="Q31" s="34">
        <v>1.0</v>
      </c>
      <c r="S31" s="40" t="s">
        <v>134</v>
      </c>
      <c r="U31" s="38" t="s">
        <v>848</v>
      </c>
      <c r="V31" s="34" t="s">
        <v>849</v>
      </c>
    </row>
    <row hidden="1" r="32" ht="27.0">
      <c r="A32" s="36">
        <v>46063</v>
      </c>
      <c r="B32" s="34" t="s">
        <v>34</v>
      </c>
      <c r="C32" s="34" t="s">
        <v>76</v>
      </c>
      <c r="D32" s="37" t="s">
        <v>850</v>
      </c>
      <c r="E32" s="34" t="s">
        <v>78</v>
      </c>
      <c r="F32" s="38" t="s">
        <v>851</v>
      </c>
      <c r="G32" s="34" t="s">
        <v>852</v>
      </c>
      <c r="I32" s="34" t="s">
        <v>853</v>
      </c>
      <c r="K32" s="34" t="s">
        <v>184</v>
      </c>
      <c r="M32" s="34" t="s">
        <v>97</v>
      </c>
      <c r="N32" s="34" t="s">
        <v>71</v>
      </c>
      <c r="O32" s="34" t="s">
        <v>98</v>
      </c>
      <c r="P32" s="34" t="s">
        <v>10</v>
      </c>
      <c r="Q32" s="34">
        <v>21.0</v>
      </c>
      <c r="S32" s="40" t="s">
        <v>99</v>
      </c>
      <c r="U32" s="38" t="s">
        <v>854</v>
      </c>
      <c r="V32" s="34" t="s">
        <v>855</v>
      </c>
    </row>
    <row r="33" ht="27.0">
      <c r="A33" s="36">
        <v>46063</v>
      </c>
      <c r="B33" s="34" t="s">
        <v>34</v>
      </c>
      <c r="C33" s="34" t="s">
        <v>63</v>
      </c>
      <c r="D33" s="37" t="s">
        <v>856</v>
      </c>
      <c r="E33" s="34" t="s">
        <v>857</v>
      </c>
      <c r="F33" s="38" t="s">
        <v>858</v>
      </c>
      <c r="G33" s="34" t="s">
        <v>859</v>
      </c>
      <c r="I33" s="34" t="s">
        <v>860</v>
      </c>
      <c r="K33" s="34" t="s">
        <v>95</v>
      </c>
      <c r="L33" s="38" t="s">
        <v>861</v>
      </c>
      <c r="M33" s="34" t="s">
        <v>97</v>
      </c>
      <c r="N33" s="34" t="s">
        <v>71</v>
      </c>
      <c r="O33" s="34" t="s">
        <v>84</v>
      </c>
      <c r="P33" s="34" t="s">
        <v>9</v>
      </c>
      <c r="Q33" s="34">
        <v>40.0</v>
      </c>
      <c r="R33" s="44">
        <v>67200.0</v>
      </c>
      <c r="S33" s="40" t="s">
        <v>134</v>
      </c>
      <c r="U33" s="38" t="s">
        <v>862</v>
      </c>
    </row>
    <row hidden="1" r="34" ht="55.0">
      <c r="A34" s="36">
        <v>46063</v>
      </c>
      <c r="B34" s="34" t="s">
        <v>34</v>
      </c>
      <c r="C34" s="34" t="s">
        <v>88</v>
      </c>
      <c r="D34" s="37" t="s">
        <v>863</v>
      </c>
      <c r="E34" s="34" t="s">
        <v>864</v>
      </c>
      <c r="F34" s="38" t="s">
        <v>865</v>
      </c>
      <c r="G34" s="34" t="s">
        <v>866</v>
      </c>
      <c r="H34" s="34" t="s">
        <v>163</v>
      </c>
      <c r="I34" s="34" t="s">
        <v>838</v>
      </c>
      <c r="K34" s="34" t="s">
        <v>95</v>
      </c>
      <c r="L34" s="38" t="s">
        <v>867</v>
      </c>
      <c r="M34" s="34" t="s">
        <v>117</v>
      </c>
      <c r="N34" s="34" t="s">
        <v>71</v>
      </c>
      <c r="O34" s="34" t="s">
        <v>98</v>
      </c>
      <c r="P34" s="34" t="s">
        <v>10</v>
      </c>
      <c r="Q34" s="34">
        <v>7.0</v>
      </c>
      <c r="S34" s="40"/>
      <c r="U34" s="38" t="s">
        <v>868</v>
      </c>
      <c r="V34" s="34" t="s">
        <v>869</v>
      </c>
    </row>
    <row hidden="1" r="35" ht="41.0">
      <c r="A35" s="36">
        <v>46064</v>
      </c>
      <c r="B35" s="34" t="s">
        <v>34</v>
      </c>
      <c r="C35" s="34" t="s">
        <v>76</v>
      </c>
      <c r="D35" s="37" t="s">
        <v>870</v>
      </c>
      <c r="E35" s="34" t="s">
        <v>130</v>
      </c>
      <c r="F35" s="38" t="s">
        <v>871</v>
      </c>
      <c r="G35" s="34" t="s">
        <v>872</v>
      </c>
      <c r="H35" s="34" t="s">
        <v>163</v>
      </c>
      <c r="I35" s="34" t="s">
        <v>873</v>
      </c>
      <c r="J35" s="34" t="s">
        <v>874</v>
      </c>
      <c r="K35" s="34" t="s">
        <v>125</v>
      </c>
      <c r="M35" s="34" t="s">
        <v>117</v>
      </c>
      <c r="N35" s="34" t="s">
        <v>71</v>
      </c>
      <c r="O35" s="34" t="s">
        <v>98</v>
      </c>
      <c r="P35" s="34" t="s">
        <v>10</v>
      </c>
      <c r="Q35" s="34">
        <v>10.0</v>
      </c>
      <c r="S35" s="40" t="s">
        <v>99</v>
      </c>
      <c r="U35" s="38" t="s">
        <v>854</v>
      </c>
    </row>
    <row r="36" ht="27.0">
      <c r="A36" s="36">
        <v>46064</v>
      </c>
      <c r="B36" s="34" t="s">
        <v>34</v>
      </c>
      <c r="C36" s="34" t="s">
        <v>76</v>
      </c>
      <c r="D36" s="37" t="s">
        <v>875</v>
      </c>
      <c r="E36" s="34" t="s">
        <v>864</v>
      </c>
      <c r="F36" s="38" t="s">
        <v>876</v>
      </c>
      <c r="G36" s="34" t="s">
        <v>877</v>
      </c>
      <c r="H36" s="34" t="s">
        <v>163</v>
      </c>
      <c r="I36" s="34" t="s">
        <v>873</v>
      </c>
      <c r="J36" s="34" t="s">
        <v>874</v>
      </c>
      <c r="K36" s="34" t="s">
        <v>95</v>
      </c>
      <c r="M36" s="34" t="s">
        <v>97</v>
      </c>
      <c r="N36" s="34" t="s">
        <v>71</v>
      </c>
      <c r="O36" s="34" t="s">
        <v>84</v>
      </c>
      <c r="P36" s="34" t="s">
        <v>9</v>
      </c>
      <c r="Q36" s="34">
        <v>5.0</v>
      </c>
      <c r="S36" s="40" t="s">
        <v>99</v>
      </c>
      <c r="U36" s="41" t="s">
        <v>878</v>
      </c>
    </row>
    <row hidden="1" r="37" ht="27.0">
      <c r="A37" s="36">
        <v>46064</v>
      </c>
      <c r="B37" s="34" t="s">
        <v>35</v>
      </c>
      <c r="C37" s="34" t="s">
        <v>108</v>
      </c>
      <c r="D37" s="37" t="s">
        <v>879</v>
      </c>
      <c r="E37" s="34" t="s">
        <v>804</v>
      </c>
      <c r="F37" s="38" t="s">
        <v>880</v>
      </c>
      <c r="G37" s="34" t="s">
        <v>881</v>
      </c>
      <c r="H37" s="34" t="s">
        <v>163</v>
      </c>
      <c r="K37" s="34" t="s">
        <v>69</v>
      </c>
      <c r="L37" s="34" t="s">
        <v>681</v>
      </c>
      <c r="M37" s="34" t="s">
        <v>97</v>
      </c>
      <c r="N37" s="34" t="s">
        <v>882</v>
      </c>
      <c r="O37" s="34" t="s">
        <v>207</v>
      </c>
      <c r="P37" s="34" t="s">
        <v>395</v>
      </c>
      <c r="S37" s="40"/>
      <c r="U37" s="38" t="s">
        <v>883</v>
      </c>
    </row>
    <row r="38" ht="41.0">
      <c r="A38" s="36">
        <v>46064</v>
      </c>
      <c r="B38" s="34" t="s">
        <v>34</v>
      </c>
      <c r="C38" s="34" t="s">
        <v>88</v>
      </c>
      <c r="D38" s="37" t="s">
        <v>884</v>
      </c>
      <c r="E38" s="34" t="s">
        <v>885</v>
      </c>
      <c r="F38" s="38" t="s">
        <v>886</v>
      </c>
      <c r="G38" s="34" t="s">
        <v>887</v>
      </c>
      <c r="H38" s="34" t="s">
        <v>163</v>
      </c>
      <c r="I38" s="34" t="s">
        <v>846</v>
      </c>
      <c r="K38" s="34" t="s">
        <v>267</v>
      </c>
      <c r="L38" s="34" t="s">
        <v>681</v>
      </c>
      <c r="M38" s="34" t="s">
        <v>97</v>
      </c>
      <c r="N38" s="34" t="s">
        <v>71</v>
      </c>
      <c r="O38" s="34" t="s">
        <v>84</v>
      </c>
      <c r="P38" s="34" t="s">
        <v>9</v>
      </c>
      <c r="Q38" s="34">
        <v>3.0</v>
      </c>
      <c r="R38" s="44">
        <v>5040.0</v>
      </c>
      <c r="S38" s="40" t="s">
        <v>134</v>
      </c>
      <c r="U38" s="34" t="s">
        <v>888</v>
      </c>
    </row>
    <row hidden="1" r="39" ht="68.0">
      <c r="A39" s="36">
        <v>46065</v>
      </c>
      <c r="B39" s="34" t="s">
        <v>34</v>
      </c>
      <c r="C39" s="34" t="s">
        <v>108</v>
      </c>
      <c r="D39" s="37" t="s">
        <v>889</v>
      </c>
      <c r="E39" s="34" t="s">
        <v>890</v>
      </c>
      <c r="F39" s="38" t="s">
        <v>891</v>
      </c>
      <c r="G39" s="34" t="s">
        <v>892</v>
      </c>
      <c r="H39" s="34" t="s">
        <v>163</v>
      </c>
      <c r="K39" s="34" t="s">
        <v>69</v>
      </c>
      <c r="L39" s="34" t="s">
        <v>681</v>
      </c>
      <c r="M39" s="34" t="s">
        <v>97</v>
      </c>
      <c r="N39" s="34" t="s">
        <v>882</v>
      </c>
      <c r="O39" s="34" t="s">
        <v>893</v>
      </c>
      <c r="P39" s="34" t="s">
        <v>893</v>
      </c>
      <c r="Q39" s="43"/>
      <c r="S39" s="40"/>
      <c r="U39" s="38" t="s">
        <v>894</v>
      </c>
    </row>
    <row r="40" ht="41.0">
      <c r="A40" s="36">
        <v>46065</v>
      </c>
      <c r="B40" s="34" t="s">
        <v>36</v>
      </c>
      <c r="C40" s="34" t="s">
        <v>108</v>
      </c>
      <c r="D40" s="37" t="s">
        <v>895</v>
      </c>
      <c r="E40" s="34" t="s">
        <v>663</v>
      </c>
      <c r="F40" s="38" t="s">
        <v>896</v>
      </c>
      <c r="G40" s="34" t="s">
        <v>897</v>
      </c>
      <c r="H40" s="34" t="s">
        <v>898</v>
      </c>
      <c r="I40" s="34" t="s">
        <v>748</v>
      </c>
      <c r="K40" s="34" t="s">
        <v>125</v>
      </c>
      <c r="L40" s="38" t="s">
        <v>899</v>
      </c>
      <c r="M40" s="34" t="s">
        <v>97</v>
      </c>
      <c r="N40" s="34" t="s">
        <v>71</v>
      </c>
      <c r="O40" s="34" t="s">
        <v>609</v>
      </c>
      <c r="P40" s="34" t="s">
        <v>9</v>
      </c>
      <c r="Q40" s="34">
        <v>20.0</v>
      </c>
      <c r="R40" s="34" t="s">
        <v>900</v>
      </c>
      <c r="S40" s="40" t="s">
        <v>127</v>
      </c>
      <c r="U40" s="38" t="s">
        <v>901</v>
      </c>
      <c r="V40" s="34" t="s">
        <v>902</v>
      </c>
      <c r="W40" s="34" t="s">
        <v>903</v>
      </c>
    </row>
    <row hidden="1" r="41" ht="27.0">
      <c r="A41" s="36">
        <v>46064</v>
      </c>
      <c r="B41" s="34" t="s">
        <v>34</v>
      </c>
      <c r="C41" s="34" t="s">
        <v>63</v>
      </c>
      <c r="D41" s="37" t="s">
        <v>904</v>
      </c>
      <c r="E41" s="34" t="s">
        <v>905</v>
      </c>
      <c r="F41" s="38" t="s">
        <v>906</v>
      </c>
      <c r="G41" s="34" t="s">
        <v>907</v>
      </c>
      <c r="H41" s="34" t="s">
        <v>908</v>
      </c>
      <c r="I41" s="34" t="s">
        <v>909</v>
      </c>
      <c r="K41" s="34" t="s">
        <v>69</v>
      </c>
      <c r="M41" s="34" t="s">
        <v>97</v>
      </c>
      <c r="N41" s="34" t="s">
        <v>71</v>
      </c>
      <c r="O41" s="34" t="s">
        <v>98</v>
      </c>
      <c r="P41" s="34" t="s">
        <v>10</v>
      </c>
      <c r="Q41" s="34">
        <v>8.0</v>
      </c>
      <c r="S41" s="40" t="s">
        <v>118</v>
      </c>
      <c r="U41" s="38" t="s">
        <v>910</v>
      </c>
      <c r="V41" s="34" t="s">
        <v>911</v>
      </c>
    </row>
    <row hidden="1" r="42" ht="41.0">
      <c r="A42" s="36">
        <v>46064</v>
      </c>
      <c r="B42" s="34" t="s">
        <v>34</v>
      </c>
      <c r="C42" s="34" t="s">
        <v>63</v>
      </c>
      <c r="D42" s="37" t="s">
        <v>912</v>
      </c>
      <c r="E42" s="34" t="s">
        <v>913</v>
      </c>
      <c r="F42" s="38" t="s">
        <v>914</v>
      </c>
      <c r="G42" s="34" t="s">
        <v>915</v>
      </c>
      <c r="H42" s="34" t="s">
        <v>916</v>
      </c>
      <c r="K42" s="34" t="s">
        <v>69</v>
      </c>
      <c r="M42" s="34" t="s">
        <v>97</v>
      </c>
      <c r="N42" s="34" t="s">
        <v>309</v>
      </c>
      <c r="O42" s="34" t="s">
        <v>157</v>
      </c>
      <c r="P42" s="34" t="s">
        <v>158</v>
      </c>
      <c r="Q42" s="34">
        <v>60.0</v>
      </c>
      <c r="S42" s="40" t="s">
        <v>127</v>
      </c>
      <c r="T42" s="34" t="s">
        <v>917</v>
      </c>
      <c r="U42" s="34" t="s">
        <v>668</v>
      </c>
    </row>
    <row hidden="1" r="43" ht="41.0">
      <c r="A43" s="36">
        <v>46064</v>
      </c>
      <c r="B43" s="34" t="s">
        <v>34</v>
      </c>
      <c r="C43" s="34" t="s">
        <v>63</v>
      </c>
      <c r="D43" s="37" t="s">
        <v>782</v>
      </c>
      <c r="E43" s="34" t="s">
        <v>918</v>
      </c>
      <c r="F43" s="38" t="s">
        <v>919</v>
      </c>
      <c r="G43" s="34" t="s">
        <v>920</v>
      </c>
      <c r="K43" s="34" t="s">
        <v>95</v>
      </c>
      <c r="M43" s="34" t="s">
        <v>117</v>
      </c>
      <c r="N43" s="34" t="s">
        <v>309</v>
      </c>
      <c r="O43" s="34" t="s">
        <v>98</v>
      </c>
      <c r="P43" s="34" t="s">
        <v>10</v>
      </c>
      <c r="Q43" s="34">
        <v>100.0</v>
      </c>
      <c r="S43" s="40" t="s">
        <v>127</v>
      </c>
      <c r="U43" s="34" t="s">
        <v>668</v>
      </c>
      <c r="V43" s="34" t="s">
        <v>921</v>
      </c>
      <c r="W43" s="41" t="s">
        <v>922</v>
      </c>
    </row>
    <row hidden="1" r="44" customHeight="1" ht="112.0">
      <c r="A44" s="36">
        <v>46064</v>
      </c>
      <c r="B44" s="34" t="s">
        <v>34</v>
      </c>
      <c r="C44" s="34" t="s">
        <v>63</v>
      </c>
      <c r="D44" s="37" t="s">
        <v>662</v>
      </c>
      <c r="E44" s="34" t="s">
        <v>663</v>
      </c>
      <c r="F44" s="38" t="s">
        <v>664</v>
      </c>
      <c r="G44" s="34" t="s">
        <v>923</v>
      </c>
      <c r="H44" s="34" t="s">
        <v>924</v>
      </c>
      <c r="K44" s="34" t="s">
        <v>95</v>
      </c>
      <c r="M44" s="34" t="s">
        <v>117</v>
      </c>
      <c r="N44" s="34" t="s">
        <v>309</v>
      </c>
      <c r="O44" s="34" t="s">
        <v>98</v>
      </c>
      <c r="P44" s="34" t="s">
        <v>10</v>
      </c>
      <c r="Q44" s="34">
        <v>550.0</v>
      </c>
      <c r="S44" s="40" t="s">
        <v>127</v>
      </c>
      <c r="U44" s="34" t="s">
        <v>668</v>
      </c>
      <c r="W44" s="34" t="s">
        <v>670</v>
      </c>
    </row>
    <row r="45" ht="68.0">
      <c r="A45" s="36">
        <v>46065</v>
      </c>
      <c r="B45" s="34" t="s">
        <v>35</v>
      </c>
      <c r="C45" s="34" t="s">
        <v>88</v>
      </c>
      <c r="D45" s="37" t="s">
        <v>925</v>
      </c>
      <c r="E45" s="34" t="s">
        <v>458</v>
      </c>
      <c r="F45" s="38" t="s">
        <v>926</v>
      </c>
      <c r="G45" s="34" t="s">
        <v>927</v>
      </c>
      <c r="H45" s="34" t="s">
        <v>163</v>
      </c>
      <c r="I45" s="34" t="s">
        <v>266</v>
      </c>
      <c r="K45" s="34" t="s">
        <v>95</v>
      </c>
      <c r="L45" s="34" t="s">
        <v>681</v>
      </c>
      <c r="M45" s="34" t="s">
        <v>97</v>
      </c>
      <c r="N45" s="34" t="s">
        <v>71</v>
      </c>
      <c r="O45" s="34" t="s">
        <v>84</v>
      </c>
      <c r="P45" s="34" t="s">
        <v>9</v>
      </c>
      <c r="Q45" s="34">
        <v>1.0</v>
      </c>
      <c r="R45" s="39">
        <v>30.0</v>
      </c>
      <c r="S45" s="40" t="s">
        <v>127</v>
      </c>
      <c r="U45" s="34" t="s">
        <v>888</v>
      </c>
    </row>
    <row hidden="1" r="46" ht="41.0">
      <c r="A46" s="36">
        <v>46066</v>
      </c>
      <c r="B46" s="34" t="s">
        <v>34</v>
      </c>
      <c r="C46" s="34" t="s">
        <v>108</v>
      </c>
      <c r="D46" s="37" t="s">
        <v>928</v>
      </c>
      <c r="E46" s="34" t="s">
        <v>929</v>
      </c>
      <c r="F46" s="38" t="s">
        <v>930</v>
      </c>
      <c r="G46" s="34" t="s">
        <v>931</v>
      </c>
      <c r="I46" s="34" t="s">
        <v>932</v>
      </c>
      <c r="K46" s="34" t="s">
        <v>69</v>
      </c>
      <c r="L46" s="34" t="s">
        <v>681</v>
      </c>
      <c r="M46" s="34" t="s">
        <v>97</v>
      </c>
      <c r="N46" s="34" t="s">
        <v>71</v>
      </c>
      <c r="O46" s="34" t="s">
        <v>98</v>
      </c>
      <c r="P46" s="34" t="s">
        <v>10</v>
      </c>
      <c r="S46" s="40" t="s">
        <v>85</v>
      </c>
      <c r="T46" s="34" t="s">
        <v>933</v>
      </c>
      <c r="U46" s="38" t="s">
        <v>934</v>
      </c>
    </row>
    <row hidden="1" r="47" ht="55.0">
      <c r="A47" s="36">
        <v>46066</v>
      </c>
      <c r="B47" s="34" t="s">
        <v>36</v>
      </c>
      <c r="C47" s="34" t="s">
        <v>108</v>
      </c>
      <c r="D47" s="37" t="s">
        <v>935</v>
      </c>
      <c r="E47" s="34" t="s">
        <v>936</v>
      </c>
      <c r="F47" s="38" t="s">
        <v>937</v>
      </c>
      <c r="G47" s="34" t="s">
        <v>938</v>
      </c>
      <c r="H47" s="34" t="s">
        <v>939</v>
      </c>
      <c r="I47" s="34" t="s">
        <v>940</v>
      </c>
      <c r="J47" s="34" t="s">
        <v>941</v>
      </c>
      <c r="K47" s="34" t="s">
        <v>95</v>
      </c>
      <c r="L47" s="38" t="s">
        <v>942</v>
      </c>
      <c r="M47" s="34" t="s">
        <v>117</v>
      </c>
      <c r="N47" s="34" t="s">
        <v>71</v>
      </c>
      <c r="O47" s="34" t="s">
        <v>133</v>
      </c>
      <c r="P47" s="34" t="s">
        <v>10</v>
      </c>
      <c r="Q47" s="34" t="s">
        <v>943</v>
      </c>
      <c r="S47" s="40" t="s">
        <v>127</v>
      </c>
      <c r="U47" s="38" t="s">
        <v>944</v>
      </c>
      <c r="V47" s="34" t="s">
        <v>945</v>
      </c>
      <c r="W47" s="41" t="s">
        <v>946</v>
      </c>
    </row>
    <row hidden="1" r="48" ht="27.0">
      <c r="A48" s="36">
        <v>46069</v>
      </c>
      <c r="B48" s="34" t="s">
        <v>34</v>
      </c>
      <c r="C48" s="34" t="s">
        <v>76</v>
      </c>
      <c r="D48" s="37" t="s">
        <v>947</v>
      </c>
      <c r="E48" s="34" t="s">
        <v>864</v>
      </c>
      <c r="F48" s="38" t="s">
        <v>948</v>
      </c>
      <c r="G48" s="34" t="s">
        <v>949</v>
      </c>
      <c r="H48" s="34" t="s">
        <v>950</v>
      </c>
      <c r="I48" s="34" t="s">
        <v>140</v>
      </c>
      <c r="K48" s="34" t="s">
        <v>95</v>
      </c>
      <c r="M48" s="34" t="s">
        <v>117</v>
      </c>
      <c r="N48" s="34" t="s">
        <v>71</v>
      </c>
      <c r="O48" s="34" t="s">
        <v>84</v>
      </c>
      <c r="P48" s="34" t="s">
        <v>10</v>
      </c>
      <c r="Q48" s="34">
        <v>3.0</v>
      </c>
      <c r="S48" s="40" t="s">
        <v>99</v>
      </c>
      <c r="U48" s="38" t="s">
        <v>951</v>
      </c>
    </row>
    <row hidden="1" r="49" customHeight="1" ht="47.0">
      <c r="A49" s="36">
        <v>46069</v>
      </c>
      <c r="B49" s="34" t="s">
        <v>34</v>
      </c>
      <c r="C49" s="34" t="s">
        <v>76</v>
      </c>
      <c r="D49" s="37" t="s">
        <v>952</v>
      </c>
      <c r="E49" s="34" t="s">
        <v>517</v>
      </c>
      <c r="F49" s="38" t="s">
        <v>953</v>
      </c>
      <c r="G49" s="34" t="s">
        <v>954</v>
      </c>
      <c r="K49" s="34" t="s">
        <v>95</v>
      </c>
      <c r="M49" s="34" t="s">
        <v>97</v>
      </c>
      <c r="N49" s="34" t="s">
        <v>71</v>
      </c>
      <c r="O49" s="34" t="s">
        <v>84</v>
      </c>
      <c r="P49" s="34" t="s">
        <v>10</v>
      </c>
      <c r="Q49" s="34">
        <v>20.0</v>
      </c>
      <c r="S49" s="40" t="s">
        <v>99</v>
      </c>
      <c r="U49" s="38" t="s">
        <v>955</v>
      </c>
    </row>
    <row r="50" customHeight="1" ht="47.0">
      <c r="A50" s="36">
        <v>46069</v>
      </c>
      <c r="B50" s="34" t="s">
        <v>34</v>
      </c>
      <c r="C50" s="34" t="s">
        <v>108</v>
      </c>
      <c r="D50" s="37" t="s">
        <v>956</v>
      </c>
      <c r="E50" s="34" t="s">
        <v>377</v>
      </c>
      <c r="F50" s="38" t="s">
        <v>957</v>
      </c>
      <c r="G50" s="34" t="s">
        <v>958</v>
      </c>
      <c r="H50" s="34" t="s">
        <v>163</v>
      </c>
      <c r="I50" s="34" t="s">
        <v>734</v>
      </c>
      <c r="K50" s="34" t="s">
        <v>184</v>
      </c>
      <c r="L50" s="38" t="s">
        <v>959</v>
      </c>
      <c r="M50" s="34" t="s">
        <v>117</v>
      </c>
      <c r="N50" s="34" t="s">
        <v>71</v>
      </c>
      <c r="O50" s="34" t="s">
        <v>84</v>
      </c>
      <c r="P50" s="34" t="s">
        <v>9</v>
      </c>
      <c r="Q50" s="34">
        <v>380.0</v>
      </c>
      <c r="R50" s="34" t="s">
        <v>960</v>
      </c>
      <c r="S50" s="40" t="s">
        <v>294</v>
      </c>
      <c r="T50" s="38" t="s">
        <v>788</v>
      </c>
      <c r="U50" s="38" t="s">
        <v>961</v>
      </c>
    </row>
    <row hidden="1" r="51" customHeight="1" ht="47.0">
      <c r="A51" s="36">
        <v>46069</v>
      </c>
      <c r="B51" s="34" t="s">
        <v>35</v>
      </c>
      <c r="C51" s="34" t="s">
        <v>108</v>
      </c>
      <c r="D51" s="37" t="s">
        <v>962</v>
      </c>
      <c r="E51" s="34" t="s">
        <v>656</v>
      </c>
      <c r="F51" s="38" t="s">
        <v>963</v>
      </c>
      <c r="G51" s="34" t="s">
        <v>964</v>
      </c>
      <c r="H51" s="34" t="s">
        <v>163</v>
      </c>
      <c r="K51" s="34" t="s">
        <v>69</v>
      </c>
      <c r="M51" s="34" t="s">
        <v>97</v>
      </c>
      <c r="N51" s="34" t="s">
        <v>156</v>
      </c>
      <c r="O51" s="34" t="s">
        <v>157</v>
      </c>
      <c r="P51" s="34" t="s">
        <v>158</v>
      </c>
      <c r="Q51" s="34">
        <v>2.0</v>
      </c>
      <c r="S51" s="40" t="s">
        <v>294</v>
      </c>
      <c r="U51" s="34" t="s">
        <v>101</v>
      </c>
    </row>
    <row r="52" customHeight="1" ht="47.0">
      <c r="A52" s="36">
        <v>46069</v>
      </c>
      <c r="B52" s="34" t="s">
        <v>35</v>
      </c>
      <c r="C52" s="34" t="s">
        <v>108</v>
      </c>
      <c r="D52" s="37" t="s">
        <v>965</v>
      </c>
      <c r="E52" s="34" t="s">
        <v>177</v>
      </c>
      <c r="F52" s="38" t="s">
        <v>966</v>
      </c>
      <c r="G52" s="34" t="s">
        <v>967</v>
      </c>
      <c r="H52" s="34" t="s">
        <v>163</v>
      </c>
      <c r="I52" s="34" t="s">
        <v>266</v>
      </c>
      <c r="K52" s="34" t="s">
        <v>125</v>
      </c>
      <c r="L52" s="38" t="s">
        <v>968</v>
      </c>
      <c r="M52" s="34" t="s">
        <v>97</v>
      </c>
      <c r="N52" s="34" t="s">
        <v>71</v>
      </c>
      <c r="O52" s="34" t="s">
        <v>84</v>
      </c>
      <c r="P52" s="34" t="s">
        <v>9</v>
      </c>
      <c r="Q52" s="34">
        <v>2.0</v>
      </c>
      <c r="S52" s="40" t="s">
        <v>134</v>
      </c>
      <c r="U52" s="38" t="s">
        <v>969</v>
      </c>
    </row>
    <row hidden="1" r="53" customHeight="1" ht="47.0">
      <c r="A53" s="36">
        <v>46069</v>
      </c>
      <c r="B53" s="34" t="s">
        <v>34</v>
      </c>
      <c r="C53" s="34" t="s">
        <v>63</v>
      </c>
      <c r="D53" s="37" t="s">
        <v>970</v>
      </c>
      <c r="E53" s="34" t="s">
        <v>130</v>
      </c>
      <c r="G53" s="34" t="s">
        <v>971</v>
      </c>
      <c r="H53" s="34" t="s">
        <v>972</v>
      </c>
      <c r="I53" s="34" t="s">
        <v>107</v>
      </c>
      <c r="K53" s="34" t="s">
        <v>69</v>
      </c>
      <c r="M53" s="34" t="s">
        <v>474</v>
      </c>
      <c r="N53" s="34" t="s">
        <v>71</v>
      </c>
      <c r="O53" s="34" t="s">
        <v>98</v>
      </c>
      <c r="P53" s="34" t="s">
        <v>11</v>
      </c>
      <c r="Q53" s="34">
        <v>8000.0</v>
      </c>
      <c r="S53" s="40" t="s">
        <v>118</v>
      </c>
      <c r="U53" s="34" t="s">
        <v>973</v>
      </c>
      <c r="W53" s="38" t="s">
        <v>974</v>
      </c>
    </row>
    <row hidden="1" r="54" customHeight="1" ht="47.0">
      <c r="A54" s="36">
        <v>46069</v>
      </c>
      <c r="B54" s="34" t="s">
        <v>34</v>
      </c>
      <c r="C54" s="34" t="s">
        <v>63</v>
      </c>
      <c r="D54" s="37" t="s">
        <v>975</v>
      </c>
      <c r="E54" s="34" t="s">
        <v>976</v>
      </c>
      <c r="F54" s="38" t="s">
        <v>977</v>
      </c>
      <c r="G54" s="34" t="s">
        <v>978</v>
      </c>
      <c r="H54" s="34" t="s">
        <v>163</v>
      </c>
      <c r="K54" s="34" t="s">
        <v>95</v>
      </c>
      <c r="M54" s="34" t="s">
        <v>97</v>
      </c>
      <c r="N54" s="34" t="s">
        <v>71</v>
      </c>
      <c r="O54" s="34" t="s">
        <v>98</v>
      </c>
      <c r="P54" s="34" t="s">
        <v>10</v>
      </c>
      <c r="Q54" s="34">
        <v>15.0</v>
      </c>
      <c r="S54" s="40" t="s">
        <v>127</v>
      </c>
      <c r="U54" s="38" t="s">
        <v>910</v>
      </c>
      <c r="V54" s="34" t="s">
        <v>979</v>
      </c>
    </row>
    <row hidden="1" r="55" ht="41.0">
      <c r="A55" s="36">
        <v>46069</v>
      </c>
      <c r="B55" s="34" t="s">
        <v>34</v>
      </c>
      <c r="C55" s="34" t="s">
        <v>63</v>
      </c>
      <c r="D55" s="37" t="s">
        <v>980</v>
      </c>
      <c r="E55" s="34" t="s">
        <v>104</v>
      </c>
      <c r="F55" s="38" t="s">
        <v>981</v>
      </c>
      <c r="G55" s="34" t="s">
        <v>982</v>
      </c>
      <c r="H55" s="34" t="s">
        <v>983</v>
      </c>
      <c r="I55" s="34" t="s">
        <v>107</v>
      </c>
      <c r="K55" s="34" t="s">
        <v>69</v>
      </c>
      <c r="M55" s="34" t="s">
        <v>474</v>
      </c>
      <c r="N55" s="34" t="s">
        <v>71</v>
      </c>
      <c r="O55" s="34" t="s">
        <v>98</v>
      </c>
      <c r="P55" s="34" t="s">
        <v>11</v>
      </c>
      <c r="Q55" s="34" t="s">
        <v>412</v>
      </c>
      <c r="S55" s="40" t="s">
        <v>118</v>
      </c>
      <c r="U55" s="34" t="s">
        <v>973</v>
      </c>
      <c r="W55" s="38" t="s">
        <v>984</v>
      </c>
    </row>
    <row hidden="1" r="56" ht="27.0" customFormat="1" s="34">
      <c r="A56" s="36">
        <v>46069</v>
      </c>
      <c r="B56" s="34" t="s">
        <v>35</v>
      </c>
      <c r="C56" s="34" t="s">
        <v>88</v>
      </c>
      <c r="D56" s="37" t="s">
        <v>985</v>
      </c>
      <c r="E56" s="34" t="s">
        <v>672</v>
      </c>
      <c r="F56" s="38" t="s">
        <v>986</v>
      </c>
      <c r="G56" s="34" t="s">
        <v>987</v>
      </c>
      <c r="I56" s="34" t="s">
        <v>351</v>
      </c>
      <c r="K56" s="34" t="s">
        <v>95</v>
      </c>
      <c r="L56" s="34" t="s">
        <v>681</v>
      </c>
      <c r="M56" s="34" t="s">
        <v>97</v>
      </c>
      <c r="N56" s="34" t="s">
        <v>71</v>
      </c>
      <c r="O56" s="34" t="s">
        <v>207</v>
      </c>
      <c r="P56" s="34" t="s">
        <v>10</v>
      </c>
      <c r="Q56" s="34">
        <v>2.0</v>
      </c>
      <c r="S56" s="40"/>
      <c r="U56" s="34" t="s">
        <v>888</v>
      </c>
      <c r="V56" s="34" t="s">
        <v>988</v>
      </c>
    </row>
    <row hidden="1" r="57" customHeight="1" ht="25.0" customFormat="1" s="34">
      <c r="A57" s="36">
        <v>46070</v>
      </c>
      <c r="B57" s="34" t="s">
        <v>34</v>
      </c>
      <c r="C57" s="34" t="s">
        <v>108</v>
      </c>
      <c r="D57" s="37" t="s">
        <v>980</v>
      </c>
      <c r="E57" s="34" t="s">
        <v>104</v>
      </c>
      <c r="F57" s="38" t="s">
        <v>989</v>
      </c>
      <c r="G57" s="34" t="s">
        <v>990</v>
      </c>
      <c r="H57" s="34" t="s">
        <v>163</v>
      </c>
      <c r="I57" s="34" t="s">
        <v>140</v>
      </c>
      <c r="K57" s="34" t="s">
        <v>125</v>
      </c>
      <c r="M57" s="34" t="s">
        <v>117</v>
      </c>
      <c r="N57" s="34" t="s">
        <v>309</v>
      </c>
      <c r="O57" s="34" t="s">
        <v>84</v>
      </c>
      <c r="P57" s="34" t="s">
        <v>11</v>
      </c>
      <c r="S57" s="40"/>
      <c r="U57" s="34" t="s">
        <v>101</v>
      </c>
    </row>
    <row r="58" ht="27.0" customFormat="1" s="34">
      <c r="A58" s="36">
        <v>46070</v>
      </c>
      <c r="B58" s="34" t="s">
        <v>36</v>
      </c>
      <c r="C58" s="34" t="s">
        <v>108</v>
      </c>
      <c r="D58" s="37" t="s">
        <v>895</v>
      </c>
      <c r="E58" s="34" t="s">
        <v>991</v>
      </c>
      <c r="F58" s="38" t="s">
        <v>896</v>
      </c>
      <c r="G58" s="34" t="s">
        <v>992</v>
      </c>
      <c r="K58" s="34" t="s">
        <v>125</v>
      </c>
      <c r="L58" s="41" t="s">
        <v>993</v>
      </c>
      <c r="M58" s="34" t="s">
        <v>117</v>
      </c>
      <c r="N58" s="34" t="s">
        <v>309</v>
      </c>
      <c r="O58" s="34" t="s">
        <v>84</v>
      </c>
      <c r="P58" s="34" t="s">
        <v>9</v>
      </c>
      <c r="Q58" s="34">
        <v>20.0</v>
      </c>
      <c r="S58" s="40" t="s">
        <v>127</v>
      </c>
      <c r="T58" s="34" t="s">
        <v>902</v>
      </c>
      <c r="U58" s="38" t="s">
        <v>994</v>
      </c>
      <c r="V58" s="34" t="s">
        <v>902</v>
      </c>
    </row>
    <row hidden="1" r="59" ht="41.0">
      <c r="A59" s="36">
        <v>46071</v>
      </c>
      <c r="B59" s="34" t="s">
        <v>35</v>
      </c>
      <c r="C59" s="34" t="s">
        <v>88</v>
      </c>
      <c r="D59" s="37" t="s">
        <v>995</v>
      </c>
      <c r="E59" s="34" t="s">
        <v>458</v>
      </c>
      <c r="F59" s="38" t="s">
        <v>996</v>
      </c>
      <c r="G59" s="34" t="s">
        <v>997</v>
      </c>
      <c r="I59" s="34" t="s">
        <v>998</v>
      </c>
      <c r="K59" s="34" t="s">
        <v>95</v>
      </c>
      <c r="L59" s="34" t="s">
        <v>681</v>
      </c>
      <c r="M59" s="34" t="s">
        <v>70</v>
      </c>
      <c r="N59" s="34" t="s">
        <v>71</v>
      </c>
      <c r="O59" s="34" t="s">
        <v>133</v>
      </c>
      <c r="P59" s="34" t="s">
        <v>10</v>
      </c>
      <c r="Q59" s="34">
        <v>1.0</v>
      </c>
      <c r="S59" s="40" t="s">
        <v>99</v>
      </c>
      <c r="U59" s="38" t="s">
        <v>999</v>
      </c>
      <c r="V59" s="34" t="s">
        <v>1000</v>
      </c>
    </row>
    <row r="60" customHeight="1" ht="59.0">
      <c r="A60" s="36">
        <v>46071</v>
      </c>
      <c r="B60" s="34" t="s">
        <v>35</v>
      </c>
      <c r="C60" s="34" t="s">
        <v>88</v>
      </c>
      <c r="D60" s="37" t="s">
        <v>1001</v>
      </c>
      <c r="E60" s="34" t="s">
        <v>843</v>
      </c>
      <c r="F60" s="38" t="s">
        <v>1002</v>
      </c>
      <c r="G60" s="34" t="s">
        <v>1003</v>
      </c>
      <c r="I60" s="34" t="s">
        <v>277</v>
      </c>
      <c r="K60" s="34" t="s">
        <v>689</v>
      </c>
      <c r="L60" s="34" t="s">
        <v>681</v>
      </c>
      <c r="M60" s="34" t="s">
        <v>97</v>
      </c>
      <c r="N60" s="34" t="s">
        <v>71</v>
      </c>
      <c r="O60" s="34" t="s">
        <v>84</v>
      </c>
      <c r="P60" s="34" t="s">
        <v>9</v>
      </c>
      <c r="Q60" s="34">
        <v>1.0</v>
      </c>
      <c r="R60" s="39">
        <v>146.0</v>
      </c>
      <c r="S60" s="40" t="s">
        <v>85</v>
      </c>
      <c r="U60" s="38" t="s">
        <v>1004</v>
      </c>
    </row>
    <row hidden="1" r="61" customHeight="1" ht="59.0">
      <c r="A61" s="36">
        <v>46071</v>
      </c>
      <c r="B61" s="34" t="s">
        <v>34</v>
      </c>
      <c r="C61" s="34" t="s">
        <v>76</v>
      </c>
      <c r="D61" s="37" t="s">
        <v>1005</v>
      </c>
      <c r="E61" s="34" t="s">
        <v>1006</v>
      </c>
      <c r="F61" s="38" t="s">
        <v>1007</v>
      </c>
      <c r="G61" s="34" t="s">
        <v>1008</v>
      </c>
      <c r="I61" s="34" t="s">
        <v>277</v>
      </c>
      <c r="J61" s="34" t="s">
        <v>206</v>
      </c>
      <c r="K61" s="34" t="s">
        <v>95</v>
      </c>
      <c r="M61" s="34" t="s">
        <v>117</v>
      </c>
      <c r="N61" s="34" t="s">
        <v>309</v>
      </c>
      <c r="O61" s="34" t="s">
        <v>84</v>
      </c>
      <c r="P61" s="34" t="s">
        <v>10</v>
      </c>
      <c r="Q61" s="34">
        <v>3.0</v>
      </c>
      <c r="S61" s="40" t="s">
        <v>294</v>
      </c>
      <c r="U61" s="38" t="s">
        <v>1009</v>
      </c>
      <c r="V61" s="34" t="s">
        <v>1000</v>
      </c>
    </row>
    <row hidden="1" r="62" customHeight="1" ht="59.0">
      <c r="A62" s="36">
        <v>46071</v>
      </c>
      <c r="B62" s="34" t="s">
        <v>34</v>
      </c>
      <c r="C62" s="34" t="s">
        <v>108</v>
      </c>
      <c r="D62" s="37" t="s">
        <v>1010</v>
      </c>
      <c r="E62" s="34" t="s">
        <v>1011</v>
      </c>
      <c r="F62" s="38" t="s">
        <v>1012</v>
      </c>
      <c r="G62" s="34" t="s">
        <v>1013</v>
      </c>
      <c r="H62" s="34" t="s">
        <v>163</v>
      </c>
      <c r="I62" s="34" t="s">
        <v>1014</v>
      </c>
      <c r="J62" s="34" t="s">
        <v>1015</v>
      </c>
      <c r="K62" s="34" t="s">
        <v>95</v>
      </c>
      <c r="L62" s="38" t="s">
        <v>1016</v>
      </c>
      <c r="M62" s="34" t="s">
        <v>117</v>
      </c>
      <c r="N62" s="34" t="s">
        <v>71</v>
      </c>
      <c r="O62" s="34" t="s">
        <v>98</v>
      </c>
      <c r="P62" s="34" t="s">
        <v>10</v>
      </c>
      <c r="Q62" s="34">
        <v>3.0</v>
      </c>
      <c r="S62" s="40" t="s">
        <v>127</v>
      </c>
      <c r="U62" s="38" t="s">
        <v>1017</v>
      </c>
      <c r="V62" s="34" t="s">
        <v>1018</v>
      </c>
    </row>
    <row hidden="1" r="63" ht="41.0">
      <c r="A63" s="36">
        <v>46071</v>
      </c>
      <c r="B63" s="34" t="s">
        <v>34</v>
      </c>
      <c r="C63" s="34" t="s">
        <v>108</v>
      </c>
      <c r="D63" s="37" t="s">
        <v>1019</v>
      </c>
      <c r="E63" s="34" t="s">
        <v>1020</v>
      </c>
      <c r="F63" s="38" t="s">
        <v>1021</v>
      </c>
      <c r="G63" s="34" t="s">
        <v>1022</v>
      </c>
      <c r="H63" s="34" t="s">
        <v>163</v>
      </c>
      <c r="I63" s="34" t="s">
        <v>266</v>
      </c>
      <c r="K63" s="34" t="s">
        <v>95</v>
      </c>
      <c r="L63" s="34" t="s">
        <v>681</v>
      </c>
      <c r="M63" s="34" t="s">
        <v>83</v>
      </c>
      <c r="N63" s="34" t="s">
        <v>71</v>
      </c>
      <c r="O63" s="34" t="s">
        <v>84</v>
      </c>
      <c r="P63" s="34" t="s">
        <v>10</v>
      </c>
      <c r="Q63" s="34" t="s">
        <v>1023</v>
      </c>
      <c r="S63" s="40" t="s">
        <v>134</v>
      </c>
      <c r="U63" s="38" t="s">
        <v>1024</v>
      </c>
      <c r="V63" s="34" t="s">
        <v>1025</v>
      </c>
    </row>
    <row r="64" ht="55.0">
      <c r="A64" s="36">
        <v>46071</v>
      </c>
      <c r="B64" s="34" t="s">
        <v>36</v>
      </c>
      <c r="C64" s="34" t="s">
        <v>88</v>
      </c>
      <c r="D64" s="37" t="s">
        <v>1026</v>
      </c>
      <c r="E64" s="34" t="s">
        <v>517</v>
      </c>
      <c r="F64" s="38" t="s">
        <v>1027</v>
      </c>
      <c r="G64" s="34" t="s">
        <v>1028</v>
      </c>
      <c r="I64" s="34" t="s">
        <v>266</v>
      </c>
      <c r="K64" s="34" t="s">
        <v>125</v>
      </c>
      <c r="L64" s="34" t="s">
        <v>681</v>
      </c>
      <c r="M64" s="34" t="s">
        <v>83</v>
      </c>
      <c r="N64" s="34" t="s">
        <v>71</v>
      </c>
      <c r="O64" s="34" t="s">
        <v>84</v>
      </c>
      <c r="P64" s="34" t="s">
        <v>9</v>
      </c>
      <c r="Q64" s="34">
        <v>10.0</v>
      </c>
      <c r="R64" s="39">
        <v>105.25</v>
      </c>
      <c r="S64" s="40" t="s">
        <v>134</v>
      </c>
      <c r="U64" s="38" t="s">
        <v>1029</v>
      </c>
    </row>
    <row hidden="1" r="65" ht="15.0">
      <c r="A65" s="36">
        <v>46071</v>
      </c>
      <c r="B65" s="34" t="s">
        <v>34</v>
      </c>
      <c r="C65" s="34" t="s">
        <v>88</v>
      </c>
      <c r="D65" s="37" t="s">
        <v>751</v>
      </c>
      <c r="E65" s="34" t="s">
        <v>530</v>
      </c>
      <c r="F65" s="38" t="s">
        <v>752</v>
      </c>
      <c r="G65" s="34" t="s">
        <v>992</v>
      </c>
      <c r="I65" s="34" t="s">
        <v>266</v>
      </c>
      <c r="K65" s="34" t="s">
        <v>69</v>
      </c>
      <c r="L65" s="38" t="s">
        <v>754</v>
      </c>
      <c r="M65" s="34" t="s">
        <v>83</v>
      </c>
      <c r="N65" s="34" t="s">
        <v>309</v>
      </c>
      <c r="O65" s="34" t="s">
        <v>133</v>
      </c>
      <c r="P65" s="34" t="s">
        <v>10</v>
      </c>
      <c r="Q65" s="34">
        <v>3.0</v>
      </c>
      <c r="S65" s="40"/>
      <c r="U65" s="34" t="s">
        <v>1030</v>
      </c>
      <c r="V65" s="34" t="s">
        <v>1031</v>
      </c>
    </row>
    <row hidden="1" r="66" ht="219.0">
      <c r="A66" s="36">
        <v>46071</v>
      </c>
      <c r="B66" s="34" t="s">
        <v>34</v>
      </c>
      <c r="C66" s="34" t="s">
        <v>63</v>
      </c>
      <c r="D66" s="37" t="s">
        <v>1032</v>
      </c>
      <c r="E66" s="34" t="s">
        <v>1033</v>
      </c>
      <c r="F66" s="38" t="s">
        <v>1034</v>
      </c>
      <c r="G66" s="34" t="s">
        <v>1035</v>
      </c>
      <c r="H66" s="34" t="s">
        <v>1036</v>
      </c>
      <c r="I66" s="34" t="s">
        <v>107</v>
      </c>
      <c r="K66" s="34" t="s">
        <v>69</v>
      </c>
      <c r="M66" s="34" t="s">
        <v>474</v>
      </c>
      <c r="N66" s="34" t="s">
        <v>71</v>
      </c>
      <c r="O66" s="34" t="s">
        <v>84</v>
      </c>
      <c r="P66" s="34" t="s">
        <v>10</v>
      </c>
      <c r="Q66" s="34">
        <v>4500.0</v>
      </c>
      <c r="S66" s="40" t="s">
        <v>73</v>
      </c>
      <c r="U66" s="34" t="s">
        <v>668</v>
      </c>
      <c r="W66" s="34" t="s">
        <v>1037</v>
      </c>
    </row>
    <row hidden="1" r="67" ht="27.0">
      <c r="A67" s="36">
        <v>46071</v>
      </c>
      <c r="B67" s="34" t="s">
        <v>34</v>
      </c>
      <c r="C67" s="34" t="s">
        <v>63</v>
      </c>
      <c r="D67" s="37" t="s">
        <v>1038</v>
      </c>
      <c r="E67" s="34" t="s">
        <v>438</v>
      </c>
      <c r="F67" s="38" t="s">
        <v>1039</v>
      </c>
      <c r="G67" s="34" t="s">
        <v>1040</v>
      </c>
      <c r="K67" s="34" t="s">
        <v>69</v>
      </c>
      <c r="M67" s="34" t="s">
        <v>474</v>
      </c>
      <c r="N67" s="34" t="s">
        <v>156</v>
      </c>
      <c r="O67" s="34" t="s">
        <v>157</v>
      </c>
      <c r="P67" s="34" t="s">
        <v>158</v>
      </c>
      <c r="Q67" s="34">
        <v>619.0</v>
      </c>
      <c r="S67" s="40" t="s">
        <v>73</v>
      </c>
      <c r="U67" s="34" t="s">
        <v>1041</v>
      </c>
    </row>
    <row r="68" ht="27.0">
      <c r="A68" s="45">
        <v>46072</v>
      </c>
      <c r="B68" s="34" t="s">
        <v>34</v>
      </c>
      <c r="C68" s="34" t="s">
        <v>76</v>
      </c>
      <c r="D68" s="37" t="s">
        <v>1042</v>
      </c>
      <c r="E68" s="34" t="s">
        <v>170</v>
      </c>
      <c r="F68" s="38" t="s">
        <v>1043</v>
      </c>
      <c r="G68" s="34" t="s">
        <v>1044</v>
      </c>
      <c r="I68" s="34" t="s">
        <v>873</v>
      </c>
      <c r="J68" s="34" t="s">
        <v>1045</v>
      </c>
      <c r="K68" s="34" t="s">
        <v>125</v>
      </c>
      <c r="M68" s="34" t="s">
        <v>117</v>
      </c>
      <c r="N68" s="34" t="s">
        <v>309</v>
      </c>
      <c r="O68" s="34" t="s">
        <v>84</v>
      </c>
      <c r="P68" s="34" t="s">
        <v>9</v>
      </c>
      <c r="Q68" s="34">
        <v>10.0</v>
      </c>
      <c r="S68" s="40" t="s">
        <v>127</v>
      </c>
      <c r="U68" s="38" t="s">
        <v>1046</v>
      </c>
    </row>
    <row hidden="1" r="69" ht="29.0">
      <c r="A69" s="45">
        <v>46072</v>
      </c>
      <c r="B69" s="34" t="s">
        <v>34</v>
      </c>
      <c r="C69" s="34" t="s">
        <v>76</v>
      </c>
      <c r="D69" s="46" t="s">
        <v>1047</v>
      </c>
      <c r="E69" s="47" t="s">
        <v>78</v>
      </c>
      <c r="F69" s="46" t="s">
        <v>1048</v>
      </c>
      <c r="G69" s="53" t="s">
        <v>1049</v>
      </c>
      <c r="H69" s="47"/>
      <c r="I69" s="47" t="s">
        <v>277</v>
      </c>
      <c r="J69" s="47"/>
      <c r="K69" s="34" t="s">
        <v>95</v>
      </c>
      <c r="M69" s="34" t="s">
        <v>117</v>
      </c>
      <c r="N69" s="34" t="s">
        <v>71</v>
      </c>
      <c r="O69" s="34" t="s">
        <v>98</v>
      </c>
      <c r="P69" s="34" t="s">
        <v>10</v>
      </c>
      <c r="Q69" s="47">
        <v>3.0</v>
      </c>
      <c r="R69" s="47"/>
      <c r="S69" s="40" t="s">
        <v>134</v>
      </c>
      <c r="T69" s="49"/>
      <c r="U69" s="49" t="s">
        <v>1050</v>
      </c>
      <c r="V69" s="47" t="s">
        <v>1051</v>
      </c>
    </row>
    <row hidden="1" r="70" ht="164.0">
      <c r="A70" s="45">
        <v>46072</v>
      </c>
      <c r="B70" s="34" t="s">
        <v>34</v>
      </c>
      <c r="C70" s="34" t="s">
        <v>63</v>
      </c>
      <c r="D70" s="46" t="s">
        <v>1052</v>
      </c>
      <c r="E70" s="47" t="s">
        <v>885</v>
      </c>
      <c r="F70" s="46" t="s">
        <v>1053</v>
      </c>
      <c r="G70" s="47" t="s">
        <v>1054</v>
      </c>
      <c r="H70" s="47" t="s">
        <v>1055</v>
      </c>
      <c r="I70" s="47"/>
      <c r="J70" s="47"/>
      <c r="K70" s="34" t="s">
        <v>69</v>
      </c>
      <c r="M70" s="34" t="s">
        <v>97</v>
      </c>
      <c r="N70" s="34" t="s">
        <v>156</v>
      </c>
      <c r="O70" s="34" t="s">
        <v>157</v>
      </c>
      <c r="P70" s="34" t="s">
        <v>158</v>
      </c>
      <c r="Q70" s="47">
        <v>57.0</v>
      </c>
      <c r="R70" s="47"/>
      <c r="S70" s="40" t="s">
        <v>85</v>
      </c>
      <c r="T70" s="49"/>
      <c r="U70" s="47" t="s">
        <v>1041</v>
      </c>
      <c r="V70" s="47"/>
    </row>
    <row r="71" ht="15.0">
      <c r="A71" s="45">
        <v>46072</v>
      </c>
      <c r="B71" s="34" t="s">
        <v>34</v>
      </c>
      <c r="C71" s="34" t="s">
        <v>108</v>
      </c>
      <c r="D71" s="46" t="s">
        <v>1056</v>
      </c>
      <c r="E71" s="47" t="s">
        <v>1057</v>
      </c>
      <c r="F71" s="46" t="s">
        <v>1058</v>
      </c>
      <c r="G71" s="47" t="s">
        <v>600</v>
      </c>
      <c r="H71" s="47"/>
      <c r="I71" s="47"/>
      <c r="J71" s="47"/>
      <c r="K71" s="34" t="s">
        <v>69</v>
      </c>
      <c r="L71" s="34" t="s">
        <v>681</v>
      </c>
      <c r="M71" s="34" t="s">
        <v>83</v>
      </c>
      <c r="N71" s="34" t="s">
        <v>71</v>
      </c>
      <c r="O71" s="34" t="s">
        <v>84</v>
      </c>
      <c r="P71" s="34" t="s">
        <v>9</v>
      </c>
      <c r="Q71" s="47">
        <v>5.0</v>
      </c>
      <c r="R71" s="47"/>
      <c r="S71" s="40" t="s">
        <v>134</v>
      </c>
      <c r="T71" s="49"/>
      <c r="U71" s="47" t="s">
        <v>1059</v>
      </c>
      <c r="V71" s="47"/>
    </row>
    <row hidden="1" r="72" ht="41.0">
      <c r="A72" s="45">
        <v>46072</v>
      </c>
      <c r="B72" s="34" t="s">
        <v>36</v>
      </c>
      <c r="C72" s="34" t="s">
        <v>108</v>
      </c>
      <c r="D72" s="46" t="s">
        <v>1060</v>
      </c>
      <c r="E72" s="47" t="s">
        <v>1061</v>
      </c>
      <c r="F72" s="46" t="s">
        <v>1062</v>
      </c>
      <c r="G72" s="47" t="s">
        <v>1063</v>
      </c>
      <c r="H72" s="47" t="s">
        <v>163</v>
      </c>
      <c r="I72" s="47" t="s">
        <v>140</v>
      </c>
      <c r="J72" s="47" t="s">
        <v>1064</v>
      </c>
      <c r="K72" s="34" t="s">
        <v>95</v>
      </c>
      <c r="L72" s="38" t="s">
        <v>1065</v>
      </c>
      <c r="M72" s="34" t="s">
        <v>97</v>
      </c>
      <c r="N72" s="34" t="s">
        <v>71</v>
      </c>
      <c r="O72" s="34" t="s">
        <v>98</v>
      </c>
      <c r="P72" s="34" t="s">
        <v>10</v>
      </c>
      <c r="Q72" s="47">
        <v>5.0</v>
      </c>
      <c r="R72" s="47"/>
      <c r="S72" s="40" t="s">
        <v>99</v>
      </c>
      <c r="T72" s="49"/>
      <c r="U72" s="49" t="s">
        <v>1066</v>
      </c>
      <c r="V72" s="47" t="s">
        <v>1067</v>
      </c>
    </row>
    <row r="73" ht="41.0">
      <c r="A73" s="36">
        <v>46073</v>
      </c>
      <c r="B73" s="34" t="s">
        <v>34</v>
      </c>
      <c r="C73" s="34" t="s">
        <v>76</v>
      </c>
      <c r="D73" s="37" t="s">
        <v>1068</v>
      </c>
      <c r="E73" s="34" t="s">
        <v>500</v>
      </c>
      <c r="F73" s="38" t="s">
        <v>1069</v>
      </c>
      <c r="G73" s="34" t="s">
        <v>1070</v>
      </c>
      <c r="K73" s="34" t="s">
        <v>125</v>
      </c>
      <c r="M73" s="34" t="s">
        <v>97</v>
      </c>
      <c r="N73" s="34" t="s">
        <v>71</v>
      </c>
      <c r="O73" s="34" t="s">
        <v>84</v>
      </c>
      <c r="P73" s="34" t="s">
        <v>9</v>
      </c>
      <c r="Q73" s="34">
        <v>12.0</v>
      </c>
      <c r="S73" s="40" t="s">
        <v>134</v>
      </c>
      <c r="U73" s="38" t="s">
        <v>1071</v>
      </c>
    </row>
    <row r="74" ht="82.0">
      <c r="A74" s="36">
        <v>46073</v>
      </c>
      <c r="B74" s="34" t="s">
        <v>34</v>
      </c>
      <c r="C74" s="34" t="s">
        <v>108</v>
      </c>
      <c r="D74" s="37" t="s">
        <v>1072</v>
      </c>
      <c r="E74" s="34" t="s">
        <v>1073</v>
      </c>
      <c r="F74" s="38" t="s">
        <v>1074</v>
      </c>
      <c r="G74" s="34" t="s">
        <v>1075</v>
      </c>
      <c r="H74" s="34" t="s">
        <v>163</v>
      </c>
      <c r="I74" s="34" t="s">
        <v>1076</v>
      </c>
      <c r="K74" s="34" t="s">
        <v>184</v>
      </c>
      <c r="L74" s="38" t="s">
        <v>1077</v>
      </c>
      <c r="M74" s="34" t="s">
        <v>97</v>
      </c>
      <c r="N74" s="34" t="s">
        <v>71</v>
      </c>
      <c r="O74" s="34" t="s">
        <v>84</v>
      </c>
      <c r="P74" s="34" t="s">
        <v>9</v>
      </c>
      <c r="Q74" s="34">
        <v>5.0</v>
      </c>
      <c r="S74" s="40" t="s">
        <v>127</v>
      </c>
      <c r="U74" s="38" t="s">
        <v>1078</v>
      </c>
    </row>
    <row r="75" ht="41.0">
      <c r="A75" s="36">
        <v>46076</v>
      </c>
      <c r="B75" s="34" t="s">
        <v>36</v>
      </c>
      <c r="C75" s="34" t="s">
        <v>108</v>
      </c>
      <c r="D75" s="37" t="s">
        <v>895</v>
      </c>
      <c r="E75" s="34" t="s">
        <v>663</v>
      </c>
      <c r="F75" s="38" t="s">
        <v>896</v>
      </c>
      <c r="G75" s="34" t="s">
        <v>992</v>
      </c>
      <c r="H75" s="34" t="s">
        <v>1079</v>
      </c>
      <c r="I75" s="34" t="s">
        <v>266</v>
      </c>
      <c r="K75" s="34" t="s">
        <v>125</v>
      </c>
      <c r="L75" s="38" t="s">
        <v>1080</v>
      </c>
      <c r="M75" s="34" t="s">
        <v>117</v>
      </c>
      <c r="N75" s="34" t="s">
        <v>309</v>
      </c>
      <c r="O75" s="34" t="s">
        <v>84</v>
      </c>
      <c r="P75" s="34" t="s">
        <v>9</v>
      </c>
      <c r="Q75" s="34">
        <v>20.0</v>
      </c>
      <c r="S75" s="40" t="s">
        <v>127</v>
      </c>
      <c r="U75" s="34" t="s">
        <v>1081</v>
      </c>
      <c r="V75" s="34" t="s">
        <v>902</v>
      </c>
      <c r="W75" s="34" t="s">
        <v>903</v>
      </c>
    </row>
    <row r="76" ht="60.0">
      <c r="A76" s="36">
        <v>46076</v>
      </c>
      <c r="B76" s="34" t="s">
        <v>34</v>
      </c>
      <c r="C76" s="34" t="s">
        <v>108</v>
      </c>
      <c r="D76" s="37" t="s">
        <v>1082</v>
      </c>
      <c r="E76" s="34" t="s">
        <v>1083</v>
      </c>
      <c r="F76" s="38" t="s">
        <v>1084</v>
      </c>
      <c r="G76" s="50" t="s">
        <v>1085</v>
      </c>
      <c r="H76" s="34" t="s">
        <v>163</v>
      </c>
      <c r="I76" s="34" t="s">
        <v>266</v>
      </c>
      <c r="K76" s="34" t="s">
        <v>125</v>
      </c>
      <c r="L76" s="38" t="s">
        <v>1086</v>
      </c>
      <c r="M76" s="34" t="s">
        <v>117</v>
      </c>
      <c r="N76" s="34" t="s">
        <v>309</v>
      </c>
      <c r="O76" s="34" t="s">
        <v>84</v>
      </c>
      <c r="P76" s="34" t="s">
        <v>9</v>
      </c>
      <c r="Q76" s="34">
        <v>3.0</v>
      </c>
      <c r="S76" s="40" t="s">
        <v>127</v>
      </c>
      <c r="U76" s="34" t="s">
        <v>1081</v>
      </c>
    </row>
    <row r="77" ht="45.0">
      <c r="A77" s="36">
        <v>46076</v>
      </c>
      <c r="B77" s="34" t="s">
        <v>34</v>
      </c>
      <c r="C77" s="34" t="s">
        <v>108</v>
      </c>
      <c r="D77" s="51" t="s">
        <v>1087</v>
      </c>
      <c r="E77" s="34" t="s">
        <v>302</v>
      </c>
      <c r="F77" s="38" t="s">
        <v>1088</v>
      </c>
      <c r="G77" s="50" t="s">
        <v>1089</v>
      </c>
      <c r="H77" s="34" t="s">
        <v>163</v>
      </c>
      <c r="I77" s="34" t="s">
        <v>1090</v>
      </c>
      <c r="J77" s="34" t="s">
        <v>1091</v>
      </c>
      <c r="K77" s="34" t="s">
        <v>125</v>
      </c>
      <c r="L77" s="38" t="s">
        <v>1092</v>
      </c>
      <c r="M77" s="34" t="s">
        <v>117</v>
      </c>
      <c r="N77" s="34" t="s">
        <v>71</v>
      </c>
      <c r="O77" s="34" t="s">
        <v>84</v>
      </c>
      <c r="P77" s="34" t="s">
        <v>9</v>
      </c>
      <c r="Q77" s="34">
        <v>3.0</v>
      </c>
      <c r="R77" s="39">
        <v>55.44</v>
      </c>
      <c r="S77" s="40" t="s">
        <v>134</v>
      </c>
      <c r="U77" s="34" t="s">
        <v>1081</v>
      </c>
      <c r="V77" s="34" t="s">
        <v>1093</v>
      </c>
    </row>
    <row hidden="1" r="78" ht="76.0">
      <c r="A78" s="36">
        <v>46076</v>
      </c>
      <c r="B78" s="34" t="s">
        <v>34</v>
      </c>
      <c r="C78" s="34" t="s">
        <v>1094</v>
      </c>
      <c r="D78" s="51" t="s">
        <v>1095</v>
      </c>
      <c r="G78" s="50" t="s">
        <v>1096</v>
      </c>
      <c r="K78" s="34" t="s">
        <v>95</v>
      </c>
      <c r="M78" s="34" t="s">
        <v>97</v>
      </c>
      <c r="N78" s="34" t="s">
        <v>71</v>
      </c>
      <c r="O78" s="34" t="s">
        <v>84</v>
      </c>
      <c r="P78" s="34" t="s">
        <v>10</v>
      </c>
      <c r="S78" s="40"/>
      <c r="V78" s="34" t="s">
        <v>1097</v>
      </c>
    </row>
    <row hidden="1" r="79" ht="41.0">
      <c r="A79" s="36">
        <v>46077</v>
      </c>
      <c r="B79" s="34" t="s">
        <v>34</v>
      </c>
      <c r="C79" s="34" t="s">
        <v>76</v>
      </c>
      <c r="D79" s="51" t="s">
        <v>1098</v>
      </c>
      <c r="E79" s="34" t="s">
        <v>78</v>
      </c>
      <c r="F79" s="38" t="s">
        <v>1099</v>
      </c>
      <c r="G79" s="50" t="s">
        <v>1100</v>
      </c>
      <c r="H79" s="34" t="s">
        <v>163</v>
      </c>
      <c r="I79" s="34" t="s">
        <v>932</v>
      </c>
      <c r="J79" s="34" t="s">
        <v>1101</v>
      </c>
      <c r="K79" s="34" t="s">
        <v>95</v>
      </c>
      <c r="M79" s="34" t="s">
        <v>97</v>
      </c>
      <c r="N79" s="34" t="s">
        <v>71</v>
      </c>
      <c r="O79" s="34" t="s">
        <v>98</v>
      </c>
      <c r="P79" s="34" t="s">
        <v>10</v>
      </c>
      <c r="Q79" s="43" t="s">
        <v>1102</v>
      </c>
      <c r="S79" s="40" t="s">
        <v>294</v>
      </c>
      <c r="U79" s="38" t="s">
        <v>1103</v>
      </c>
      <c r="V79" s="34" t="s">
        <v>979</v>
      </c>
    </row>
    <row hidden="1" r="80" ht="30.0">
      <c r="A80" s="36">
        <v>46077</v>
      </c>
      <c r="B80" s="34" t="s">
        <v>34</v>
      </c>
      <c r="C80" s="34" t="s">
        <v>76</v>
      </c>
      <c r="D80" s="51" t="s">
        <v>1104</v>
      </c>
      <c r="E80" s="34" t="s">
        <v>170</v>
      </c>
      <c r="F80" s="38" t="s">
        <v>1105</v>
      </c>
      <c r="G80" s="50" t="s">
        <v>1106</v>
      </c>
      <c r="H80" s="34" t="s">
        <v>163</v>
      </c>
      <c r="I80" s="34" t="s">
        <v>1107</v>
      </c>
      <c r="J80" s="34" t="s">
        <v>216</v>
      </c>
      <c r="K80" s="34" t="s">
        <v>95</v>
      </c>
      <c r="M80" s="34" t="s">
        <v>117</v>
      </c>
      <c r="N80" s="34" t="s">
        <v>71</v>
      </c>
      <c r="O80" s="34" t="s">
        <v>84</v>
      </c>
      <c r="P80" s="34" t="s">
        <v>10</v>
      </c>
      <c r="Q80" s="34">
        <v>3.0</v>
      </c>
      <c r="S80" s="40" t="s">
        <v>127</v>
      </c>
      <c r="U80" s="38" t="s">
        <v>1108</v>
      </c>
      <c r="V80" s="34" t="s">
        <v>1109</v>
      </c>
    </row>
    <row hidden="1" r="81" ht="55.0">
      <c r="A81" s="36">
        <v>46077</v>
      </c>
      <c r="B81" s="34" t="s">
        <v>34</v>
      </c>
      <c r="C81" s="34" t="s">
        <v>108</v>
      </c>
      <c r="D81" s="37" t="s">
        <v>1110</v>
      </c>
      <c r="E81" s="34" t="s">
        <v>1111</v>
      </c>
      <c r="F81" s="38" t="s">
        <v>1112</v>
      </c>
      <c r="G81" s="34" t="s">
        <v>1113</v>
      </c>
      <c r="H81" s="34" t="s">
        <v>1114</v>
      </c>
      <c r="I81" s="34" t="s">
        <v>1115</v>
      </c>
      <c r="K81" s="34" t="s">
        <v>69</v>
      </c>
      <c r="L81" s="38" t="s">
        <v>1116</v>
      </c>
      <c r="M81" s="34" t="s">
        <v>117</v>
      </c>
      <c r="N81" s="34" t="s">
        <v>71</v>
      </c>
      <c r="O81" s="34" t="s">
        <v>98</v>
      </c>
      <c r="P81" s="34" t="s">
        <v>395</v>
      </c>
      <c r="S81" s="40"/>
    </row>
    <row hidden="1" r="82" ht="41.0">
      <c r="A82" s="36">
        <v>46077</v>
      </c>
      <c r="B82" s="34" t="s">
        <v>34</v>
      </c>
      <c r="C82" s="34" t="s">
        <v>108</v>
      </c>
      <c r="D82" s="37" t="s">
        <v>1117</v>
      </c>
      <c r="E82" s="34" t="s">
        <v>1118</v>
      </c>
      <c r="F82" s="38" t="s">
        <v>1119</v>
      </c>
      <c r="G82" s="34" t="s">
        <v>1120</v>
      </c>
      <c r="H82" s="34" t="s">
        <v>163</v>
      </c>
      <c r="K82" s="34" t="s">
        <v>95</v>
      </c>
      <c r="L82" s="38" t="s">
        <v>1121</v>
      </c>
      <c r="M82" s="34" t="s">
        <v>117</v>
      </c>
      <c r="N82" s="34" t="s">
        <v>71</v>
      </c>
      <c r="O82" s="34" t="s">
        <v>133</v>
      </c>
      <c r="P82" s="34" t="s">
        <v>10</v>
      </c>
      <c r="S82" s="40" t="s">
        <v>127</v>
      </c>
      <c r="T82" s="34" t="s">
        <v>1122</v>
      </c>
      <c r="U82" s="34" t="s">
        <v>1123</v>
      </c>
      <c r="V82" s="34" t="s">
        <v>1124</v>
      </c>
    </row>
    <row hidden="1" r="83" ht="55.0">
      <c r="A83" s="36">
        <v>46077</v>
      </c>
      <c r="B83" s="34" t="s">
        <v>34</v>
      </c>
      <c r="C83" s="34" t="s">
        <v>108</v>
      </c>
      <c r="D83" s="37" t="s">
        <v>1125</v>
      </c>
      <c r="E83" s="34" t="s">
        <v>1126</v>
      </c>
      <c r="F83" s="38" t="s">
        <v>1127</v>
      </c>
      <c r="G83" s="34" t="s">
        <v>1128</v>
      </c>
      <c r="H83" s="34" t="s">
        <v>163</v>
      </c>
      <c r="I83" s="34" t="s">
        <v>1129</v>
      </c>
      <c r="J83" s="34" t="s">
        <v>1130</v>
      </c>
      <c r="K83" s="34" t="s">
        <v>95</v>
      </c>
      <c r="L83" s="38" t="s">
        <v>1131</v>
      </c>
      <c r="M83" s="34" t="s">
        <v>97</v>
      </c>
      <c r="N83" s="34" t="s">
        <v>71</v>
      </c>
      <c r="O83" s="34" t="s">
        <v>84</v>
      </c>
      <c r="P83" s="34" t="s">
        <v>10</v>
      </c>
      <c r="Q83" s="34">
        <v>10.0</v>
      </c>
      <c r="S83" s="40" t="s">
        <v>134</v>
      </c>
      <c r="U83" s="38" t="s">
        <v>1132</v>
      </c>
    </row>
    <row hidden="1" r="84" ht="68.0">
      <c r="A84" s="36">
        <v>46078</v>
      </c>
      <c r="B84" s="34" t="s">
        <v>35</v>
      </c>
      <c r="C84" s="34" t="s">
        <v>88</v>
      </c>
      <c r="D84" s="37" t="s">
        <v>1133</v>
      </c>
      <c r="E84" s="34" t="s">
        <v>976</v>
      </c>
      <c r="F84" s="38" t="s">
        <v>1134</v>
      </c>
      <c r="G84" s="34" t="s">
        <v>1135</v>
      </c>
      <c r="H84" s="34" t="s">
        <v>688</v>
      </c>
      <c r="I84" s="34" t="s">
        <v>1136</v>
      </c>
      <c r="K84" s="34" t="s">
        <v>95</v>
      </c>
      <c r="L84" s="34" t="s">
        <v>681</v>
      </c>
      <c r="M84" s="34" t="s">
        <v>97</v>
      </c>
      <c r="N84" s="34" t="s">
        <v>71</v>
      </c>
      <c r="O84" s="34" t="s">
        <v>98</v>
      </c>
      <c r="P84" s="34" t="s">
        <v>10</v>
      </c>
      <c r="Q84" s="34" t="s">
        <v>248</v>
      </c>
      <c r="S84" s="40"/>
      <c r="U84" s="38" t="s">
        <v>1137</v>
      </c>
      <c r="V84" s="34" t="s">
        <v>186</v>
      </c>
      <c r="W84" s="41" t="s">
        <v>692</v>
      </c>
    </row>
    <row hidden="1" r="85" ht="27.0">
      <c r="A85" s="36">
        <v>46078</v>
      </c>
      <c r="B85" s="34" t="s">
        <v>34</v>
      </c>
      <c r="C85" s="34" t="s">
        <v>76</v>
      </c>
      <c r="D85" s="37" t="s">
        <v>1138</v>
      </c>
      <c r="E85" s="34" t="s">
        <v>725</v>
      </c>
      <c r="F85" s="38" t="s">
        <v>1139</v>
      </c>
      <c r="G85" s="34" t="s">
        <v>1140</v>
      </c>
      <c r="K85" s="34" t="s">
        <v>95</v>
      </c>
      <c r="M85" s="34" t="s">
        <v>117</v>
      </c>
      <c r="N85" s="34" t="s">
        <v>309</v>
      </c>
      <c r="O85" s="34" t="s">
        <v>84</v>
      </c>
      <c r="P85" s="34" t="s">
        <v>10</v>
      </c>
      <c r="S85" s="40"/>
      <c r="V85" s="34" t="s">
        <v>1141</v>
      </c>
    </row>
    <row hidden="1" r="86" ht="41.0">
      <c r="A86" s="36">
        <v>46078</v>
      </c>
      <c r="B86" s="34" t="s">
        <v>34</v>
      </c>
      <c r="C86" s="34" t="s">
        <v>76</v>
      </c>
      <c r="D86" s="37" t="s">
        <v>1142</v>
      </c>
      <c r="E86" s="34" t="s">
        <v>1143</v>
      </c>
      <c r="F86" s="38" t="s">
        <v>1144</v>
      </c>
      <c r="G86" s="34" t="s">
        <v>1145</v>
      </c>
      <c r="K86" s="34" t="s">
        <v>95</v>
      </c>
      <c r="M86" s="34" t="s">
        <v>117</v>
      </c>
      <c r="N86" s="34" t="s">
        <v>71</v>
      </c>
      <c r="O86" s="34" t="s">
        <v>98</v>
      </c>
      <c r="P86" s="34" t="s">
        <v>10</v>
      </c>
      <c r="Q86" s="43"/>
      <c r="S86" s="40"/>
      <c r="V86" s="34" t="s">
        <v>1146</v>
      </c>
    </row>
    <row hidden="1" r="87" ht="27.0">
      <c r="A87" s="36">
        <v>46078</v>
      </c>
      <c r="B87" s="34" t="s">
        <v>34</v>
      </c>
      <c r="C87" s="34" t="s">
        <v>76</v>
      </c>
      <c r="D87" s="37" t="s">
        <v>1147</v>
      </c>
      <c r="E87" s="34" t="s">
        <v>130</v>
      </c>
      <c r="F87" s="38" t="s">
        <v>1148</v>
      </c>
      <c r="G87" s="34" t="s">
        <v>1149</v>
      </c>
      <c r="K87" s="34" t="s">
        <v>69</v>
      </c>
      <c r="M87" s="34" t="s">
        <v>117</v>
      </c>
      <c r="N87" s="34" t="s">
        <v>71</v>
      </c>
      <c r="O87" s="34" t="s">
        <v>98</v>
      </c>
      <c r="P87" s="34" t="s">
        <v>395</v>
      </c>
      <c r="S87" s="40"/>
    </row>
    <row hidden="1" r="88" customHeight="1" ht="96.0">
      <c r="A88" s="36">
        <v>46078</v>
      </c>
      <c r="B88" s="34" t="s">
        <v>36</v>
      </c>
      <c r="C88" s="34" t="s">
        <v>108</v>
      </c>
      <c r="D88" s="37" t="s">
        <v>1150</v>
      </c>
      <c r="E88" s="34" t="s">
        <v>1151</v>
      </c>
      <c r="F88" s="38" t="s">
        <v>1152</v>
      </c>
      <c r="G88" s="34" t="s">
        <v>1153</v>
      </c>
      <c r="H88" s="34" t="s">
        <v>1154</v>
      </c>
      <c r="K88" s="34" t="s">
        <v>69</v>
      </c>
      <c r="L88" s="38" t="s">
        <v>1155</v>
      </c>
      <c r="M88" s="34" t="s">
        <v>97</v>
      </c>
      <c r="N88" s="34" t="s">
        <v>71</v>
      </c>
      <c r="O88" s="34" t="s">
        <v>84</v>
      </c>
      <c r="P88" s="34" t="s">
        <v>395</v>
      </c>
      <c r="S88" s="40"/>
      <c r="U88" s="38" t="s">
        <v>1156</v>
      </c>
      <c r="W88" s="41" t="s">
        <v>1157</v>
      </c>
    </row>
    <row hidden="1" r="89" customHeight="1" ht="96.0">
      <c r="A89" s="36">
        <v>46078</v>
      </c>
      <c r="B89" s="34" t="s">
        <v>34</v>
      </c>
      <c r="C89" s="34" t="s">
        <v>108</v>
      </c>
      <c r="D89" s="37" t="s">
        <v>1158</v>
      </c>
      <c r="E89" s="34" t="s">
        <v>1159</v>
      </c>
      <c r="F89" s="38" t="s">
        <v>1160</v>
      </c>
      <c r="G89" s="34" t="s">
        <v>1161</v>
      </c>
      <c r="H89" s="34" t="s">
        <v>163</v>
      </c>
      <c r="I89" s="34" t="s">
        <v>490</v>
      </c>
      <c r="K89" s="34" t="s">
        <v>95</v>
      </c>
      <c r="L89" s="38" t="s">
        <v>1162</v>
      </c>
      <c r="M89" s="34" t="s">
        <v>83</v>
      </c>
      <c r="N89" s="34" t="s">
        <v>71</v>
      </c>
      <c r="O89" s="34" t="s">
        <v>133</v>
      </c>
      <c r="P89" s="34" t="s">
        <v>10</v>
      </c>
      <c r="Q89" s="34">
        <v>3.0</v>
      </c>
      <c r="S89" s="40" t="s">
        <v>99</v>
      </c>
      <c r="U89" s="38" t="s">
        <v>1163</v>
      </c>
      <c r="V89" s="34" t="s">
        <v>684</v>
      </c>
    </row>
    <row hidden="1" r="90" ht="68.0">
      <c r="A90" s="36">
        <v>46078</v>
      </c>
      <c r="B90" s="34" t="s">
        <v>34</v>
      </c>
      <c r="C90" s="34" t="s">
        <v>63</v>
      </c>
      <c r="D90" s="37" t="s">
        <v>1164</v>
      </c>
      <c r="E90" s="34" t="s">
        <v>104</v>
      </c>
      <c r="F90" s="38" t="s">
        <v>1165</v>
      </c>
      <c r="G90" s="34" t="s">
        <v>1166</v>
      </c>
      <c r="H90" s="34" t="s">
        <v>1167</v>
      </c>
      <c r="I90" s="34" t="s">
        <v>107</v>
      </c>
      <c r="K90" s="34" t="s">
        <v>173</v>
      </c>
      <c r="M90" s="34" t="s">
        <v>117</v>
      </c>
      <c r="N90" s="34" t="s">
        <v>309</v>
      </c>
      <c r="O90" s="34" t="s">
        <v>84</v>
      </c>
      <c r="P90" s="34" t="s">
        <v>10</v>
      </c>
      <c r="S90" s="40" t="s">
        <v>468</v>
      </c>
      <c r="U90" s="34" t="s">
        <v>668</v>
      </c>
      <c r="V90" s="34" t="s">
        <v>1168</v>
      </c>
      <c r="W90" s="34" t="s">
        <v>1169</v>
      </c>
    </row>
    <row r="91" ht="41.0">
      <c r="A91" s="36">
        <v>46078</v>
      </c>
      <c r="B91" s="34" t="s">
        <v>34</v>
      </c>
      <c r="C91" s="34" t="s">
        <v>88</v>
      </c>
      <c r="D91" s="37" t="s">
        <v>1170</v>
      </c>
      <c r="E91" s="34" t="s">
        <v>130</v>
      </c>
      <c r="F91" s="38" t="s">
        <v>1171</v>
      </c>
      <c r="G91" s="34" t="s">
        <v>1172</v>
      </c>
      <c r="H91" s="34" t="s">
        <v>163</v>
      </c>
      <c r="K91" s="34" t="s">
        <v>689</v>
      </c>
      <c r="L91" s="38" t="s">
        <v>1173</v>
      </c>
      <c r="M91" s="34" t="s">
        <v>97</v>
      </c>
      <c r="N91" s="34" t="s">
        <v>71</v>
      </c>
      <c r="O91" s="34" t="s">
        <v>84</v>
      </c>
      <c r="P91" s="34" t="s">
        <v>9</v>
      </c>
      <c r="Q91" s="34">
        <v>5.0</v>
      </c>
      <c r="R91" s="39">
        <v>50.16</v>
      </c>
      <c r="S91" s="40" t="s">
        <v>85</v>
      </c>
      <c r="U91" s="38" t="s">
        <v>1174</v>
      </c>
    </row>
    <row hidden="1" r="92" ht="27.0">
      <c r="A92" s="36">
        <v>46079</v>
      </c>
      <c r="B92" s="34" t="s">
        <v>34</v>
      </c>
      <c r="C92" s="34" t="s">
        <v>76</v>
      </c>
      <c r="D92" s="37" t="s">
        <v>1175</v>
      </c>
      <c r="E92" s="34" t="s">
        <v>170</v>
      </c>
      <c r="F92" s="38" t="s">
        <v>1176</v>
      </c>
      <c r="G92" s="34" t="s">
        <v>1177</v>
      </c>
      <c r="H92" s="34" t="s">
        <v>1178</v>
      </c>
      <c r="J92" s="34" t="s">
        <v>1179</v>
      </c>
      <c r="K92" s="34" t="s">
        <v>95</v>
      </c>
      <c r="M92" s="34" t="s">
        <v>117</v>
      </c>
      <c r="N92" s="34" t="s">
        <v>71</v>
      </c>
      <c r="O92" s="34" t="s">
        <v>133</v>
      </c>
      <c r="P92" s="34" t="s">
        <v>10</v>
      </c>
      <c r="Q92" s="34">
        <v>7.0</v>
      </c>
      <c r="S92" s="40" t="s">
        <v>134</v>
      </c>
      <c r="U92" s="38" t="s">
        <v>1180</v>
      </c>
      <c r="V92" s="34" t="s">
        <v>1181</v>
      </c>
      <c r="W92" s="34" t="s">
        <v>1182</v>
      </c>
    </row>
    <row hidden="1" r="93" ht="27.0">
      <c r="A93" s="36">
        <v>46079</v>
      </c>
      <c r="B93" s="34" t="s">
        <v>34</v>
      </c>
      <c r="C93" s="34" t="s">
        <v>76</v>
      </c>
      <c r="D93" s="37" t="s">
        <v>1183</v>
      </c>
      <c r="E93" s="34" t="s">
        <v>78</v>
      </c>
      <c r="F93" s="38" t="s">
        <v>1184</v>
      </c>
      <c r="G93" s="34" t="s">
        <v>1185</v>
      </c>
      <c r="I93" s="34" t="s">
        <v>932</v>
      </c>
      <c r="J93" s="34" t="s">
        <v>206</v>
      </c>
      <c r="K93" s="34" t="s">
        <v>95</v>
      </c>
      <c r="M93" s="34" t="s">
        <v>97</v>
      </c>
      <c r="N93" s="34" t="s">
        <v>71</v>
      </c>
      <c r="O93" s="34" t="s">
        <v>98</v>
      </c>
      <c r="P93" s="34" t="s">
        <v>10</v>
      </c>
      <c r="Q93" s="34">
        <v>10.0</v>
      </c>
      <c r="S93" s="40" t="s">
        <v>134</v>
      </c>
      <c r="U93" s="38" t="s">
        <v>1186</v>
      </c>
    </row>
    <row hidden="1" r="94" ht="27.0">
      <c r="A94" s="36">
        <v>46079</v>
      </c>
      <c r="B94" s="34" t="s">
        <v>34</v>
      </c>
      <c r="C94" s="34" t="s">
        <v>108</v>
      </c>
      <c r="D94" s="37" t="s">
        <v>1187</v>
      </c>
      <c r="E94" s="34" t="s">
        <v>438</v>
      </c>
      <c r="F94" s="34" t="s">
        <v>1188</v>
      </c>
      <c r="G94" s="34" t="s">
        <v>1189</v>
      </c>
      <c r="K94" s="34" t="s">
        <v>69</v>
      </c>
      <c r="M94" s="34" t="s">
        <v>97</v>
      </c>
      <c r="N94" s="34" t="s">
        <v>156</v>
      </c>
      <c r="O94" s="34" t="s">
        <v>157</v>
      </c>
      <c r="P94" s="34" t="s">
        <v>158</v>
      </c>
      <c r="S94" s="40" t="s">
        <v>118</v>
      </c>
      <c r="U94" s="34" t="s">
        <v>101</v>
      </c>
    </row>
    <row hidden="1" r="95" ht="55.0">
      <c r="A95" s="36">
        <v>46079</v>
      </c>
      <c r="B95" s="34" t="s">
        <v>34</v>
      </c>
      <c r="C95" s="34" t="s">
        <v>108</v>
      </c>
      <c r="D95" s="37" t="s">
        <v>1190</v>
      </c>
      <c r="E95" s="34" t="s">
        <v>203</v>
      </c>
      <c r="F95" s="38" t="s">
        <v>1191</v>
      </c>
      <c r="G95" s="34" t="s">
        <v>1192</v>
      </c>
      <c r="H95" s="34" t="s">
        <v>163</v>
      </c>
      <c r="K95" s="34" t="s">
        <v>95</v>
      </c>
      <c r="L95" s="38" t="s">
        <v>1193</v>
      </c>
      <c r="M95" s="34" t="s">
        <v>97</v>
      </c>
      <c r="N95" s="34" t="s">
        <v>71</v>
      </c>
      <c r="O95" s="34" t="s">
        <v>207</v>
      </c>
      <c r="P95" s="34" t="s">
        <v>10</v>
      </c>
      <c r="Q95" s="34">
        <v>15.0</v>
      </c>
      <c r="S95" s="40" t="s">
        <v>134</v>
      </c>
      <c r="U95" s="38" t="s">
        <v>1194</v>
      </c>
      <c r="V95" s="34" t="s">
        <v>1195</v>
      </c>
    </row>
    <row hidden="1" r="96" ht="68.0">
      <c r="A96" s="36">
        <v>46079</v>
      </c>
      <c r="B96" s="34" t="s">
        <v>34</v>
      </c>
      <c r="C96" s="34" t="s">
        <v>108</v>
      </c>
      <c r="D96" s="37" t="s">
        <v>1196</v>
      </c>
      <c r="E96" s="34" t="s">
        <v>1197</v>
      </c>
      <c r="F96" s="38" t="s">
        <v>1198</v>
      </c>
      <c r="G96" s="34" t="s">
        <v>1199</v>
      </c>
      <c r="H96" s="34" t="s">
        <v>163</v>
      </c>
      <c r="K96" s="34" t="s">
        <v>95</v>
      </c>
      <c r="L96" s="38" t="s">
        <v>1200</v>
      </c>
      <c r="M96" s="34" t="s">
        <v>83</v>
      </c>
      <c r="N96" s="34" t="s">
        <v>71</v>
      </c>
      <c r="O96" s="34" t="s">
        <v>133</v>
      </c>
      <c r="P96" s="34" t="s">
        <v>10</v>
      </c>
      <c r="S96" s="40" t="s">
        <v>127</v>
      </c>
      <c r="U96" s="34" t="s">
        <v>1201</v>
      </c>
    </row>
    <row r="97" ht="55.0">
      <c r="A97" s="36">
        <v>46080</v>
      </c>
      <c r="B97" s="34" t="s">
        <v>35</v>
      </c>
      <c r="C97" s="34" t="s">
        <v>88</v>
      </c>
      <c r="D97" s="37" t="s">
        <v>1202</v>
      </c>
      <c r="E97" s="34" t="s">
        <v>976</v>
      </c>
      <c r="F97" s="38" t="s">
        <v>1203</v>
      </c>
      <c r="G97" s="34" t="s">
        <v>1204</v>
      </c>
      <c r="H97" s="34" t="s">
        <v>837</v>
      </c>
      <c r="I97" s="34" t="s">
        <v>846</v>
      </c>
      <c r="J97" s="34" t="s">
        <v>839</v>
      </c>
      <c r="K97" s="34" t="s">
        <v>115</v>
      </c>
      <c r="L97" s="34" t="s">
        <v>681</v>
      </c>
      <c r="M97" s="34" t="s">
        <v>97</v>
      </c>
      <c r="N97" s="34" t="s">
        <v>71</v>
      </c>
      <c r="O97" s="34" t="s">
        <v>84</v>
      </c>
      <c r="P97" s="34" t="s">
        <v>9</v>
      </c>
      <c r="Q97" s="34">
        <v>3.0</v>
      </c>
      <c r="R97" s="39">
        <v>108.0</v>
      </c>
      <c r="S97" s="40" t="s">
        <v>134</v>
      </c>
      <c r="T97" s="34" t="s">
        <v>1205</v>
      </c>
      <c r="U97" s="38" t="s">
        <v>1206</v>
      </c>
    </row>
    <row hidden="1" r="98" ht="27.0">
      <c r="A98" s="36">
        <v>46080</v>
      </c>
      <c r="B98" s="34" t="s">
        <v>34</v>
      </c>
      <c r="C98" s="34" t="s">
        <v>76</v>
      </c>
      <c r="D98" s="37" t="s">
        <v>1207</v>
      </c>
      <c r="E98" s="34" t="s">
        <v>1208</v>
      </c>
      <c r="F98" s="38" t="s">
        <v>1209</v>
      </c>
      <c r="G98" s="34" t="s">
        <v>1210</v>
      </c>
      <c r="H98" s="34" t="s">
        <v>163</v>
      </c>
      <c r="I98" s="34" t="s">
        <v>337</v>
      </c>
      <c r="J98" s="34" t="s">
        <v>1211</v>
      </c>
      <c r="K98" s="34" t="s">
        <v>95</v>
      </c>
      <c r="M98" s="34" t="s">
        <v>117</v>
      </c>
      <c r="N98" s="34" t="s">
        <v>309</v>
      </c>
      <c r="O98" s="34" t="s">
        <v>84</v>
      </c>
      <c r="P98" s="34" t="s">
        <v>10</v>
      </c>
      <c r="Q98" s="34">
        <v>3.0</v>
      </c>
      <c r="S98" s="40" t="s">
        <v>134</v>
      </c>
      <c r="U98" s="38" t="s">
        <v>1212</v>
      </c>
    </row>
    <row hidden="1" r="99" ht="41.0">
      <c r="A99" s="36">
        <v>46080</v>
      </c>
      <c r="B99" s="34" t="s">
        <v>34</v>
      </c>
      <c r="C99" s="34" t="s">
        <v>63</v>
      </c>
      <c r="D99" s="37" t="s">
        <v>1213</v>
      </c>
      <c r="E99" s="34" t="s">
        <v>1214</v>
      </c>
      <c r="F99" s="38" t="s">
        <v>1215</v>
      </c>
      <c r="G99" s="34" t="s">
        <v>1216</v>
      </c>
      <c r="H99" s="34" t="s">
        <v>1217</v>
      </c>
      <c r="J99" s="34" t="s">
        <v>1218</v>
      </c>
      <c r="K99" s="34" t="s">
        <v>95</v>
      </c>
      <c r="M99" s="34" t="s">
        <v>97</v>
      </c>
      <c r="N99" s="34" t="s">
        <v>71</v>
      </c>
      <c r="O99" s="34" t="s">
        <v>133</v>
      </c>
      <c r="P99" s="34" t="s">
        <v>10</v>
      </c>
      <c r="Q99" s="34">
        <v>150.0</v>
      </c>
      <c r="S99" s="40" t="s">
        <v>134</v>
      </c>
      <c r="V99" s="34" t="s">
        <v>1219</v>
      </c>
      <c r="W99" s="34" t="s">
        <v>1182</v>
      </c>
    </row>
    <row hidden="1" r="100">
      <c r="A100" s="36"/>
      <c r="B100" s="34"/>
      <c r="C100" s="34"/>
      <c r="D100" s="37"/>
      <c r="K100" s="34"/>
      <c r="M100" s="34"/>
      <c r="N100" s="34"/>
      <c r="O100" s="34"/>
      <c r="P100" s="34"/>
      <c r="S100" s="40"/>
    </row>
    <row hidden="1" r="101">
      <c r="A101" s="36"/>
      <c r="B101" s="34"/>
      <c r="C101" s="34"/>
      <c r="D101" s="37"/>
      <c r="K101" s="34"/>
      <c r="M101" s="34"/>
      <c r="N101" s="34"/>
      <c r="O101" s="34"/>
      <c r="P101" s="34"/>
      <c r="S101" s="40"/>
    </row>
    <row hidden="1" r="102">
      <c r="A102" s="36"/>
      <c r="B102" s="34"/>
      <c r="C102" s="34"/>
      <c r="D102" s="37"/>
      <c r="K102" s="34"/>
      <c r="M102" s="34"/>
      <c r="N102" s="34"/>
      <c r="O102" s="34"/>
      <c r="P102" s="34"/>
      <c r="S102" s="40"/>
    </row>
    <row hidden="1" r="103">
      <c r="A103" s="36"/>
      <c r="B103" s="34"/>
      <c r="C103" s="34"/>
      <c r="D103" s="37"/>
      <c r="K103" s="34"/>
      <c r="M103" s="34"/>
      <c r="N103" s="34"/>
      <c r="O103" s="34"/>
      <c r="P103" s="34"/>
      <c r="S103" s="40"/>
    </row>
    <row hidden="1" r="104">
      <c r="A104" s="36"/>
      <c r="B104" s="34"/>
      <c r="C104" s="34"/>
      <c r="D104" s="37"/>
      <c r="K104" s="34"/>
      <c r="M104" s="34"/>
      <c r="N104" s="34"/>
      <c r="O104" s="34"/>
      <c r="P104" s="34"/>
      <c r="S104" s="40"/>
    </row>
    <row hidden="1" r="105">
      <c r="A105" s="36"/>
      <c r="B105" s="34"/>
      <c r="C105" s="34"/>
      <c r="D105" s="37"/>
      <c r="G105" s="42"/>
      <c r="K105" s="34"/>
      <c r="M105" s="34"/>
      <c r="N105" s="34"/>
      <c r="O105" s="34"/>
      <c r="P105" s="34"/>
      <c r="S105" s="40"/>
    </row>
    <row hidden="1" r="106">
      <c r="A106" s="36"/>
      <c r="B106" s="34"/>
      <c r="C106" s="34"/>
      <c r="D106" s="37"/>
      <c r="G106" s="42"/>
      <c r="K106" s="34"/>
      <c r="M106" s="34"/>
      <c r="N106" s="34"/>
      <c r="O106" s="34"/>
      <c r="P106" s="34"/>
      <c r="Q106" s="54"/>
      <c r="S106" s="40"/>
    </row>
    <row hidden="1" r="107">
      <c r="A107" s="36"/>
      <c r="B107" s="34"/>
      <c r="C107" s="34"/>
      <c r="D107" s="37"/>
      <c r="G107" s="42"/>
      <c r="K107" s="34"/>
      <c r="M107" s="34"/>
      <c r="N107" s="34"/>
      <c r="O107" s="34"/>
      <c r="P107" s="34"/>
      <c r="Q107" s="54"/>
      <c r="S107" s="40"/>
    </row>
    <row hidden="1" r="108">
      <c r="A108" s="36"/>
      <c r="B108" s="34"/>
      <c r="C108" s="34"/>
      <c r="D108" s="37"/>
      <c r="K108" s="34"/>
      <c r="M108" s="34"/>
      <c r="N108" s="34"/>
      <c r="O108" s="34"/>
      <c r="P108" s="34"/>
      <c r="Q108" s="43"/>
      <c r="S108" s="40"/>
    </row>
    <row hidden="1" r="109">
      <c r="A109" s="36"/>
      <c r="B109" s="34"/>
      <c r="C109" s="34"/>
      <c r="D109" s="37"/>
      <c r="G109" s="42"/>
      <c r="K109" s="34"/>
      <c r="M109" s="34"/>
      <c r="N109" s="34"/>
      <c r="O109" s="34"/>
      <c r="P109" s="34"/>
      <c r="S109" s="40"/>
    </row>
    <row hidden="1" r="110">
      <c r="A110" s="36"/>
      <c r="B110" s="34"/>
      <c r="C110" s="34"/>
      <c r="D110" s="37"/>
      <c r="K110" s="34"/>
      <c r="M110" s="34"/>
      <c r="N110" s="34"/>
      <c r="O110" s="34"/>
      <c r="P110" s="34"/>
      <c r="S110" s="40"/>
    </row>
    <row hidden="1" r="111">
      <c r="A111" s="36"/>
      <c r="B111" s="34"/>
      <c r="C111" s="34"/>
      <c r="D111" s="37"/>
      <c r="K111" s="34"/>
      <c r="M111" s="34"/>
      <c r="N111" s="34"/>
      <c r="O111" s="34"/>
      <c r="P111" s="34"/>
      <c r="S111" s="40"/>
    </row>
    <row hidden="1" r="112" customFormat="1" s="34">
      <c r="A112" s="36"/>
      <c r="B112" s="34"/>
      <c r="C112" s="34"/>
      <c r="K112" s="34"/>
      <c r="M112" s="34"/>
      <c r="N112" s="34"/>
      <c r="O112" s="34"/>
      <c r="P112" s="34"/>
      <c r="S112" s="40"/>
    </row>
    <row hidden="1" r="113">
      <c r="A113" s="36"/>
      <c r="B113" s="34"/>
      <c r="C113" s="34"/>
      <c r="D113" s="37"/>
      <c r="K113" s="34"/>
      <c r="M113" s="34"/>
      <c r="N113" s="34"/>
      <c r="O113" s="34"/>
      <c r="P113" s="34"/>
      <c r="S113" s="40"/>
    </row>
    <row hidden="1" r="114" customFormat="1" s="34">
      <c r="A114" s="36"/>
      <c r="B114" s="34"/>
      <c r="C114" s="34"/>
      <c r="D114" s="37"/>
      <c r="K114" s="34"/>
      <c r="M114" s="34"/>
      <c r="N114" s="34"/>
      <c r="O114" s="34"/>
      <c r="P114" s="34"/>
      <c r="S114" s="40"/>
    </row>
    <row hidden="1" r="115" customFormat="1" s="34">
      <c r="A115" s="36"/>
      <c r="B115" s="34"/>
      <c r="C115" s="34"/>
      <c r="D115" s="37"/>
      <c r="K115" s="34"/>
      <c r="M115" s="34"/>
      <c r="N115" s="34"/>
      <c r="O115" s="34"/>
      <c r="P115" s="34"/>
      <c r="S115" s="40"/>
    </row>
    <row hidden="1" r="116">
      <c r="A116" s="36"/>
      <c r="B116" s="34"/>
      <c r="C116" s="34"/>
      <c r="D116" s="37"/>
      <c r="K116" s="34"/>
      <c r="M116" s="34"/>
      <c r="N116" s="34"/>
      <c r="O116" s="34"/>
      <c r="P116" s="34"/>
      <c r="S116" s="40"/>
    </row>
    <row hidden="1" r="117">
      <c r="A117" s="36"/>
      <c r="B117" s="34"/>
      <c r="C117" s="34"/>
      <c r="D117" s="37"/>
      <c r="K117" s="34"/>
      <c r="M117" s="34"/>
      <c r="N117" s="34"/>
      <c r="O117" s="34"/>
      <c r="P117" s="34"/>
      <c r="Q117" s="43"/>
      <c r="S117" s="40"/>
    </row>
    <row hidden="1" r="118">
      <c r="A118" s="36"/>
      <c r="B118" s="34"/>
      <c r="C118" s="34"/>
      <c r="D118" s="37"/>
      <c r="K118" s="34"/>
      <c r="M118" s="34"/>
      <c r="N118" s="34"/>
      <c r="O118" s="34"/>
      <c r="P118" s="34"/>
      <c r="S118" s="40"/>
    </row>
    <row hidden="1" r="119">
      <c r="A119" s="36"/>
      <c r="B119" s="34"/>
      <c r="C119" s="34"/>
      <c r="D119" s="37"/>
      <c r="K119" s="34"/>
      <c r="M119" s="34"/>
      <c r="N119" s="34"/>
      <c r="O119" s="34"/>
      <c r="P119" s="34"/>
      <c r="S119" s="40"/>
    </row>
    <row hidden="1" r="120">
      <c r="A120" s="36"/>
      <c r="B120" s="34"/>
      <c r="C120" s="34"/>
      <c r="D120" s="37"/>
      <c r="K120" s="34"/>
      <c r="M120" s="34"/>
      <c r="N120" s="34"/>
      <c r="O120" s="34"/>
      <c r="P120" s="34"/>
      <c r="S120" s="40"/>
    </row>
    <row hidden="1" r="121">
      <c r="A121" s="36"/>
      <c r="B121" s="34"/>
      <c r="C121" s="34"/>
      <c r="D121" s="59"/>
      <c r="K121" s="34"/>
      <c r="M121" s="34"/>
      <c r="N121" s="34"/>
      <c r="O121" s="34"/>
      <c r="P121" s="34"/>
      <c r="S121" s="40"/>
    </row>
    <row hidden="1" r="122">
      <c r="A122" s="36"/>
      <c r="B122" s="34"/>
      <c r="C122" s="34"/>
      <c r="D122" s="37"/>
      <c r="K122" s="34"/>
      <c r="M122" s="34"/>
      <c r="N122" s="34"/>
      <c r="O122" s="34"/>
      <c r="P122" s="34"/>
      <c r="S122" s="40"/>
    </row>
    <row hidden="1" r="123">
      <c r="A123" s="36"/>
      <c r="B123" s="34"/>
      <c r="C123" s="34"/>
      <c r="D123" s="37"/>
      <c r="K123" s="34"/>
      <c r="M123" s="34"/>
      <c r="N123" s="34"/>
      <c r="O123" s="34"/>
      <c r="P123" s="34"/>
      <c r="S123" s="40"/>
    </row>
    <row hidden="1" r="124">
      <c r="A124" s="36"/>
      <c r="B124" s="34"/>
      <c r="C124" s="34"/>
      <c r="D124" s="37"/>
      <c r="K124" s="34"/>
      <c r="M124" s="34"/>
      <c r="N124" s="34"/>
      <c r="O124" s="34"/>
      <c r="P124" s="34"/>
      <c r="S124" s="40"/>
    </row>
    <row hidden="1" r="125">
      <c r="A125" s="36"/>
      <c r="B125" s="34"/>
      <c r="C125" s="34"/>
      <c r="D125" s="37"/>
      <c r="K125" s="34"/>
      <c r="M125" s="34"/>
      <c r="N125" s="34"/>
      <c r="O125" s="34"/>
      <c r="P125" s="34"/>
      <c r="S125" s="40"/>
    </row>
    <row hidden="1" r="126">
      <c r="A126" s="36"/>
      <c r="B126" s="34"/>
      <c r="C126" s="34"/>
      <c r="D126" s="37"/>
      <c r="K126" s="34"/>
      <c r="M126" s="34"/>
      <c r="N126" s="34"/>
      <c r="O126" s="34"/>
      <c r="P126" s="34"/>
      <c r="S126" s="40"/>
    </row>
    <row hidden="1" r="127">
      <c r="A127" s="36"/>
      <c r="B127" s="34"/>
      <c r="C127" s="34"/>
      <c r="D127" s="37"/>
      <c r="K127" s="34"/>
      <c r="M127" s="34"/>
      <c r="N127" s="34"/>
      <c r="O127" s="34"/>
      <c r="P127" s="34"/>
      <c r="S127" s="40"/>
    </row>
    <row hidden="1" r="128">
      <c r="A128" s="36"/>
      <c r="B128" s="34"/>
      <c r="C128" s="34"/>
      <c r="D128" s="37"/>
      <c r="K128" s="34"/>
      <c r="M128" s="34"/>
      <c r="N128" s="34"/>
      <c r="O128" s="34"/>
      <c r="P128" s="34"/>
      <c r="S128" s="40"/>
    </row>
    <row hidden="1" r="129">
      <c r="A129" s="36"/>
      <c r="B129" s="34"/>
      <c r="C129" s="34"/>
      <c r="D129" s="37"/>
      <c r="K129" s="34"/>
      <c r="M129" s="34"/>
      <c r="N129" s="34"/>
      <c r="O129" s="34"/>
      <c r="P129" s="34"/>
      <c r="S129" s="40"/>
    </row>
    <row hidden="1" r="130">
      <c r="A130" s="36"/>
      <c r="B130" s="34"/>
      <c r="C130" s="34"/>
      <c r="D130" s="37"/>
      <c r="K130" s="34"/>
      <c r="M130" s="34"/>
      <c r="N130" s="34"/>
      <c r="O130" s="34"/>
      <c r="P130" s="34"/>
      <c r="S130" s="40"/>
    </row>
    <row hidden="1" r="131">
      <c r="A131" s="36"/>
      <c r="B131" s="34"/>
      <c r="C131" s="34"/>
      <c r="D131" s="37"/>
      <c r="K131" s="34"/>
      <c r="M131" s="34"/>
      <c r="N131" s="34"/>
      <c r="O131" s="34"/>
      <c r="P131" s="34"/>
      <c r="S131" s="40"/>
    </row>
    <row hidden="1" r="132">
      <c r="A132" s="36"/>
      <c r="B132" s="34"/>
      <c r="C132" s="34"/>
      <c r="D132" s="37"/>
      <c r="K132" s="34"/>
      <c r="M132" s="34"/>
      <c r="N132" s="34"/>
      <c r="O132" s="34"/>
      <c r="P132" s="34"/>
      <c r="S132" s="40"/>
    </row>
    <row hidden="1" r="133">
      <c r="A133" s="36"/>
      <c r="B133" s="34"/>
      <c r="C133" s="34"/>
      <c r="D133" s="37"/>
      <c r="K133" s="34"/>
      <c r="M133" s="34"/>
      <c r="N133" s="34"/>
      <c r="O133" s="34"/>
      <c r="P133" s="34"/>
      <c r="S133" s="40"/>
    </row>
    <row hidden="1" r="134">
      <c r="A134" s="36"/>
      <c r="B134" s="34"/>
      <c r="C134" s="34"/>
      <c r="D134" s="37"/>
      <c r="K134" s="34"/>
      <c r="M134" s="34"/>
      <c r="N134" s="34"/>
      <c r="O134" s="34"/>
      <c r="P134" s="34"/>
      <c r="S134" s="40"/>
    </row>
    <row hidden="1" r="135">
      <c r="A135" s="36"/>
      <c r="B135" s="34"/>
      <c r="C135" s="34"/>
      <c r="D135" s="37"/>
      <c r="K135" s="34"/>
      <c r="M135" s="34"/>
      <c r="N135" s="34"/>
      <c r="O135" s="34"/>
      <c r="P135" s="34"/>
      <c r="S135" s="40"/>
    </row>
    <row hidden="1" r="136">
      <c r="A136" s="36"/>
      <c r="B136" s="34"/>
      <c r="C136" s="34"/>
      <c r="D136" s="37"/>
      <c r="K136" s="34"/>
      <c r="M136" s="34"/>
      <c r="N136" s="34"/>
      <c r="O136" s="34"/>
      <c r="P136" s="34"/>
      <c r="S136" s="40"/>
    </row>
    <row hidden="1" r="137">
      <c r="A137" s="36"/>
      <c r="B137" s="34"/>
      <c r="C137" s="34"/>
      <c r="D137" s="37"/>
      <c r="K137" s="34"/>
      <c r="M137" s="34"/>
      <c r="N137" s="34"/>
      <c r="O137" s="34"/>
      <c r="P137" s="34"/>
      <c r="S137" s="40"/>
    </row>
    <row hidden="1" r="138">
      <c r="A138" s="36"/>
      <c r="B138" s="34"/>
      <c r="C138" s="34"/>
      <c r="D138" s="37"/>
      <c r="K138" s="34"/>
      <c r="M138" s="34"/>
      <c r="N138" s="34"/>
      <c r="O138" s="34"/>
      <c r="P138" s="34"/>
      <c r="S138" s="40"/>
    </row>
    <row hidden="1" r="139">
      <c r="A139" s="36"/>
      <c r="B139" s="34"/>
      <c r="C139" s="34"/>
      <c r="D139" s="37"/>
      <c r="K139" s="34"/>
      <c r="M139" s="34"/>
      <c r="N139" s="34"/>
      <c r="O139" s="34"/>
      <c r="P139" s="34"/>
      <c r="S139" s="40"/>
    </row>
    <row hidden="1" r="140">
      <c r="A140" s="36"/>
      <c r="B140" s="34"/>
      <c r="C140" s="34"/>
      <c r="D140" s="37"/>
      <c r="K140" s="34"/>
      <c r="M140" s="34"/>
      <c r="N140" s="34"/>
      <c r="O140" s="34"/>
      <c r="P140" s="34"/>
      <c r="S140" s="40"/>
    </row>
    <row hidden="1" r="141">
      <c r="A141" s="36"/>
      <c r="B141" s="34"/>
      <c r="C141" s="34"/>
      <c r="D141" s="37"/>
      <c r="K141" s="34"/>
      <c r="M141" s="34"/>
      <c r="N141" s="34"/>
      <c r="O141" s="34"/>
      <c r="P141" s="34"/>
      <c r="S141" s="40"/>
    </row>
    <row hidden="1" r="142">
      <c r="A142" s="36"/>
      <c r="B142" s="34"/>
      <c r="C142" s="34"/>
      <c r="D142" s="37"/>
      <c r="K142" s="34"/>
      <c r="M142" s="34"/>
      <c r="N142" s="34"/>
      <c r="O142" s="34"/>
      <c r="P142" s="34"/>
      <c r="S142" s="40"/>
    </row>
    <row hidden="1" r="143">
      <c r="A143" s="36"/>
      <c r="B143" s="34"/>
      <c r="C143" s="34"/>
      <c r="D143" s="37"/>
      <c r="K143" s="34"/>
      <c r="M143" s="34"/>
      <c r="N143" s="34"/>
      <c r="O143" s="34"/>
      <c r="P143" s="34"/>
      <c r="S143" s="40"/>
    </row>
    <row hidden="1" r="144">
      <c r="A144" s="36"/>
      <c r="B144" s="34"/>
      <c r="C144" s="34"/>
      <c r="D144" s="37"/>
      <c r="K144" s="34"/>
      <c r="M144" s="34"/>
      <c r="N144" s="34"/>
      <c r="O144" s="34"/>
      <c r="P144" s="34"/>
      <c r="S144" s="40"/>
    </row>
    <row hidden="1" r="145">
      <c r="A145" s="36"/>
      <c r="B145" s="34"/>
      <c r="C145" s="34"/>
      <c r="D145" s="37"/>
      <c r="K145" s="34"/>
      <c r="M145" s="34"/>
      <c r="N145" s="34"/>
      <c r="O145" s="34"/>
      <c r="P145" s="34"/>
      <c r="S145" s="40"/>
    </row>
    <row hidden="1" r="146">
      <c r="A146" s="36"/>
      <c r="B146" s="34"/>
      <c r="C146" s="34"/>
      <c r="D146" s="37"/>
      <c r="K146" s="34"/>
      <c r="M146" s="34"/>
      <c r="N146" s="34"/>
      <c r="O146" s="34"/>
      <c r="P146" s="34"/>
      <c r="S146" s="40"/>
    </row>
    <row hidden="1" r="147">
      <c r="A147" s="36"/>
      <c r="B147" s="34"/>
      <c r="C147" s="34"/>
      <c r="D147" s="37"/>
      <c r="K147" s="34"/>
      <c r="M147" s="34"/>
      <c r="N147" s="34"/>
      <c r="O147" s="34"/>
      <c r="P147" s="34"/>
      <c r="S147" s="40"/>
    </row>
    <row hidden="1" r="148">
      <c r="A148" s="36"/>
      <c r="B148" s="34"/>
      <c r="C148" s="34"/>
      <c r="D148" s="37"/>
      <c r="K148" s="34"/>
      <c r="M148" s="34"/>
      <c r="N148" s="34"/>
      <c r="O148" s="34"/>
      <c r="P148" s="34"/>
      <c r="S148" s="40"/>
    </row>
    <row hidden="1" r="149">
      <c r="A149" s="36"/>
      <c r="B149" s="34"/>
      <c r="C149" s="34"/>
      <c r="D149" s="37"/>
      <c r="K149" s="34"/>
      <c r="M149" s="34"/>
      <c r="N149" s="34"/>
      <c r="O149" s="34"/>
      <c r="P149" s="34"/>
      <c r="S149" s="40"/>
    </row>
    <row hidden="1" r="150">
      <c r="A150" s="36"/>
      <c r="B150" s="34"/>
      <c r="C150" s="34"/>
      <c r="D150" s="37"/>
      <c r="K150" s="34"/>
      <c r="M150" s="34"/>
      <c r="N150" s="34"/>
      <c r="O150" s="34"/>
      <c r="P150" s="34"/>
      <c r="S150" s="40"/>
    </row>
    <row hidden="1" r="151">
      <c r="A151" s="36"/>
      <c r="B151" s="34"/>
      <c r="C151" s="34"/>
      <c r="D151" s="37"/>
      <c r="K151" s="34"/>
      <c r="M151" s="34"/>
      <c r="N151" s="34"/>
      <c r="O151" s="34"/>
      <c r="P151" s="34"/>
      <c r="S151" s="40"/>
    </row>
    <row hidden="1" r="152">
      <c r="A152" s="36"/>
      <c r="B152" s="34"/>
      <c r="C152" s="34"/>
      <c r="D152" s="37"/>
      <c r="K152" s="34"/>
      <c r="M152" s="34"/>
      <c r="N152" s="34"/>
      <c r="O152" s="34"/>
      <c r="P152" s="34"/>
      <c r="S152" s="40"/>
    </row>
    <row hidden="1" r="153">
      <c r="A153" s="36"/>
      <c r="B153" s="34"/>
      <c r="C153" s="34"/>
      <c r="D153" s="37"/>
      <c r="K153" s="34"/>
      <c r="M153" s="34"/>
      <c r="N153" s="34"/>
      <c r="O153" s="34"/>
      <c r="P153" s="34"/>
      <c r="S153" s="40"/>
    </row>
    <row hidden="1" r="154">
      <c r="A154" s="36"/>
      <c r="B154" s="34"/>
      <c r="C154" s="34"/>
      <c r="D154" s="37"/>
      <c r="K154" s="34"/>
      <c r="M154" s="34"/>
      <c r="N154" s="34"/>
      <c r="O154" s="34"/>
      <c r="P154" s="34"/>
      <c r="S154" s="40"/>
    </row>
    <row hidden="1" r="155">
      <c r="A155" s="36"/>
      <c r="B155" s="34"/>
      <c r="C155" s="34"/>
      <c r="D155" s="37"/>
      <c r="K155" s="34"/>
      <c r="M155" s="34"/>
      <c r="N155" s="34"/>
      <c r="O155" s="34"/>
      <c r="P155" s="34"/>
      <c r="S155" s="40"/>
    </row>
    <row hidden="1" r="156">
      <c r="A156" s="36"/>
      <c r="B156" s="34"/>
      <c r="C156" s="34"/>
      <c r="D156" s="37"/>
      <c r="K156" s="34"/>
      <c r="M156" s="34"/>
      <c r="N156" s="34"/>
      <c r="O156" s="34"/>
      <c r="P156" s="34"/>
      <c r="S156" s="40"/>
    </row>
    <row hidden="1" r="157">
      <c r="A157" s="36"/>
      <c r="B157" s="34"/>
      <c r="C157" s="34"/>
      <c r="D157" s="37"/>
      <c r="K157" s="34"/>
      <c r="M157" s="34"/>
      <c r="N157" s="34"/>
      <c r="O157" s="34"/>
      <c r="P157" s="34"/>
      <c r="S157" s="40"/>
    </row>
    <row hidden="1" r="158">
      <c r="A158" s="36"/>
      <c r="B158" s="34"/>
      <c r="C158" s="34"/>
      <c r="D158" s="37"/>
      <c r="K158" s="34"/>
      <c r="M158" s="34"/>
      <c r="N158" s="34"/>
      <c r="O158" s="34"/>
      <c r="P158" s="34"/>
      <c r="S158" s="40"/>
    </row>
    <row hidden="1" r="159">
      <c r="A159" s="36"/>
      <c r="B159" s="34"/>
      <c r="C159" s="34"/>
      <c r="D159" s="37"/>
      <c r="K159" s="34"/>
      <c r="M159" s="34"/>
      <c r="N159" s="34"/>
      <c r="O159" s="34"/>
      <c r="P159" s="34"/>
      <c r="S159" s="40"/>
    </row>
    <row hidden="1" r="160">
      <c r="A160" s="36"/>
      <c r="B160" s="34"/>
      <c r="C160" s="34"/>
      <c r="D160" s="37"/>
      <c r="K160" s="34"/>
      <c r="M160" s="34"/>
      <c r="N160" s="34"/>
      <c r="O160" s="34"/>
      <c r="P160" s="34"/>
      <c r="S160" s="40"/>
    </row>
    <row hidden="1" r="161">
      <c r="A161" s="36"/>
      <c r="B161" s="34"/>
      <c r="C161" s="34"/>
      <c r="D161" s="37"/>
      <c r="K161" s="34"/>
      <c r="M161" s="34"/>
      <c r="N161" s="34"/>
      <c r="O161" s="34"/>
      <c r="P161" s="34"/>
      <c r="S161" s="40"/>
    </row>
    <row hidden="1" r="162">
      <c r="A162" s="36"/>
      <c r="B162" s="34"/>
      <c r="C162" s="34"/>
      <c r="D162" s="37"/>
      <c r="K162" s="34"/>
      <c r="M162" s="34"/>
      <c r="N162" s="34"/>
      <c r="O162" s="34"/>
      <c r="P162" s="34"/>
      <c r="S162" s="40"/>
    </row>
    <row hidden="1" r="163">
      <c r="A163" s="36"/>
      <c r="B163" s="34"/>
      <c r="C163" s="34"/>
      <c r="D163" s="37"/>
      <c r="K163" s="34"/>
      <c r="M163" s="34"/>
      <c r="N163" s="34"/>
      <c r="O163" s="34"/>
      <c r="P163" s="34"/>
      <c r="S163" s="40"/>
    </row>
    <row hidden="1" r="164">
      <c r="A164" s="36"/>
      <c r="B164" s="34"/>
      <c r="C164" s="34"/>
      <c r="D164" s="37"/>
      <c r="K164" s="34"/>
      <c r="M164" s="34"/>
      <c r="N164" s="34"/>
      <c r="O164" s="34"/>
      <c r="P164" s="34"/>
      <c r="S164" s="40"/>
    </row>
    <row hidden="1" r="165">
      <c r="A165" s="36"/>
      <c r="B165" s="34"/>
      <c r="C165" s="34"/>
      <c r="D165" s="37"/>
      <c r="K165" s="34"/>
      <c r="M165" s="34"/>
      <c r="N165" s="34"/>
      <c r="O165" s="34"/>
      <c r="P165" s="34"/>
      <c r="S165" s="40"/>
    </row>
    <row hidden="1" r="166">
      <c r="A166" s="36"/>
      <c r="B166" s="34"/>
      <c r="C166" s="34"/>
      <c r="D166" s="37"/>
      <c r="K166" s="34"/>
      <c r="M166" s="34"/>
      <c r="N166" s="34"/>
      <c r="O166" s="34"/>
      <c r="P166" s="34"/>
      <c r="S166" s="40"/>
    </row>
    <row hidden="1" r="167">
      <c r="A167" s="36"/>
      <c r="B167" s="34"/>
      <c r="C167" s="34"/>
      <c r="D167" s="37"/>
      <c r="K167" s="34"/>
      <c r="M167" s="34"/>
      <c r="N167" s="34"/>
      <c r="O167" s="34"/>
      <c r="P167" s="34"/>
      <c r="S167" s="40"/>
    </row>
    <row hidden="1" r="168">
      <c r="A168" s="36"/>
      <c r="B168" s="34"/>
      <c r="C168" s="34"/>
      <c r="D168" s="37"/>
      <c r="K168" s="34"/>
      <c r="M168" s="34"/>
      <c r="N168" s="34"/>
      <c r="O168" s="34"/>
      <c r="P168" s="34"/>
      <c r="S168" s="40"/>
    </row>
    <row hidden="1" r="169">
      <c r="A169" s="36"/>
      <c r="B169" s="34"/>
      <c r="C169" s="34"/>
      <c r="D169" s="37"/>
      <c r="K169" s="34"/>
      <c r="M169" s="34"/>
      <c r="N169" s="34"/>
      <c r="O169" s="34"/>
      <c r="P169" s="34"/>
      <c r="S169" s="40"/>
    </row>
    <row hidden="1" r="170">
      <c r="A170" s="36"/>
      <c r="B170" s="34"/>
      <c r="C170" s="34"/>
      <c r="D170" s="37"/>
      <c r="K170" s="34"/>
      <c r="M170" s="34"/>
      <c r="N170" s="34"/>
      <c r="O170" s="34"/>
      <c r="P170" s="34"/>
      <c r="S170" s="40"/>
    </row>
    <row hidden="1" r="171">
      <c r="A171" s="36"/>
      <c r="B171" s="34"/>
      <c r="C171" s="34"/>
      <c r="D171" s="37"/>
      <c r="K171" s="34"/>
      <c r="M171" s="34"/>
      <c r="N171" s="34"/>
      <c r="O171" s="34"/>
      <c r="P171" s="34"/>
      <c r="S171" s="40"/>
    </row>
    <row hidden="1" r="172">
      <c r="A172" s="36"/>
      <c r="B172" s="34"/>
      <c r="C172" s="34"/>
      <c r="D172" s="37"/>
      <c r="K172" s="34"/>
      <c r="M172" s="34"/>
      <c r="N172" s="34"/>
      <c r="O172" s="34"/>
      <c r="P172" s="34"/>
      <c r="S172" s="40"/>
    </row>
    <row hidden="1" r="173">
      <c r="A173" s="36"/>
      <c r="B173" s="34"/>
      <c r="C173" s="34"/>
      <c r="D173" s="37"/>
      <c r="K173" s="34"/>
      <c r="M173" s="34"/>
      <c r="N173" s="34"/>
      <c r="O173" s="34"/>
      <c r="P173" s="34"/>
      <c r="S173" s="40"/>
    </row>
    <row hidden="1" r="174">
      <c r="A174" s="36"/>
      <c r="B174" s="34"/>
      <c r="C174" s="34"/>
      <c r="D174" s="37"/>
      <c r="K174" s="34"/>
      <c r="M174" s="34"/>
      <c r="N174" s="34"/>
      <c r="O174" s="34"/>
      <c r="P174" s="34"/>
      <c r="S174" s="40"/>
    </row>
    <row hidden="1" r="175">
      <c r="A175" s="36"/>
      <c r="B175" s="34"/>
      <c r="C175" s="34"/>
      <c r="D175" s="37"/>
      <c r="K175" s="34"/>
      <c r="M175" s="34"/>
      <c r="N175" s="34"/>
      <c r="O175" s="34"/>
      <c r="P175" s="34"/>
      <c r="S175" s="40"/>
    </row>
    <row hidden="1" r="176">
      <c r="A176" s="36"/>
      <c r="B176" s="34"/>
      <c r="C176" s="34"/>
      <c r="D176" s="37"/>
      <c r="K176" s="34"/>
      <c r="M176" s="34"/>
      <c r="N176" s="34"/>
      <c r="O176" s="34"/>
      <c r="P176" s="34"/>
      <c r="S176" s="40"/>
    </row>
    <row hidden="1" r="177">
      <c r="A177" s="36"/>
      <c r="B177" s="34"/>
      <c r="C177" s="34"/>
      <c r="D177" s="37"/>
      <c r="K177" s="34"/>
      <c r="M177" s="34"/>
      <c r="N177" s="34"/>
      <c r="O177" s="34"/>
      <c r="P177" s="34"/>
      <c r="S177" s="40"/>
    </row>
    <row hidden="1" r="178">
      <c r="A178" s="36"/>
      <c r="B178" s="34"/>
      <c r="C178" s="34"/>
      <c r="D178" s="37"/>
      <c r="K178" s="34"/>
      <c r="M178" s="34"/>
      <c r="N178" s="34"/>
      <c r="O178" s="34"/>
      <c r="P178" s="34"/>
      <c r="S178" s="40"/>
    </row>
    <row hidden="1" r="179">
      <c r="A179" s="36"/>
      <c r="B179" s="34"/>
      <c r="C179" s="34"/>
      <c r="D179" s="37"/>
      <c r="K179" s="34"/>
      <c r="M179" s="34"/>
      <c r="N179" s="34"/>
      <c r="O179" s="34"/>
      <c r="P179" s="34"/>
      <c r="S179" s="40"/>
    </row>
    <row hidden="1" r="180">
      <c r="A180" s="36"/>
      <c r="B180" s="34"/>
      <c r="C180" s="34"/>
      <c r="D180" s="37"/>
      <c r="K180" s="34"/>
      <c r="M180" s="34"/>
      <c r="N180" s="34"/>
      <c r="O180" s="34"/>
      <c r="P180" s="34"/>
      <c r="S180" s="40"/>
    </row>
    <row hidden="1" r="181">
      <c r="A181" s="36"/>
      <c r="B181" s="34"/>
      <c r="C181" s="34"/>
      <c r="D181" s="37"/>
      <c r="K181" s="34"/>
      <c r="M181" s="34"/>
      <c r="N181" s="34"/>
      <c r="O181" s="34"/>
      <c r="P181" s="34"/>
      <c r="S181" s="40"/>
    </row>
    <row hidden="1" r="182">
      <c r="A182" s="36"/>
      <c r="B182" s="34"/>
      <c r="C182" s="34"/>
      <c r="D182" s="37"/>
      <c r="K182" s="34"/>
      <c r="M182" s="34"/>
      <c r="N182" s="34"/>
      <c r="O182" s="34"/>
      <c r="P182" s="34"/>
      <c r="S182" s="40"/>
    </row>
    <row hidden="1" r="183">
      <c r="A183" s="36"/>
      <c r="B183" s="34"/>
      <c r="C183" s="34"/>
      <c r="D183" s="37"/>
      <c r="K183" s="34"/>
      <c r="M183" s="34"/>
      <c r="N183" s="34"/>
      <c r="O183" s="34"/>
      <c r="P183" s="34"/>
      <c r="S183" s="40"/>
    </row>
    <row hidden="1" r="184">
      <c r="A184" s="36"/>
      <c r="B184" s="34"/>
      <c r="C184" s="34"/>
      <c r="D184" s="37"/>
      <c r="K184" s="34"/>
      <c r="M184" s="34"/>
      <c r="N184" s="34"/>
      <c r="O184" s="34"/>
      <c r="P184" s="34"/>
      <c r="S184" s="40"/>
    </row>
    <row hidden="1" r="185">
      <c r="A185" s="36"/>
      <c r="B185" s="34"/>
      <c r="C185" s="34"/>
      <c r="D185" s="37"/>
      <c r="K185" s="34"/>
      <c r="M185" s="34"/>
      <c r="N185" s="34"/>
      <c r="O185" s="34"/>
      <c r="P185" s="34"/>
      <c r="S185" s="40"/>
    </row>
    <row r="186" customFormat="1" s="34"/>
    <row r="187" customFormat="1" s="34"/>
    <row r="188" customFormat="1" s="34"/>
    <row r="189" customFormat="1" s="34"/>
    <row r="190" customFormat="1" s="34"/>
    <row r="191" customFormat="1" s="34"/>
    <row r="192" customFormat="1" s="34"/>
    <row r="193" customFormat="1" s="34"/>
    <row r="194" customFormat="1" s="34"/>
    <row r="195" customFormat="1" s="34"/>
    <row r="196" customFormat="1" s="34"/>
    <row r="197" customFormat="1" s="34"/>
    <row r="198" customFormat="1" s="34"/>
    <row r="199" customFormat="1" s="34"/>
    <row r="200" customFormat="1" s="34"/>
    <row r="201" customFormat="1" s="34"/>
    <row r="202" customFormat="1" s="34"/>
    <row r="203" customFormat="1" s="34"/>
    <row r="204" customFormat="1" s="34"/>
    <row r="205" customFormat="1" s="34"/>
    <row r="206" customFormat="1" s="34"/>
    <row r="207" customFormat="1" s="34"/>
    <row r="208" customFormat="1" s="34"/>
    <row r="209" customFormat="1" s="34"/>
    <row r="210" customFormat="1" s="34"/>
    <row r="211" customFormat="1" s="34"/>
    <row r="212" customFormat="1" s="34"/>
    <row r="213" customFormat="1" s="34"/>
    <row r="214" customFormat="1" s="34"/>
    <row r="215" customFormat="1" s="34"/>
    <row r="216" customFormat="1" s="34"/>
    <row r="217" customFormat="1" s="34"/>
    <row r="218" customFormat="1" s="34"/>
    <row r="219" customFormat="1" s="34"/>
    <row r="220" customFormat="1" s="34"/>
    <row r="221" customFormat="1" s="34"/>
    <row r="222" customFormat="1" s="34"/>
    <row r="223" customFormat="1" s="34"/>
    <row r="224" customFormat="1" s="34"/>
    <row r="225" customFormat="1" s="34"/>
    <row r="226" customFormat="1" s="34"/>
    <row r="227" customFormat="1" s="34"/>
    <row r="228" customFormat="1" s="34"/>
    <row r="229" customFormat="1" s="34"/>
    <row r="230" customFormat="1" s="34"/>
    <row r="231" customFormat="1" s="34"/>
    <row r="232" customFormat="1" s="34"/>
    <row r="233" customFormat="1" s="34"/>
    <row r="234" customFormat="1" s="34"/>
    <row r="235" customFormat="1" s="34"/>
    <row r="236" customFormat="1" s="34"/>
    <row r="237" customFormat="1" s="34"/>
    <row r="238" customFormat="1" s="34"/>
    <row r="239" customFormat="1" s="34"/>
    <row r="240" customFormat="1" s="34"/>
    <row r="241" customFormat="1" s="34"/>
    <row r="242" customFormat="1" s="34"/>
    <row r="243" customFormat="1" s="34"/>
    <row r="244" customFormat="1" s="34"/>
    <row r="245" customFormat="1" s="34"/>
    <row r="246" customFormat="1" s="34"/>
    <row r="247" customFormat="1" s="34"/>
    <row r="248" customFormat="1" s="34"/>
    <row r="249" customFormat="1" s="34"/>
    <row r="250" customFormat="1" s="34"/>
    <row r="251" customFormat="1" s="34"/>
    <row r="252" customFormat="1" s="34"/>
    <row r="253" customFormat="1" s="34"/>
    <row r="254" customFormat="1" s="34"/>
    <row r="255" customFormat="1" s="34"/>
    <row r="256" customFormat="1" s="34"/>
    <row r="257" customFormat="1" s="34"/>
    <row r="258" customFormat="1" s="34"/>
    <row r="259" customFormat="1" s="34"/>
    <row r="260" customFormat="1" s="34"/>
    <row r="261" customFormat="1" s="34"/>
    <row r="262" customFormat="1" s="34"/>
    <row r="263" customFormat="1" s="34"/>
    <row r="264" customFormat="1" s="34"/>
    <row r="265" customFormat="1" s="34"/>
    <row r="266" customFormat="1" s="34"/>
    <row r="267" customFormat="1" s="34"/>
    <row r="268" customFormat="1" s="34"/>
    <row r="269" customFormat="1" s="34"/>
    <row r="270" customFormat="1" s="34"/>
    <row r="271" customFormat="1" s="34"/>
    <row r="272" customFormat="1" s="34"/>
    <row r="273" customFormat="1" s="34"/>
    <row r="274" customFormat="1" s="34"/>
    <row r="275" customFormat="1" s="34"/>
    <row r="276" customFormat="1" s="34"/>
    <row r="277" customFormat="1" s="34"/>
    <row r="278" customFormat="1" s="34"/>
    <row r="279" customFormat="1" s="34"/>
    <row r="280" customFormat="1" s="34"/>
    <row r="281" customFormat="1" s="34"/>
    <row r="282" customFormat="1" s="34"/>
    <row r="283" customFormat="1" s="34"/>
    <row r="284" customFormat="1" s="34"/>
    <row r="285" customFormat="1" s="34"/>
    <row r="286" customFormat="1" s="34"/>
    <row r="287" customFormat="1" s="34"/>
    <row r="288" customFormat="1" s="34"/>
    <row r="289" customFormat="1" s="34"/>
    <row r="290" customFormat="1" s="34"/>
    <row r="291" customFormat="1" s="34"/>
    <row r="292" customFormat="1" s="34"/>
    <row r="293" customFormat="1" s="34"/>
    <row r="294" customFormat="1" s="34"/>
    <row r="295" customFormat="1" s="34"/>
    <row r="296" customFormat="1" s="34"/>
    <row r="297" customFormat="1" s="34"/>
    <row r="298" customFormat="1" s="34"/>
    <row r="299" customFormat="1" s="34"/>
    <row r="300" customFormat="1" s="34"/>
    <row r="301" customFormat="1" s="34"/>
    <row r="302" customFormat="1" s="34"/>
    <row r="303" customFormat="1" s="34"/>
    <row r="304" customFormat="1" s="34"/>
    <row r="305" customFormat="1" s="34"/>
    <row r="306" customFormat="1" s="34"/>
    <row r="307" customFormat="1" s="34"/>
    <row r="308" customFormat="1" s="34"/>
    <row r="309" customFormat="1" s="34"/>
    <row r="310" customFormat="1" s="34"/>
    <row r="311" customFormat="1" s="34"/>
    <row r="312" customFormat="1" s="34"/>
    <row r="313" customFormat="1" s="34"/>
    <row r="314" customFormat="1" s="34"/>
    <row r="315" customFormat="1" s="34"/>
    <row r="316" customFormat="1" s="34"/>
    <row r="317" customFormat="1" s="34"/>
    <row r="318" customFormat="1" s="34"/>
    <row r="319" customFormat="1" s="34"/>
    <row r="320" customFormat="1" s="34"/>
    <row r="321" customFormat="1" s="34"/>
    <row r="322" customFormat="1" s="34"/>
    <row r="323" customFormat="1" s="34"/>
    <row r="324" customFormat="1" s="34"/>
    <row r="325" customFormat="1" s="34"/>
    <row r="326" customFormat="1" s="34"/>
    <row r="327" customFormat="1" s="34"/>
    <row r="328" customFormat="1" s="34"/>
    <row r="329" customFormat="1" s="34"/>
    <row r="330" customFormat="1" s="34"/>
    <row r="331" customFormat="1" s="34"/>
    <row r="332" customFormat="1" s="34"/>
    <row r="333" customFormat="1" s="34"/>
    <row r="334" customFormat="1" s="34"/>
    <row r="335" customFormat="1" s="34"/>
    <row r="336" customFormat="1" s="34"/>
    <row r="337" customFormat="1" s="34"/>
    <row r="338" customFormat="1" s="34"/>
    <row r="339" customFormat="1" s="34"/>
    <row r="340" customFormat="1" s="34"/>
    <row r="341" customFormat="1" s="34"/>
    <row r="342" customFormat="1" s="34"/>
    <row r="343" customFormat="1" s="34"/>
    <row r="344" customFormat="1" s="34"/>
    <row r="345" customFormat="1" s="34"/>
    <row r="346" customFormat="1" s="34"/>
    <row r="347" customFormat="1" s="34"/>
    <row r="348" customFormat="1" s="34"/>
    <row r="349" customFormat="1" s="34"/>
    <row r="350" customFormat="1" s="34"/>
    <row r="351" customFormat="1" s="34"/>
    <row r="352" customFormat="1" s="34"/>
    <row r="353" customFormat="1" s="34"/>
    <row r="354" customFormat="1" s="34"/>
    <row r="355" customFormat="1" s="34"/>
    <row r="356" customFormat="1" s="34"/>
    <row r="357" customFormat="1" s="34"/>
    <row r="358" customFormat="1" s="34"/>
    <row r="359" customFormat="1" s="34"/>
    <row r="360" customFormat="1" s="34"/>
    <row r="361" customFormat="1" s="34"/>
    <row r="362" customFormat="1" s="34"/>
    <row r="363" customFormat="1" s="34"/>
    <row r="364" customFormat="1" s="34"/>
    <row r="365" customFormat="1" s="34"/>
    <row r="366" customFormat="1" s="34"/>
    <row r="367" customFormat="1" s="34"/>
    <row r="368" customFormat="1" s="34"/>
    <row r="369" customFormat="1" s="34"/>
    <row r="370" customFormat="1" s="34"/>
    <row r="371" customFormat="1" s="34"/>
    <row r="372" customFormat="1" s="34"/>
    <row r="373" customFormat="1" s="34"/>
    <row r="374" customFormat="1" s="34"/>
    <row r="375" customFormat="1" s="34"/>
    <row r="376" customFormat="1" s="34"/>
    <row r="377" customFormat="1" s="34"/>
    <row r="378" customFormat="1" s="34"/>
    <row r="379" customFormat="1" s="34"/>
    <row r="380" customFormat="1" s="34"/>
    <row r="381" customFormat="1" s="34"/>
    <row r="382" customFormat="1" s="34"/>
    <row r="383" customFormat="1" s="34"/>
    <row r="384" customFormat="1" s="34"/>
    <row r="385" customFormat="1" s="34"/>
    <row r="386" customFormat="1" s="34"/>
    <row r="387" customFormat="1" s="34"/>
    <row r="388" customFormat="1" s="34"/>
    <row r="389" customFormat="1" s="34"/>
    <row r="390" customFormat="1" s="34"/>
    <row r="391" customFormat="1" s="34"/>
    <row r="392" customFormat="1" s="34"/>
    <row r="393" customFormat="1" s="34"/>
    <row r="394" customFormat="1" s="34"/>
    <row r="395" customFormat="1" s="34"/>
    <row r="396" customFormat="1" s="34"/>
    <row r="397" customFormat="1" s="34"/>
    <row r="398" customFormat="1" s="34"/>
    <row r="399" customFormat="1" s="34"/>
    <row r="400" customFormat="1" s="34"/>
    <row r="401" customFormat="1" s="34"/>
    <row r="402" customFormat="1" s="34"/>
    <row r="403" customFormat="1" s="34"/>
    <row r="404" customFormat="1" s="34"/>
    <row r="405" customFormat="1" s="34"/>
    <row r="406" customFormat="1" s="34"/>
    <row r="407" customFormat="1" s="34"/>
    <row r="408" customFormat="1" s="34"/>
    <row r="409" customFormat="1" s="34"/>
    <row r="410" customFormat="1" s="34"/>
    <row r="411" customFormat="1" s="34"/>
    <row r="412" customFormat="1" s="34"/>
    <row r="413" customFormat="1" s="34"/>
    <row r="414" customFormat="1" s="34"/>
    <row r="415" customFormat="1" s="34"/>
    <row r="416" customFormat="1" s="34"/>
    <row r="417" customFormat="1" s="34"/>
    <row r="418" customFormat="1" s="34"/>
    <row r="419" customFormat="1" s="34"/>
    <row r="420" customFormat="1" s="34"/>
    <row r="421" customFormat="1" s="34"/>
    <row r="422" customFormat="1" s="34"/>
    <row r="423" customFormat="1" s="34"/>
    <row r="424" customFormat="1" s="34"/>
    <row r="425" customFormat="1" s="34"/>
    <row r="426" customFormat="1" s="34"/>
    <row r="427" customFormat="1" s="34"/>
    <row r="428" customFormat="1" s="34"/>
    <row r="429" customFormat="1" s="34"/>
    <row r="430" customFormat="1" s="34"/>
    <row r="431" customFormat="1" s="34"/>
    <row r="432" customFormat="1" s="34"/>
    <row r="433" customFormat="1" s="34"/>
    <row r="434" customFormat="1" s="34"/>
    <row r="435" customFormat="1" s="34"/>
    <row r="436" customFormat="1" s="34"/>
    <row r="437" customFormat="1" s="34"/>
    <row r="438" customFormat="1" s="34"/>
    <row r="439" customFormat="1" s="34"/>
    <row r="440" customFormat="1" s="34"/>
    <row r="441" customFormat="1" s="34"/>
    <row r="442" customFormat="1" s="34"/>
    <row r="443" customFormat="1" s="34"/>
    <row r="444" customFormat="1" s="34"/>
    <row r="445" customFormat="1" s="34"/>
    <row r="446" customFormat="1" s="34"/>
    <row r="447" customFormat="1" s="34"/>
    <row r="448" customFormat="1" s="34"/>
    <row r="449" customFormat="1" s="34"/>
    <row r="450" customFormat="1" s="34"/>
    <row r="451" customFormat="1" s="34"/>
    <row r="452" customFormat="1" s="34"/>
    <row r="453" customFormat="1" s="34"/>
    <row r="454" customFormat="1" s="34"/>
    <row r="455" customFormat="1" s="34"/>
    <row r="456" customFormat="1" s="34"/>
    <row r="457" customFormat="1" s="34"/>
    <row r="458" customFormat="1" s="34"/>
    <row r="459" customFormat="1" s="34"/>
    <row r="460" customFormat="1" s="34"/>
    <row r="461" customFormat="1" s="34"/>
    <row r="462" customFormat="1" s="34"/>
    <row r="463" customFormat="1" s="34"/>
    <row r="464" customFormat="1" s="34"/>
    <row r="465" customFormat="1" s="34"/>
    <row r="466" customFormat="1" s="34"/>
    <row r="467" customFormat="1" s="34"/>
    <row r="468" customFormat="1" s="34"/>
    <row r="469" customFormat="1" s="34"/>
    <row r="470" customFormat="1" s="34"/>
    <row r="471" customFormat="1" s="34"/>
    <row r="472" customFormat="1" s="34"/>
    <row r="473" customFormat="1" s="34"/>
    <row r="474" customFormat="1" s="34"/>
    <row r="475" customFormat="1" s="34"/>
    <row r="476" customFormat="1" s="34"/>
    <row r="477" customFormat="1" s="34"/>
    <row r="478" customFormat="1" s="34"/>
    <row r="479" customFormat="1" s="34"/>
    <row r="480" customFormat="1" s="34"/>
    <row r="481" customFormat="1" s="34"/>
    <row r="482" customFormat="1" s="34"/>
    <row r="483" customFormat="1" s="34"/>
    <row r="484" customFormat="1" s="34"/>
    <row r="485" customFormat="1" s="34"/>
    <row r="486" customFormat="1" s="34"/>
    <row r="487" customFormat="1" s="34"/>
    <row r="488" customFormat="1" s="34"/>
    <row r="489" customFormat="1" s="34"/>
    <row r="490" customFormat="1" s="34"/>
    <row r="491" customFormat="1" s="34"/>
    <row r="492" customFormat="1" s="34"/>
    <row r="493" customFormat="1" s="34"/>
    <row r="494" customFormat="1" s="34"/>
    <row r="495" customFormat="1" s="34"/>
    <row r="496" customFormat="1" s="34"/>
    <row r="497" customFormat="1" s="34"/>
    <row r="498" customFormat="1" s="34"/>
    <row r="499" customFormat="1" s="34"/>
    <row r="500" customFormat="1" s="34"/>
    <row r="501" customFormat="1" s="34"/>
    <row r="502" customFormat="1" s="34"/>
    <row r="503" customFormat="1" s="34"/>
    <row r="504" customFormat="1" s="34"/>
    <row r="505" customFormat="1" s="34"/>
    <row r="506" customFormat="1" s="34"/>
    <row r="507" customFormat="1" s="34"/>
    <row r="508" customFormat="1" s="34"/>
    <row r="509" customFormat="1" s="34"/>
    <row r="510" customFormat="1" s="34"/>
    <row r="511" customFormat="1" s="34"/>
    <row r="512" customFormat="1" s="34"/>
    <row r="513" customFormat="1" s="34"/>
    <row r="514" customFormat="1" s="34"/>
    <row r="515" customFormat="1" s="34"/>
    <row r="516" customFormat="1" s="34"/>
    <row r="517" customFormat="1" s="34"/>
    <row r="518" customFormat="1" s="34"/>
    <row r="519" customFormat="1" s="34"/>
    <row r="520" customFormat="1" s="34"/>
    <row r="521" customFormat="1" s="34"/>
    <row r="522" customFormat="1" s="34"/>
    <row r="523" customFormat="1" s="34"/>
    <row r="524" customFormat="1" s="34"/>
    <row r="525" customFormat="1" s="34"/>
    <row r="526" customFormat="1" s="34"/>
    <row r="527" customFormat="1" s="34"/>
    <row r="528" customFormat="1" s="34"/>
    <row r="529" customFormat="1" s="34"/>
    <row r="530" customFormat="1" s="34"/>
    <row r="531" customFormat="1" s="34"/>
    <row r="532" customFormat="1" s="34"/>
    <row r="533" customFormat="1" s="34"/>
    <row r="534" customFormat="1" s="34"/>
    <row r="535" customFormat="1" s="34"/>
    <row r="536" customFormat="1" s="34"/>
    <row r="537" customFormat="1" s="34"/>
    <row r="538" customFormat="1" s="34"/>
    <row r="539" customFormat="1" s="34"/>
    <row r="540" customFormat="1" s="34"/>
    <row r="541" customFormat="1" s="34"/>
    <row r="542" customFormat="1" s="34"/>
    <row r="543" customFormat="1" s="34"/>
    <row r="544" customFormat="1" s="34"/>
    <row r="545" customFormat="1" s="34"/>
    <row r="546" customFormat="1" s="34"/>
    <row r="547" customFormat="1" s="34"/>
    <row r="548" customFormat="1" s="34"/>
    <row r="549" customFormat="1" s="34"/>
    <row r="550" customFormat="1" s="34"/>
    <row r="551" customFormat="1" s="34"/>
    <row r="552" customFormat="1" s="34"/>
    <row r="553" customFormat="1" s="34"/>
    <row r="554" customFormat="1" s="34"/>
    <row r="555" customFormat="1" s="34"/>
    <row r="556" customFormat="1" s="34"/>
    <row r="557" customFormat="1" s="34"/>
    <row r="558" customFormat="1" s="34"/>
    <row r="559" customFormat="1" s="34"/>
    <row r="560" customFormat="1" s="34"/>
    <row r="561" customFormat="1" s="34"/>
    <row r="562" customFormat="1" s="34"/>
    <row r="563" customFormat="1" s="34"/>
    <row r="564" customFormat="1" s="34"/>
    <row r="565" customFormat="1" s="34"/>
    <row r="566" customFormat="1" s="34"/>
    <row r="567" customFormat="1" s="34"/>
    <row r="568" customFormat="1" s="34"/>
    <row r="569" customFormat="1" s="34"/>
    <row r="570" customFormat="1" s="34"/>
    <row r="571" customFormat="1" s="34"/>
    <row r="572" customFormat="1" s="34"/>
    <row r="573" customFormat="1" s="34"/>
    <row r="574" customFormat="1" s="34"/>
    <row r="575" customFormat="1" s="34"/>
    <row r="576" customFormat="1" s="34"/>
    <row r="577" customFormat="1" s="34"/>
    <row r="578" customFormat="1" s="34"/>
    <row r="579" customFormat="1" s="34"/>
    <row r="580" customFormat="1" s="34"/>
    <row r="581" customFormat="1" s="34"/>
    <row r="582" customFormat="1" s="34"/>
    <row r="583" customFormat="1" s="34"/>
    <row r="584" customFormat="1" s="34"/>
    <row r="585" customFormat="1" s="34"/>
    <row r="586" customFormat="1" s="34"/>
    <row r="587" customFormat="1" s="34"/>
    <row r="588" customFormat="1" s="34"/>
    <row r="589" customFormat="1" s="34"/>
    <row r="590" customFormat="1" s="34"/>
    <row r="591" customFormat="1" s="34"/>
    <row r="592" customFormat="1" s="34"/>
    <row r="593" customFormat="1" s="34"/>
    <row r="594" customFormat="1" s="34"/>
    <row r="595" customFormat="1" s="34"/>
    <row r="596" customFormat="1" s="34"/>
    <row r="597" customFormat="1" s="34"/>
    <row r="598" customFormat="1" s="34"/>
    <row r="599" customFormat="1" s="34"/>
    <row r="600" customFormat="1" s="34"/>
    <row r="601" customFormat="1" s="34"/>
    <row r="602" customFormat="1" s="34"/>
    <row r="603" customFormat="1" s="34"/>
    <row r="604" customFormat="1" s="34"/>
    <row r="605" customFormat="1" s="34"/>
    <row r="606" customFormat="1" s="34"/>
    <row r="607" customFormat="1" s="34"/>
    <row r="608" customFormat="1" s="34"/>
    <row r="609" customFormat="1" s="34"/>
    <row r="610" customFormat="1" s="34"/>
    <row r="611" customFormat="1" s="34"/>
    <row r="612" customFormat="1" s="34"/>
    <row r="613" customFormat="1" s="34"/>
    <row r="614" customFormat="1" s="34"/>
    <row r="615" customFormat="1" s="34"/>
    <row r="616" customFormat="1" s="34"/>
    <row r="617" customFormat="1" s="34"/>
    <row r="618" customFormat="1" s="34"/>
    <row r="619" customFormat="1" s="34"/>
    <row r="620" customFormat="1" s="34"/>
    <row r="621" customFormat="1" s="34"/>
    <row r="622" customFormat="1" s="34"/>
    <row r="623" customFormat="1" s="34"/>
    <row r="624" customFormat="1" s="34"/>
    <row r="625" customFormat="1" s="34"/>
    <row r="626" customFormat="1" s="34"/>
    <row r="627" customFormat="1" s="34"/>
    <row r="628" customFormat="1" s="34"/>
    <row r="629" customFormat="1" s="34"/>
    <row r="630" customFormat="1" s="34"/>
    <row r="631" customFormat="1" s="34"/>
    <row r="632" customFormat="1" s="34"/>
    <row r="633" customFormat="1" s="34"/>
    <row r="634" customFormat="1" s="34"/>
    <row r="635" customFormat="1" s="34"/>
    <row r="636" customFormat="1" s="34"/>
    <row r="637" customFormat="1" s="34"/>
    <row r="638" customFormat="1" s="34"/>
    <row r="639" customFormat="1" s="34"/>
    <row r="640" customFormat="1" s="34"/>
    <row r="641" customFormat="1" s="34"/>
    <row r="642" customFormat="1" s="34"/>
    <row r="643" customFormat="1" s="34"/>
    <row r="644" customFormat="1" s="34"/>
    <row r="645" customFormat="1" s="34"/>
    <row r="646" customFormat="1" s="34"/>
    <row r="647" customFormat="1" s="34"/>
    <row r="648" customFormat="1" s="34"/>
    <row r="649" customFormat="1" s="34"/>
    <row r="650" customFormat="1" s="34"/>
    <row r="651" customFormat="1" s="34"/>
    <row r="652" customFormat="1" s="34"/>
    <row r="653" customFormat="1" s="34"/>
    <row r="654" customFormat="1" s="34"/>
    <row r="655" customFormat="1" s="34"/>
    <row r="656" customFormat="1" s="34"/>
    <row r="657" customFormat="1" s="34"/>
    <row r="658" customFormat="1" s="34"/>
    <row r="659" customFormat="1" s="34"/>
    <row r="660" customFormat="1" s="34"/>
    <row r="661" customFormat="1" s="34"/>
    <row r="662" customFormat="1" s="34"/>
    <row r="663" customFormat="1" s="34"/>
    <row r="664" customFormat="1" s="34"/>
    <row r="665" customFormat="1" s="34"/>
    <row r="666" customFormat="1" s="34"/>
    <row r="667" customFormat="1" s="34"/>
    <row r="668" customFormat="1" s="34"/>
    <row r="669" customFormat="1" s="34"/>
    <row r="670" customFormat="1" s="34"/>
    <row r="671" customFormat="1" s="34"/>
    <row r="672" customFormat="1" s="34"/>
    <row r="673" customFormat="1" s="34"/>
    <row r="674" customFormat="1" s="34"/>
    <row r="675" customFormat="1" s="34"/>
    <row r="676" customFormat="1" s="34"/>
    <row r="677" customFormat="1" s="34"/>
    <row r="678" customFormat="1" s="34"/>
    <row r="679" customFormat="1" s="34"/>
    <row r="680" customFormat="1" s="34"/>
    <row r="681" customFormat="1" s="34"/>
    <row r="682" customFormat="1" s="34"/>
    <row r="683" customFormat="1" s="34"/>
    <row r="684" customFormat="1" s="34"/>
    <row r="685" customFormat="1" s="34"/>
    <row r="686" customFormat="1" s="34"/>
    <row r="687" customFormat="1" s="34"/>
    <row r="688" customFormat="1" s="34"/>
    <row r="689" customFormat="1" s="34"/>
    <row r="690" customFormat="1" s="34"/>
    <row r="691" customFormat="1" s="34"/>
    <row r="692" customFormat="1" s="34"/>
    <row r="693" customFormat="1" s="34"/>
    <row r="694" customFormat="1" s="34"/>
    <row r="695" customFormat="1" s="34"/>
    <row r="696" customFormat="1" s="34"/>
    <row r="697" customFormat="1" s="34"/>
    <row r="698" customFormat="1" s="34"/>
    <row r="699" customFormat="1" s="34"/>
    <row r="700" customFormat="1" s="34"/>
    <row r="701" customFormat="1" s="34"/>
    <row r="702" customFormat="1" s="34"/>
    <row r="703" customFormat="1" s="34"/>
    <row r="704" customFormat="1" s="34"/>
    <row r="705" customFormat="1" s="34"/>
    <row r="706" customFormat="1" s="34"/>
    <row r="707" customFormat="1" s="34"/>
    <row r="708" customFormat="1" s="34"/>
    <row r="709" customFormat="1" s="34"/>
    <row r="710" customFormat="1" s="34"/>
    <row r="711" customFormat="1" s="34"/>
    <row r="712" customFormat="1" s="34"/>
    <row r="713" customFormat="1" s="34"/>
    <row r="714" customFormat="1" s="34"/>
    <row r="715" customFormat="1" s="34"/>
    <row r="716" customFormat="1" s="34"/>
    <row r="717" customFormat="1" s="34"/>
    <row r="718" customFormat="1" s="34"/>
    <row r="719" customFormat="1" s="34"/>
    <row r="720" customFormat="1" s="34"/>
    <row r="721" customFormat="1" s="34"/>
    <row r="722" customFormat="1" s="34"/>
    <row r="723" customFormat="1" s="34"/>
    <row r="724" customFormat="1" s="34"/>
    <row r="725" customFormat="1" s="34"/>
    <row r="726" customFormat="1" s="34"/>
    <row r="727" customFormat="1" s="34"/>
    <row r="728" customFormat="1" s="34"/>
    <row r="729" customFormat="1" s="34"/>
    <row r="730" customFormat="1" s="34"/>
    <row r="731" customFormat="1" s="34"/>
    <row r="732" customFormat="1" s="34"/>
    <row r="733" customFormat="1" s="34"/>
    <row r="734" customFormat="1" s="34"/>
    <row r="735" customFormat="1" s="34"/>
    <row r="736" customFormat="1" s="34"/>
    <row r="737" customFormat="1" s="34"/>
    <row r="738" customFormat="1" s="34"/>
    <row r="739" customFormat="1" s="34"/>
    <row r="740" customFormat="1" s="34"/>
    <row r="741" customFormat="1" s="34"/>
    <row r="742" customFormat="1" s="34"/>
    <row r="743" customFormat="1" s="34"/>
    <row r="744" customFormat="1" s="34"/>
    <row r="745" customFormat="1" s="34"/>
    <row r="746" customFormat="1" s="34"/>
    <row r="747" customFormat="1" s="34"/>
    <row r="748" customFormat="1" s="34"/>
    <row r="749" customFormat="1" s="34"/>
    <row r="750" customFormat="1" s="34"/>
    <row r="751" customFormat="1" s="34"/>
    <row r="752" customFormat="1" s="34"/>
    <row r="753" customFormat="1" s="34"/>
    <row r="754" customFormat="1" s="34"/>
    <row r="755" customFormat="1" s="34"/>
    <row r="756" customFormat="1" s="34"/>
    <row r="757" customFormat="1" s="34"/>
    <row r="758" customFormat="1" s="34"/>
    <row r="759" customFormat="1" s="34"/>
    <row r="760" customFormat="1" s="34"/>
    <row r="761" customFormat="1" s="34"/>
    <row r="762" customFormat="1" s="34"/>
    <row r="763" customFormat="1" s="34"/>
    <row r="764" customFormat="1" s="34"/>
    <row r="765" customFormat="1" s="34"/>
    <row r="766" customFormat="1" s="34"/>
    <row r="767" customFormat="1" s="34"/>
    <row r="768" customFormat="1" s="34"/>
    <row r="769" customFormat="1" s="34"/>
    <row r="770" customFormat="1" s="34"/>
    <row r="771" customFormat="1" s="34"/>
    <row r="772" customFormat="1" s="34"/>
    <row r="773" customFormat="1" s="34"/>
    <row r="774" customFormat="1" s="34"/>
    <row r="775" customFormat="1" s="34"/>
    <row r="776" customFormat="1" s="34"/>
    <row r="777" customFormat="1" s="34"/>
    <row r="778" customFormat="1" s="34"/>
    <row r="779" customFormat="1" s="34"/>
    <row r="780" customFormat="1" s="34"/>
    <row r="781" customFormat="1" s="34"/>
    <row r="782" customFormat="1" s="34"/>
    <row r="783" customFormat="1" s="34"/>
    <row r="784" customFormat="1" s="34"/>
    <row r="785" customFormat="1" s="34"/>
    <row r="786" customFormat="1" s="34"/>
    <row r="787" customFormat="1" s="34"/>
    <row r="788" customFormat="1" s="34"/>
    <row r="789" customFormat="1" s="34"/>
    <row r="790" customFormat="1" s="34"/>
    <row r="791" customFormat="1" s="34"/>
    <row r="792" customFormat="1" s="34"/>
    <row r="793" customFormat="1" s="34"/>
    <row r="794" customFormat="1" s="34"/>
    <row r="795" customFormat="1" s="34"/>
    <row r="796" customFormat="1" s="34"/>
    <row r="797" customFormat="1" s="34"/>
    <row r="798" customFormat="1" s="34"/>
    <row r="799" customFormat="1" s="34"/>
    <row r="800" customFormat="1" s="34"/>
    <row r="801" customFormat="1" s="34"/>
    <row r="802" customFormat="1" s="34"/>
    <row r="803" customFormat="1" s="34"/>
    <row r="804" customFormat="1" s="34"/>
    <row r="805" customFormat="1" s="34"/>
    <row r="806" customFormat="1" s="34"/>
    <row r="807" customFormat="1" s="34"/>
    <row r="808" customFormat="1" s="34"/>
    <row r="809" customFormat="1" s="34"/>
    <row r="810" customFormat="1" s="34"/>
    <row r="811" customFormat="1" s="34"/>
    <row r="812" customFormat="1" s="34"/>
    <row r="813" customFormat="1" s="34"/>
    <row r="814" customFormat="1" s="34"/>
    <row r="815" customFormat="1" s="34"/>
    <row r="816" customFormat="1" s="34"/>
    <row r="817" customFormat="1" s="34"/>
    <row r="818" customFormat="1" s="34"/>
    <row r="819" customFormat="1" s="34"/>
    <row r="820" customFormat="1" s="34"/>
    <row r="821" customFormat="1" s="34"/>
    <row r="822" customFormat="1" s="34"/>
    <row r="823" customFormat="1" s="34"/>
    <row r="824" customFormat="1" s="34"/>
    <row r="825" customFormat="1" s="34"/>
    <row r="826" customFormat="1" s="34"/>
    <row r="827" customFormat="1" s="34"/>
    <row r="828" customFormat="1" s="34"/>
    <row r="829" customFormat="1" s="34"/>
    <row r="830" customFormat="1" s="34"/>
    <row r="831" customFormat="1" s="34"/>
    <row r="832" customFormat="1" s="34"/>
    <row r="833" customFormat="1" s="34"/>
    <row r="834" customFormat="1" s="34"/>
    <row r="835" customFormat="1" s="34"/>
    <row r="836" customFormat="1" s="34"/>
    <row r="837" customFormat="1" s="34"/>
    <row r="838" customFormat="1" s="34"/>
    <row r="839" customFormat="1" s="34"/>
    <row r="840" customFormat="1" s="34"/>
    <row r="841" customFormat="1" s="34"/>
    <row r="842" customFormat="1" s="34"/>
    <row r="843" customFormat="1" s="34"/>
    <row r="844" customFormat="1" s="34"/>
    <row r="845" customFormat="1" s="34"/>
    <row r="846" customFormat="1" s="34"/>
    <row r="847" customFormat="1" s="34"/>
    <row r="848" customFormat="1" s="34"/>
    <row r="849" customFormat="1" s="34"/>
    <row r="850" customFormat="1" s="34"/>
    <row r="851" customFormat="1" s="34"/>
    <row r="852" customFormat="1" s="34"/>
    <row r="853" customFormat="1" s="34"/>
    <row r="854" customFormat="1" s="34"/>
    <row r="855" customFormat="1" s="34"/>
    <row r="856" customFormat="1" s="34"/>
    <row r="857" customFormat="1" s="34"/>
    <row r="858" customFormat="1" s="34"/>
    <row r="859" customFormat="1" s="34"/>
    <row r="860" customFormat="1" s="34"/>
    <row r="861" customFormat="1" s="34"/>
    <row r="862" customFormat="1" s="34"/>
    <row r="863" customFormat="1" s="34"/>
    <row r="864" customFormat="1" s="34"/>
    <row r="865" customFormat="1" s="34"/>
    <row r="866" customFormat="1" s="34"/>
    <row r="867" customFormat="1" s="34"/>
    <row r="868" customFormat="1" s="34"/>
    <row r="869" customFormat="1" s="34"/>
    <row r="870" customFormat="1" s="34"/>
    <row r="871" customFormat="1" s="34"/>
    <row r="872" customFormat="1" s="34"/>
    <row r="873" customFormat="1" s="34"/>
    <row r="874" customFormat="1" s="34"/>
    <row r="875" customFormat="1" s="34"/>
    <row r="876" customFormat="1" s="34"/>
    <row r="877" customFormat="1" s="34"/>
    <row r="878" customFormat="1" s="34"/>
    <row r="879" customFormat="1" s="34"/>
    <row r="880" customFormat="1" s="34"/>
    <row r="881" customFormat="1" s="34"/>
    <row r="882" customFormat="1" s="34"/>
    <row r="883" customFormat="1" s="34"/>
    <row r="884" customFormat="1" s="34"/>
    <row r="885" customFormat="1" s="34"/>
    <row r="886" customFormat="1" s="34"/>
    <row r="887" customFormat="1" s="34"/>
    <row r="888" customFormat="1" s="34"/>
    <row r="889" customFormat="1" s="34"/>
    <row r="890" customFormat="1" s="34"/>
    <row r="891" customFormat="1" s="34"/>
    <row r="892" customFormat="1" s="34"/>
    <row r="893" customFormat="1" s="34"/>
    <row r="894" customFormat="1" s="34"/>
    <row r="895" customFormat="1" s="34"/>
    <row r="896" customFormat="1" s="34"/>
    <row r="897" customFormat="1" s="34"/>
    <row r="898" customFormat="1" s="34"/>
    <row r="899" customFormat="1" s="34"/>
    <row r="900" customFormat="1" s="34"/>
    <row r="901" customFormat="1" s="34"/>
    <row r="902" customFormat="1" s="34"/>
    <row r="903" customFormat="1" s="34"/>
    <row r="904" customFormat="1" s="34"/>
    <row r="905" customFormat="1" s="34"/>
    <row r="906" customFormat="1" s="34"/>
    <row r="907" customFormat="1" s="34"/>
    <row r="908" customFormat="1" s="34"/>
    <row r="909" customFormat="1" s="34"/>
    <row r="910" customFormat="1" s="34"/>
    <row r="911" customFormat="1" s="34"/>
    <row r="912" customFormat="1" s="34"/>
    <row r="913" customFormat="1" s="34"/>
    <row r="914" customFormat="1" s="34"/>
    <row r="915" customFormat="1" s="34"/>
    <row r="916" customFormat="1" s="34"/>
    <row r="917" customFormat="1" s="34"/>
    <row r="918" customFormat="1" s="34"/>
    <row r="919" customFormat="1" s="34"/>
    <row r="920" customFormat="1" s="34"/>
    <row r="921" customFormat="1" s="34"/>
    <row r="922" customFormat="1" s="34"/>
    <row r="923" customFormat="1" s="34"/>
    <row r="924" customFormat="1" s="34"/>
    <row r="925" customFormat="1" s="34"/>
    <row r="926" customFormat="1" s="34"/>
    <row r="927" customFormat="1" s="34"/>
    <row r="928" customFormat="1" s="34"/>
    <row r="929" customFormat="1" s="34"/>
    <row r="930" customFormat="1" s="34"/>
    <row r="931" customFormat="1" s="34"/>
    <row r="932" customFormat="1" s="34"/>
    <row r="933" customFormat="1" s="34"/>
    <row r="934" customFormat="1" s="34"/>
    <row r="935" customFormat="1" s="34"/>
    <row r="936" customFormat="1" s="34"/>
    <row r="937" customFormat="1" s="34"/>
    <row r="938" customFormat="1" s="34"/>
    <row r="939" customFormat="1" s="34"/>
    <row r="940" customFormat="1" s="34"/>
    <row r="941" customFormat="1" s="34"/>
    <row r="942" customFormat="1" s="34"/>
    <row r="943" customFormat="1" s="34"/>
    <row r="944" customFormat="1" s="34"/>
    <row r="945" customFormat="1" s="34"/>
    <row r="946" customFormat="1" s="34"/>
    <row r="947" customFormat="1" s="34"/>
    <row r="948" customFormat="1" s="34"/>
    <row r="949" customFormat="1" s="34"/>
    <row r="950" customFormat="1" s="34"/>
    <row r="951" customFormat="1" s="34"/>
    <row r="952" customFormat="1" s="34"/>
    <row r="953" customFormat="1" s="34"/>
    <row r="954" customFormat="1" s="34"/>
    <row r="955" customFormat="1" s="34"/>
    <row r="956" customFormat="1" s="34"/>
    <row r="957" customFormat="1" s="34"/>
    <row r="958" customFormat="1" s="34"/>
    <row r="959" customFormat="1" s="34"/>
    <row r="960" customFormat="1" s="34"/>
    <row r="961" customFormat="1" s="34"/>
    <row r="962" customFormat="1" s="34"/>
    <row r="963" customFormat="1" s="34"/>
    <row r="964" customFormat="1" s="34"/>
    <row r="965" customFormat="1" s="34"/>
    <row r="966" customFormat="1" s="34"/>
    <row r="967" customFormat="1" s="34"/>
    <row r="968" customFormat="1" s="34"/>
    <row r="969" customFormat="1" s="34"/>
    <row r="970" customFormat="1" s="34"/>
    <row r="971" customFormat="1" s="34"/>
    <row r="972" customFormat="1" s="34"/>
    <row r="973" customFormat="1" s="34"/>
    <row r="974" customFormat="1" s="34"/>
    <row r="975" customFormat="1" s="34"/>
    <row r="976" customFormat="1" s="34"/>
    <row r="977" customFormat="1" s="34"/>
    <row r="978" customFormat="1" s="34"/>
    <row r="979" customFormat="1" s="34"/>
    <row r="980" customFormat="1" s="34"/>
    <row r="981" customFormat="1" s="34"/>
    <row r="982" customFormat="1" s="34"/>
    <row r="983" customFormat="1" s="34"/>
    <row r="984" customFormat="1" s="34"/>
    <row r="985" customFormat="1" s="34"/>
    <row r="986" customFormat="1" s="34"/>
    <row r="987" customFormat="1" s="34"/>
    <row r="988" customFormat="1" s="34"/>
    <row r="989" customFormat="1" s="34"/>
    <row r="990" customFormat="1" s="34"/>
    <row r="991" customFormat="1" s="34"/>
    <row r="992" customFormat="1" s="34"/>
    <row r="993" customFormat="1" s="34"/>
    <row r="994" customFormat="1" s="34"/>
    <row r="995" customFormat="1" s="34"/>
    <row r="996" customFormat="1" s="34"/>
    <row r="997" customFormat="1" s="34"/>
    <row r="998" customFormat="1" s="34"/>
    <row r="999" customFormat="1" s="34"/>
    <row r="1000" customFormat="1" s="34"/>
    <row r="1001" customFormat="1" s="34"/>
    <row r="1002" customFormat="1" s="34"/>
    <row r="1003" customFormat="1" s="34"/>
    <row r="1004" customFormat="1" s="34"/>
    <row r="1005" customFormat="1" s="34"/>
    <row r="1006" customFormat="1" s="34"/>
    <row r="1007" customFormat="1" s="34"/>
    <row r="1008" customFormat="1" s="34"/>
    <row r="1009" customFormat="1" s="34"/>
    <row r="1010" customFormat="1" s="34"/>
    <row r="1011" customFormat="1" s="34"/>
    <row r="1012" customFormat="1" s="34"/>
    <row r="1013" customFormat="1" s="34"/>
    <row r="1014" customFormat="1" s="34"/>
    <row r="1015" customFormat="1" s="34"/>
    <row r="1016" customFormat="1" s="34"/>
    <row r="1017" customFormat="1" s="34"/>
    <row r="1018" customFormat="1" s="34"/>
    <row r="1019" customFormat="1" s="34"/>
    <row r="1020" customFormat="1" s="34"/>
    <row r="1021" customFormat="1" s="34"/>
    <row r="1022" customFormat="1" s="34"/>
    <row r="1023" customFormat="1" s="34"/>
    <row r="1024" customFormat="1" s="34"/>
    <row r="1025" customFormat="1" s="34"/>
    <row r="1026" customFormat="1" s="34"/>
    <row r="1027" customFormat="1" s="34"/>
    <row r="1028" customFormat="1" s="34"/>
    <row r="1029" customFormat="1" s="34"/>
    <row r="1030" customFormat="1" s="34"/>
    <row r="1031" customFormat="1" s="34"/>
    <row r="1032" customFormat="1" s="34"/>
    <row r="1033" customFormat="1" s="34"/>
    <row r="1034" customFormat="1" s="34"/>
    <row r="1035" customFormat="1" s="34"/>
    <row r="1036" customFormat="1" s="34"/>
    <row r="1037" customFormat="1" s="34"/>
    <row r="1038" customFormat="1" s="34"/>
    <row r="1039" customFormat="1" s="34"/>
    <row r="1040" customFormat="1" s="34"/>
    <row r="1041" customFormat="1" s="34"/>
    <row r="1042" customFormat="1" s="34"/>
    <row r="1043" customFormat="1" s="34"/>
    <row r="1044" customFormat="1" s="34"/>
    <row r="1045" customFormat="1" s="34"/>
    <row r="1046" customFormat="1" s="34"/>
    <row r="1047" customFormat="1" s="34"/>
    <row r="1048" customFormat="1" s="34"/>
    <row r="1049" customFormat="1" s="34"/>
    <row r="1050" customFormat="1" s="34"/>
    <row r="1051" customFormat="1" s="34"/>
    <row r="1052" customFormat="1" s="34"/>
    <row r="1053" customFormat="1" s="34"/>
    <row r="1054" customFormat="1" s="34"/>
    <row r="1055" customFormat="1" s="34"/>
    <row r="1056" customFormat="1" s="34"/>
    <row r="1057" customFormat="1" s="34"/>
    <row r="1058" customFormat="1" s="34"/>
    <row r="1059" customFormat="1" s="34"/>
    <row r="1060" customFormat="1" s="34"/>
    <row r="1061" customFormat="1" s="34"/>
    <row r="1062" customFormat="1" s="34"/>
    <row r="1063" customFormat="1" s="34"/>
    <row r="1064" customFormat="1" s="34"/>
    <row r="1065" customFormat="1" s="34"/>
    <row r="1066" customFormat="1" s="34"/>
    <row r="1067" customFormat="1" s="34"/>
    <row r="1068" customFormat="1" s="34"/>
    <row r="1069" customFormat="1" s="34"/>
    <row r="1070" customFormat="1" s="34"/>
    <row r="1071" customFormat="1" s="34"/>
    <row r="1072" customFormat="1" s="34"/>
    <row r="1073" customFormat="1" s="34"/>
    <row r="1074" customFormat="1" s="34"/>
    <row r="1075" customFormat="1" s="34"/>
    <row r="1076" customFormat="1" s="34"/>
    <row r="1077" customFormat="1" s="34"/>
    <row r="1078" customFormat="1" s="34"/>
    <row r="1079" customFormat="1" s="34"/>
    <row r="1080" customFormat="1" s="34"/>
    <row r="1081" customFormat="1" s="34"/>
    <row r="1082" customFormat="1" s="34"/>
    <row r="1083" customFormat="1" s="34"/>
    <row r="1084" customFormat="1" s="34"/>
    <row r="1085" customFormat="1" s="34"/>
    <row r="1086" customFormat="1" s="34"/>
    <row r="1087" customFormat="1" s="34"/>
    <row r="1088" customFormat="1" s="34"/>
    <row r="1089" customFormat="1" s="34"/>
    <row r="1090" customFormat="1" s="34"/>
    <row r="1091" customFormat="1" s="34"/>
    <row r="1092" customFormat="1" s="34"/>
    <row r="1093" customFormat="1" s="34"/>
    <row r="1094" customFormat="1" s="34"/>
    <row r="1095" customFormat="1" s="34"/>
    <row r="1096" customFormat="1" s="34"/>
    <row r="1097" customFormat="1" s="34"/>
    <row r="1098" customFormat="1" s="34"/>
    <row r="1099" customFormat="1" s="34"/>
    <row r="1100" customFormat="1" s="34"/>
    <row r="1101" customFormat="1" s="34"/>
    <row r="1102" customFormat="1" s="34"/>
    <row r="1103" customFormat="1" s="34"/>
    <row r="1104" customFormat="1" s="34"/>
    <row r="1105" customFormat="1" s="34"/>
    <row r="1106" customFormat="1" s="34"/>
    <row r="1107" customFormat="1" s="34"/>
    <row r="1108" customFormat="1" s="34"/>
    <row r="1109" customFormat="1" s="34"/>
    <row r="1110" customFormat="1" s="34"/>
    <row r="1111" customFormat="1" s="34"/>
    <row r="1112" customFormat="1" s="34"/>
    <row r="1113" customFormat="1" s="34"/>
    <row r="1114" customFormat="1" s="34"/>
    <row r="1115" customFormat="1" s="34"/>
    <row r="1116" customFormat="1" s="34"/>
    <row r="1117" customFormat="1" s="34"/>
    <row r="1118" customFormat="1" s="34"/>
    <row r="1119" customFormat="1" s="34"/>
    <row r="1120" customFormat="1" s="34"/>
    <row r="1121" customFormat="1" s="34"/>
    <row r="1122" customFormat="1" s="34"/>
    <row r="1123" customFormat="1" s="34"/>
    <row r="1124" customFormat="1" s="34"/>
    <row r="1125" customFormat="1" s="34"/>
    <row r="1126" customFormat="1" s="34"/>
    <row r="1127" customFormat="1" s="34"/>
    <row r="1128" customFormat="1" s="34"/>
    <row r="1129" customFormat="1" s="34"/>
    <row r="1130" customFormat="1" s="34"/>
    <row r="1131" customFormat="1" s="34"/>
    <row r="1132" customFormat="1" s="34"/>
    <row r="1133" customFormat="1" s="34"/>
    <row r="1134" customFormat="1" s="34"/>
    <row r="1135" customFormat="1" s="34"/>
    <row r="1136" customFormat="1" s="34"/>
    <row r="1137" customFormat="1" s="34"/>
    <row r="1138" customFormat="1" s="34"/>
    <row r="1139" customFormat="1" s="34"/>
    <row r="1140" customFormat="1" s="34"/>
    <row r="1141" customFormat="1" s="34"/>
    <row r="1142" customFormat="1" s="34"/>
    <row r="1143" customFormat="1" s="34"/>
    <row r="1144" customFormat="1" s="34"/>
    <row r="1145" customFormat="1" s="34"/>
    <row r="1146" customFormat="1" s="34"/>
    <row r="1147" customFormat="1" s="34"/>
    <row r="1148" customFormat="1" s="34"/>
    <row r="1149" customFormat="1" s="34"/>
    <row r="1150" customFormat="1" s="34"/>
    <row r="1151" customFormat="1" s="34"/>
    <row r="1152" customFormat="1" s="34"/>
    <row r="1153" customFormat="1" s="34"/>
    <row r="1154" customFormat="1" s="34"/>
    <row r="1155" customFormat="1" s="34"/>
    <row r="1156" customFormat="1" s="34"/>
    <row r="1157" customFormat="1" s="34"/>
    <row r="1158" customFormat="1" s="34"/>
    <row r="1159" customFormat="1" s="34"/>
    <row r="1160" customFormat="1" s="34"/>
    <row r="1161" customFormat="1" s="34"/>
    <row r="1162" customFormat="1" s="34"/>
    <row r="1163" customFormat="1" s="34"/>
    <row r="1164" customFormat="1" s="34"/>
    <row r="1165" customFormat="1" s="34"/>
    <row r="1166" customFormat="1" s="34"/>
    <row r="1167" customFormat="1" s="34"/>
    <row r="1168" customFormat="1" s="34"/>
    <row r="1169" customFormat="1" s="34"/>
    <row r="1170" customFormat="1" s="34"/>
    <row r="1171" customFormat="1" s="34"/>
    <row r="1172" customFormat="1" s="34"/>
    <row r="1173" customFormat="1" s="34"/>
    <row r="1174" customFormat="1" s="34"/>
    <row r="1175" customFormat="1" s="34"/>
    <row r="1176" customFormat="1" s="34"/>
    <row r="1177" customFormat="1" s="34"/>
    <row r="1178" customFormat="1" s="34"/>
    <row r="1179" customFormat="1" s="34"/>
    <row r="1180" customFormat="1" s="34"/>
    <row r="1181" customFormat="1" s="34"/>
    <row r="1182" customFormat="1" s="34"/>
    <row r="1183" customFormat="1" s="34"/>
    <row r="1184" customFormat="1" s="34"/>
    <row r="1185" customFormat="1" s="34"/>
    <row r="1186" customFormat="1" s="34"/>
    <row r="1187" customFormat="1" s="34"/>
    <row r="1188" customFormat="1" s="34"/>
    <row r="1189" customFormat="1" s="34"/>
    <row r="1190" customFormat="1" s="34"/>
    <row r="1191" customFormat="1" s="34"/>
    <row r="1192" customFormat="1" s="34"/>
    <row r="1193" customFormat="1" s="34"/>
    <row r="1194" customFormat="1" s="34"/>
    <row r="1195" customFormat="1" s="34"/>
    <row r="1196" customFormat="1" s="34"/>
    <row r="1197" customFormat="1" s="34"/>
    <row r="1198" customFormat="1" s="34"/>
    <row r="1199" customFormat="1" s="34"/>
    <row r="1200" customFormat="1" s="34"/>
    <row r="1201" customFormat="1" s="34"/>
    <row r="1202" customFormat="1" s="34"/>
    <row r="1203" customFormat="1" s="34"/>
    <row r="1204" customFormat="1" s="34"/>
    <row r="1205" customFormat="1" s="34"/>
    <row r="1206" customFormat="1" s="34"/>
    <row r="1207" customFormat="1" s="34"/>
    <row r="1208" customFormat="1" s="34"/>
    <row r="1209" customFormat="1" s="34"/>
    <row r="1210" customFormat="1" s="34"/>
    <row r="1211" customFormat="1" s="34"/>
    <row r="1212" customFormat="1" s="34"/>
    <row r="1213" customFormat="1" s="34"/>
    <row r="1214" customFormat="1" s="34"/>
    <row r="1215" customFormat="1" s="34"/>
    <row r="1216" customFormat="1" s="34"/>
    <row r="1217" customFormat="1" s="34"/>
    <row r="1218" customFormat="1" s="34"/>
    <row r="1219" customFormat="1" s="34"/>
    <row r="1220" customFormat="1" s="34"/>
    <row r="1221" customFormat="1" s="34"/>
    <row r="1222" customFormat="1" s="34"/>
    <row r="1223" customFormat="1" s="34"/>
    <row r="1224" customFormat="1" s="34"/>
    <row r="1225" customFormat="1" s="34"/>
    <row r="1226" customFormat="1" s="34"/>
    <row r="1227" customFormat="1" s="34"/>
    <row r="1228" customFormat="1" s="34"/>
    <row r="1229" customFormat="1" s="34"/>
    <row r="1230" customFormat="1" s="34"/>
    <row r="1231" customFormat="1" s="34"/>
    <row r="1232" customFormat="1" s="34"/>
    <row r="1233" customFormat="1" s="34"/>
    <row r="1234" customFormat="1" s="34"/>
    <row r="1235" customFormat="1" s="34"/>
    <row r="1236" customFormat="1" s="34"/>
    <row r="1237" customFormat="1" s="34"/>
    <row r="1238" customFormat="1" s="34"/>
    <row r="1239" customFormat="1" s="34"/>
    <row r="1240" customFormat="1" s="34"/>
    <row r="1241" customFormat="1" s="34"/>
    <row r="1242" customFormat="1" s="34"/>
    <row r="1243" customFormat="1" s="34"/>
    <row r="1244" customFormat="1" s="34"/>
    <row r="1245" customFormat="1" s="34"/>
    <row r="1246" customFormat="1" s="34"/>
    <row r="1247" customFormat="1" s="34"/>
    <row r="1248" customFormat="1" s="34"/>
    <row r="1249" customFormat="1" s="34"/>
    <row r="1250" customFormat="1" s="34"/>
    <row r="1251" customFormat="1" s="34"/>
    <row r="1252" customFormat="1" s="34"/>
    <row r="1253" customFormat="1" s="34"/>
    <row r="1254" customFormat="1" s="34"/>
    <row r="1255" customFormat="1" s="34"/>
    <row r="1256" customFormat="1" s="34"/>
    <row r="1257" customFormat="1" s="34"/>
    <row r="1258" customFormat="1" s="34"/>
    <row r="1259" customFormat="1" s="34"/>
    <row r="1260" customFormat="1" s="34"/>
    <row r="1261" customFormat="1" s="34"/>
    <row r="1262" customFormat="1" s="34"/>
    <row r="1263" customFormat="1" s="34"/>
    <row r="1264" customFormat="1" s="34"/>
    <row r="1265" customFormat="1" s="34"/>
    <row r="1266" customFormat="1" s="34"/>
    <row r="1267" customFormat="1" s="34"/>
    <row r="1268" customFormat="1" s="34"/>
    <row r="1269" customFormat="1" s="34"/>
    <row r="1270" customFormat="1" s="34"/>
    <row r="1271" customFormat="1" s="34"/>
    <row r="1272" customFormat="1" s="34"/>
    <row r="1273" customFormat="1" s="34"/>
    <row r="1274" customFormat="1" s="34"/>
    <row r="1275" customFormat="1" s="34"/>
    <row r="1276" customFormat="1" s="34"/>
    <row r="1277" customFormat="1" s="34"/>
    <row r="1278" customFormat="1" s="34"/>
    <row r="1279" customFormat="1" s="34"/>
    <row r="1280" customFormat="1" s="34"/>
    <row r="1281" customFormat="1" s="34"/>
    <row r="1282" customFormat="1" s="34"/>
    <row r="1283" customFormat="1" s="34"/>
    <row r="1284" customFormat="1" s="34"/>
    <row r="1285" customFormat="1" s="34"/>
    <row r="1286" customFormat="1" s="34"/>
    <row r="1287" customFormat="1" s="34"/>
    <row r="1288" customFormat="1" s="34"/>
    <row r="1289" customFormat="1" s="34"/>
    <row r="1290" customFormat="1" s="34"/>
    <row r="1291" customFormat="1" s="34"/>
    <row r="1292" customFormat="1" s="34"/>
    <row r="1293" customFormat="1" s="34"/>
    <row r="1294" customFormat="1" s="34"/>
    <row r="1295" customFormat="1" s="34"/>
    <row r="1296" customFormat="1" s="34"/>
    <row r="1297" customFormat="1" s="34"/>
    <row r="1298" customFormat="1" s="34"/>
    <row r="1299" customFormat="1" s="34"/>
    <row r="1300" customFormat="1" s="34"/>
    <row r="1301" customFormat="1" s="34"/>
    <row r="1302" customFormat="1" s="34"/>
    <row r="1303" customFormat="1" s="34"/>
    <row r="1304" customFormat="1" s="34"/>
    <row r="1305" customFormat="1" s="34"/>
    <row r="1306" customFormat="1" s="34"/>
    <row r="1307" customFormat="1" s="34"/>
    <row r="1308" customFormat="1" s="34"/>
    <row r="1309" customFormat="1" s="34"/>
    <row r="1310" customFormat="1" s="34"/>
    <row r="1311" customFormat="1" s="34"/>
    <row r="1312" customFormat="1" s="34"/>
    <row r="1313" customFormat="1" s="34"/>
    <row r="1314" customFormat="1" s="34"/>
    <row r="1315" customFormat="1" s="34"/>
    <row r="1316" customFormat="1" s="34"/>
    <row r="1317" customFormat="1" s="34"/>
    <row r="1318" customFormat="1" s="34"/>
    <row r="1319" customFormat="1" s="34"/>
    <row r="1320" customFormat="1" s="34"/>
    <row r="1321" customFormat="1" s="34"/>
    <row r="1322" customFormat="1" s="34"/>
    <row r="1323" customFormat="1" s="34"/>
    <row r="1324" customFormat="1" s="34"/>
    <row r="1325" customFormat="1" s="34"/>
    <row r="1326" customFormat="1" s="34"/>
    <row r="1327" customFormat="1" s="34"/>
    <row r="1328" customFormat="1" s="34"/>
    <row r="1329" customFormat="1" s="34"/>
    <row r="1330" customFormat="1" s="34"/>
    <row r="1331" customFormat="1" s="34"/>
    <row r="1332" customFormat="1" s="34"/>
    <row r="1333" customFormat="1" s="34"/>
    <row r="1334" customFormat="1" s="34"/>
    <row r="1335" customFormat="1" s="34"/>
    <row r="1336" customFormat="1" s="34"/>
    <row r="1337" customFormat="1" s="34"/>
    <row r="1338" customFormat="1" s="34"/>
    <row r="1339" customFormat="1" s="34"/>
    <row r="1340" customFormat="1" s="34"/>
    <row r="1341" customFormat="1" s="34"/>
    <row r="1342" customFormat="1" s="34"/>
    <row r="1343" customFormat="1" s="34"/>
    <row r="1344" customFormat="1" s="34"/>
    <row r="1345" customFormat="1" s="34"/>
    <row r="1346" customFormat="1" s="34"/>
    <row r="1347" customFormat="1" s="34"/>
    <row r="1348" customFormat="1" s="34"/>
    <row r="1349" customFormat="1" s="34"/>
    <row r="1350" customFormat="1" s="34"/>
    <row r="1351" customFormat="1" s="34"/>
    <row r="1352" customFormat="1" s="34"/>
    <row r="1353" customFormat="1" s="34"/>
    <row r="1354" customFormat="1" s="34"/>
    <row r="1355" customFormat="1" s="34"/>
    <row r="1356" customFormat="1" s="34"/>
    <row r="1357" customFormat="1" s="34"/>
    <row r="1358" customFormat="1" s="34"/>
    <row r="1359" customFormat="1" s="34"/>
    <row r="1360" customFormat="1" s="34"/>
    <row r="1361" customFormat="1" s="34"/>
    <row r="1362" customFormat="1" s="34"/>
    <row r="1363" customFormat="1" s="34"/>
    <row r="1364" customFormat="1" s="34"/>
    <row r="1365" customFormat="1" s="34"/>
    <row r="1366" customFormat="1" s="34"/>
    <row r="1367" customFormat="1" s="34"/>
    <row r="1368" customFormat="1" s="34"/>
    <row r="1369" customFormat="1" s="34"/>
    <row r="1370" customFormat="1" s="34"/>
    <row r="1371" customFormat="1" s="34"/>
    <row r="1372" customFormat="1" s="34"/>
    <row r="1373" customFormat="1" s="34"/>
    <row r="1374" customFormat="1" s="34"/>
    <row r="1375" customFormat="1" s="34"/>
    <row r="1376" customFormat="1" s="34"/>
    <row r="1377" customFormat="1" s="34"/>
    <row r="1378" customFormat="1" s="34"/>
    <row r="1379" customFormat="1" s="34"/>
    <row r="1380" customFormat="1" s="34"/>
    <row r="1381" customFormat="1" s="34"/>
    <row r="1382" customFormat="1" s="34"/>
    <row r="1383" customFormat="1" s="34"/>
    <row r="1384" customFormat="1" s="34"/>
    <row r="1385" customFormat="1" s="34"/>
    <row r="1386" customFormat="1" s="34"/>
    <row r="1387" customFormat="1" s="34"/>
    <row r="1388" customFormat="1" s="34"/>
    <row r="1389" customFormat="1" s="34"/>
    <row r="1390" customFormat="1" s="34"/>
    <row r="1391" customFormat="1" s="34"/>
    <row r="1392" customFormat="1" s="34"/>
    <row r="1393" customFormat="1" s="34"/>
    <row r="1394" customFormat="1" s="34"/>
    <row r="1395" customFormat="1" s="34"/>
    <row r="1396" customFormat="1" s="34"/>
    <row r="1397" customFormat="1" s="34"/>
    <row r="1398" customFormat="1" s="34"/>
    <row r="1399" customFormat="1" s="34"/>
    <row r="1400" customFormat="1" s="34"/>
    <row r="1401" customFormat="1" s="34"/>
    <row r="1402" customFormat="1" s="34"/>
    <row r="1403" customFormat="1" s="34"/>
    <row r="1404" customFormat="1" s="34"/>
    <row r="1405" customFormat="1" s="34"/>
    <row r="1406" customFormat="1" s="34"/>
    <row r="1407" customFormat="1" s="34"/>
    <row r="1408" customFormat="1" s="34"/>
    <row r="1409" customFormat="1" s="34"/>
    <row r="1410" customFormat="1" s="34"/>
    <row r="1411" customFormat="1" s="34"/>
    <row r="1412" customFormat="1" s="34"/>
    <row r="1413" customFormat="1" s="34"/>
    <row r="1414" customFormat="1" s="34"/>
    <row r="1415" customFormat="1" s="34"/>
    <row r="1416" customFormat="1" s="34"/>
    <row r="1417" customFormat="1" s="34"/>
    <row r="1418" customFormat="1" s="34"/>
    <row r="1419" customFormat="1" s="34"/>
    <row r="1420" customFormat="1" s="34"/>
    <row r="1421" customFormat="1" s="34"/>
    <row r="1422" customFormat="1" s="34"/>
    <row r="1423" customFormat="1" s="34"/>
    <row r="1424" customFormat="1" s="34"/>
    <row r="1425" customFormat="1" s="34"/>
    <row r="1426" customFormat="1" s="34"/>
    <row r="1427" customFormat="1" s="34"/>
    <row r="1428" customFormat="1" s="34"/>
    <row r="1429" customFormat="1" s="34"/>
    <row r="1430" customFormat="1" s="34"/>
    <row r="1431" customFormat="1" s="34"/>
    <row r="1432" customFormat="1" s="34"/>
    <row r="1433" customFormat="1" s="34"/>
    <row r="1434" customFormat="1" s="34"/>
    <row r="1435" customFormat="1" s="34"/>
    <row r="1436" customFormat="1" s="34"/>
    <row r="1437" customFormat="1" s="34"/>
    <row r="1438" customFormat="1" s="34"/>
    <row r="1439" customFormat="1" s="34"/>
    <row r="1440" customFormat="1" s="34"/>
    <row r="1441" customFormat="1" s="34"/>
    <row r="1442" customFormat="1" s="34"/>
    <row r="1443" customFormat="1" s="34"/>
    <row r="1444" customFormat="1" s="34"/>
    <row r="1445" customFormat="1" s="34"/>
    <row r="1446" customFormat="1" s="34"/>
    <row r="1447" customFormat="1" s="34"/>
    <row r="1448" customFormat="1" s="34"/>
    <row r="1449" customFormat="1" s="34"/>
    <row r="1450" customFormat="1" s="34"/>
    <row r="1451" customFormat="1" s="34"/>
    <row r="1452" customFormat="1" s="34"/>
    <row r="1453" customFormat="1" s="34"/>
    <row r="1454" customFormat="1" s="34"/>
    <row r="1455" customFormat="1" s="34"/>
    <row r="1456" customFormat="1" s="34"/>
    <row r="1457" customFormat="1" s="34"/>
    <row r="1458" customFormat="1" s="34"/>
    <row r="1459" customFormat="1" s="34"/>
    <row r="1460" customFormat="1" s="34"/>
    <row r="1461" customFormat="1" s="34"/>
    <row r="1462" customFormat="1" s="34"/>
    <row r="1463" customFormat="1" s="34"/>
    <row r="1464" customFormat="1" s="34"/>
    <row r="1465" customFormat="1" s="34"/>
    <row r="1466" customFormat="1" s="34"/>
    <row r="1467" customFormat="1" s="34"/>
    <row r="1468" customFormat="1" s="34"/>
    <row r="1469" customFormat="1" s="34"/>
    <row r="1470" customFormat="1" s="34"/>
    <row r="1471" customFormat="1" s="34"/>
    <row r="1472" customFormat="1" s="34"/>
    <row r="1473" customFormat="1" s="34"/>
    <row r="1474" customFormat="1" s="34"/>
    <row r="1475" customFormat="1" s="34"/>
    <row r="1476" customFormat="1" s="34"/>
    <row r="1477" customFormat="1" s="34"/>
    <row r="1478" customFormat="1" s="34"/>
    <row r="1479" customFormat="1" s="34"/>
    <row r="1480" customFormat="1" s="34"/>
    <row r="1481" customFormat="1" s="34"/>
    <row r="1482" customFormat="1" s="34"/>
    <row r="1483" customFormat="1" s="34"/>
    <row r="1484" customFormat="1" s="34"/>
    <row r="1485" customFormat="1" s="34"/>
    <row r="1486" customFormat="1" s="34"/>
    <row r="1487" customFormat="1" s="34"/>
    <row r="1488" customFormat="1" s="34"/>
    <row r="1489" customFormat="1" s="34"/>
    <row r="1490" customFormat="1" s="34"/>
    <row r="1491" customFormat="1" s="34"/>
    <row r="1492" customFormat="1" s="34"/>
    <row r="1493" customFormat="1" s="34"/>
    <row r="1494" customFormat="1" s="34"/>
    <row r="1495" customFormat="1" s="34"/>
    <row r="1496" customFormat="1" s="34"/>
    <row r="1497" customFormat="1" s="34"/>
    <row r="1498" customFormat="1" s="34"/>
    <row r="1499" customFormat="1" s="34"/>
    <row r="1500" customFormat="1" s="34"/>
    <row r="1501" customFormat="1" s="34"/>
    <row r="1502" customFormat="1" s="34"/>
    <row r="1503" customFormat="1" s="34"/>
    <row r="1504" customFormat="1" s="34"/>
    <row r="1505" customFormat="1" s="34"/>
    <row r="1506" customFormat="1" s="34"/>
    <row r="1507" customFormat="1" s="34"/>
    <row r="1508" customFormat="1" s="34"/>
    <row r="1509" customFormat="1" s="34"/>
    <row r="1510" customFormat="1" s="34"/>
    <row r="1511" customFormat="1" s="34"/>
    <row r="1512" customFormat="1" s="34"/>
    <row r="1513" customFormat="1" s="34"/>
    <row r="1514" customFormat="1" s="34"/>
    <row r="1515" customFormat="1" s="34"/>
    <row r="1516" customFormat="1" s="34"/>
    <row r="1517" customFormat="1" s="34"/>
    <row r="1518" customFormat="1" s="34"/>
    <row r="1519" customFormat="1" s="34"/>
    <row r="1520" customFormat="1" s="34"/>
    <row r="1521" customFormat="1" s="34"/>
    <row r="1522" customFormat="1" s="34"/>
    <row r="1523" customFormat="1" s="34"/>
    <row r="1524" customFormat="1" s="34"/>
    <row r="1525" customFormat="1" s="34"/>
    <row r="1526" customFormat="1" s="34"/>
    <row r="1527" customFormat="1" s="34"/>
    <row r="1528" customFormat="1" s="34"/>
    <row r="1529" customFormat="1" s="34"/>
    <row r="1530" customFormat="1" s="34"/>
    <row r="1531" customFormat="1" s="34"/>
    <row r="1532" customFormat="1" s="34"/>
    <row r="1533" customFormat="1" s="34"/>
    <row r="1534" customFormat="1" s="34"/>
    <row r="1535" customFormat="1" s="34"/>
    <row r="1536" customFormat="1" s="34"/>
    <row r="1537" customFormat="1" s="34"/>
    <row r="1538" customFormat="1" s="34"/>
    <row r="1539" customFormat="1" s="34"/>
    <row r="1540" customFormat="1" s="34"/>
    <row r="1541" customFormat="1" s="34"/>
    <row r="1542" customFormat="1" s="34"/>
    <row r="1543" customFormat="1" s="34"/>
    <row r="1544" customFormat="1" s="34"/>
    <row r="1545" customFormat="1" s="34"/>
    <row r="1546" customFormat="1" s="34"/>
    <row r="1547" customFormat="1" s="34"/>
    <row r="1548" customFormat="1" s="34"/>
    <row r="1549" customFormat="1" s="34"/>
    <row r="1550" customFormat="1" s="34"/>
    <row r="1551" customFormat="1" s="34"/>
    <row r="1552" customFormat="1" s="34"/>
    <row r="1553" customFormat="1" s="34"/>
    <row r="1554" customFormat="1" s="34"/>
    <row r="1555" customFormat="1" s="34"/>
    <row r="1556" customFormat="1" s="34"/>
    <row r="1557" customFormat="1" s="34"/>
    <row r="1558" customFormat="1" s="34"/>
    <row r="1559" customFormat="1" s="34"/>
    <row r="1560" customFormat="1" s="34"/>
    <row r="1561" customFormat="1" s="34"/>
    <row r="1562" customFormat="1" s="34"/>
    <row r="1563" customFormat="1" s="34"/>
    <row r="1564" customFormat="1" s="34"/>
    <row r="1565" customFormat="1" s="34"/>
    <row r="1566" customFormat="1" s="34"/>
    <row r="1567" customFormat="1" s="34"/>
    <row r="1568" customFormat="1" s="34"/>
    <row r="1569" customFormat="1" s="34"/>
    <row r="1570" customFormat="1" s="34"/>
    <row r="1571" customFormat="1" s="34"/>
    <row r="1572" customFormat="1" s="34"/>
    <row r="1573" customFormat="1" s="34"/>
    <row r="1574" customFormat="1" s="34"/>
    <row r="1575" customFormat="1" s="34"/>
    <row r="1576" customFormat="1" s="34"/>
    <row r="1577" customFormat="1" s="34"/>
    <row r="1578" customFormat="1" s="34"/>
    <row r="1579" customFormat="1" s="34"/>
    <row r="1580" customFormat="1" s="34"/>
    <row r="1581" customFormat="1" s="34"/>
    <row r="1582" customFormat="1" s="34"/>
    <row r="1583" customFormat="1" s="34"/>
    <row r="1584" customFormat="1" s="34"/>
    <row r="1585" customFormat="1" s="34"/>
    <row r="1586" customFormat="1" s="34"/>
    <row r="1587" customFormat="1" s="34"/>
    <row r="1588" customFormat="1" s="34"/>
    <row r="1589" customFormat="1" s="34"/>
    <row r="1590" customFormat="1" s="34"/>
    <row r="1591" customFormat="1" s="34"/>
    <row r="1592" customFormat="1" s="34"/>
    <row r="1593" customFormat="1" s="34"/>
    <row r="1594" customFormat="1" s="34"/>
    <row r="1595" customFormat="1" s="34"/>
    <row r="1596" customFormat="1" s="34"/>
    <row r="1597" customFormat="1" s="34"/>
    <row r="1598" customFormat="1" s="34"/>
    <row r="1599" customFormat="1" s="34"/>
    <row r="1600" customFormat="1" s="34"/>
    <row r="1601" customFormat="1" s="34"/>
    <row r="1602" customFormat="1" s="34"/>
    <row r="1603" customFormat="1" s="34"/>
    <row r="1604" customFormat="1" s="34"/>
    <row r="1605" customFormat="1" s="34"/>
    <row r="1606" customFormat="1" s="34"/>
    <row r="1607" customFormat="1" s="34"/>
    <row r="1608" customFormat="1" s="34"/>
    <row r="1609" customFormat="1" s="34"/>
    <row r="1610" customFormat="1" s="34"/>
    <row r="1611" customFormat="1" s="34"/>
    <row r="1612" customFormat="1" s="34"/>
    <row r="1613" customFormat="1" s="34"/>
    <row r="1614" customFormat="1" s="34"/>
    <row r="1615" customFormat="1" s="34"/>
    <row r="1616" customFormat="1" s="34"/>
    <row r="1617" customFormat="1" s="34"/>
    <row r="1618" customFormat="1" s="34"/>
    <row r="1619" customFormat="1" s="34"/>
    <row r="1620" customFormat="1" s="34"/>
    <row r="1621" customFormat="1" s="34"/>
    <row r="1622" customFormat="1" s="34"/>
    <row r="1623" customFormat="1" s="34"/>
    <row r="1624" customFormat="1" s="34"/>
    <row r="1625" customFormat="1" s="34"/>
    <row r="1626" customFormat="1" s="34"/>
    <row r="1627" customFormat="1" s="34"/>
    <row r="1628" customFormat="1" s="34"/>
    <row r="1629" customFormat="1" s="34"/>
    <row r="1630" customFormat="1" s="34"/>
    <row r="1631" customFormat="1" s="34"/>
    <row r="1632" customFormat="1" s="34"/>
    <row r="1633" customFormat="1" s="34"/>
    <row r="1634" customFormat="1" s="34"/>
    <row r="1635" customFormat="1" s="34"/>
    <row r="1636" customFormat="1" s="34"/>
    <row r="1637" customFormat="1" s="34"/>
    <row r="1638" customFormat="1" s="34"/>
    <row r="1639" customFormat="1" s="34"/>
    <row r="1640" customFormat="1" s="34"/>
    <row r="1641" customFormat="1" s="34"/>
    <row r="1642" customFormat="1" s="34"/>
    <row r="1643" customFormat="1" s="34"/>
    <row r="1644" customFormat="1" s="34"/>
    <row r="1645" customFormat="1" s="34"/>
    <row r="1646" customFormat="1" s="34"/>
    <row r="1647" customFormat="1" s="34"/>
    <row r="1648" customFormat="1" s="34"/>
    <row r="1649" customFormat="1" s="34"/>
    <row r="1650" customFormat="1" s="34"/>
    <row r="1651" customFormat="1" s="34"/>
    <row r="1652" customFormat="1" s="34"/>
    <row r="1653" customFormat="1" s="34"/>
    <row r="1654" customFormat="1" s="34"/>
    <row r="1655" customFormat="1" s="34"/>
    <row r="1656" customFormat="1" s="34"/>
    <row r="1657" customFormat="1" s="34"/>
    <row r="1658" customFormat="1" s="34"/>
    <row r="1659" customFormat="1" s="34"/>
    <row r="1660" customFormat="1" s="34"/>
    <row r="1661" customFormat="1" s="34"/>
    <row r="1662" customFormat="1" s="34"/>
    <row r="1663" customFormat="1" s="34"/>
    <row r="1664" customFormat="1" s="34"/>
    <row r="1665" customFormat="1" s="34"/>
    <row r="1666" customFormat="1" s="34"/>
    <row r="1667" customFormat="1" s="34"/>
    <row r="1668" customFormat="1" s="34"/>
    <row r="1669" customFormat="1" s="34"/>
    <row r="1670" customFormat="1" s="34"/>
    <row r="1671" customFormat="1" s="34"/>
    <row r="1672" customFormat="1" s="34"/>
    <row r="1673" customFormat="1" s="34"/>
    <row r="1674" customFormat="1" s="34"/>
    <row r="1675" customFormat="1" s="34"/>
    <row r="1676" customFormat="1" s="34"/>
    <row r="1677" customFormat="1" s="34"/>
    <row r="1678" customFormat="1" s="34"/>
    <row r="1679" customFormat="1" s="34"/>
    <row r="1680" customFormat="1" s="34"/>
    <row r="1681" customFormat="1" s="34"/>
    <row r="1682" customFormat="1" s="34"/>
    <row r="1683" customFormat="1" s="34"/>
    <row r="1684" customFormat="1" s="34"/>
    <row r="1685" customFormat="1" s="34"/>
    <row r="1686" customFormat="1" s="34"/>
    <row r="1687" customFormat="1" s="34"/>
    <row r="1688" customFormat="1" s="34"/>
    <row r="1689" customFormat="1" s="34"/>
    <row r="1690" customFormat="1" s="34"/>
    <row r="1691" customFormat="1" s="34"/>
    <row r="1692" customFormat="1" s="34"/>
    <row r="1693" customFormat="1" s="34"/>
    <row r="1694" customFormat="1" s="34"/>
    <row r="1695" customFormat="1" s="34"/>
    <row r="1696" customFormat="1" s="34"/>
    <row r="1697" customFormat="1" s="34"/>
    <row r="1698" customFormat="1" s="34"/>
    <row r="1699" customFormat="1" s="34"/>
    <row r="1700" customFormat="1" s="34"/>
    <row r="1701" customFormat="1" s="34"/>
    <row r="1702" customFormat="1" s="34"/>
    <row r="1703" customFormat="1" s="34"/>
    <row r="1704" customFormat="1" s="34"/>
    <row r="1705" customFormat="1" s="34"/>
    <row r="1706" customFormat="1" s="34"/>
    <row r="1707" customFormat="1" s="34"/>
    <row r="1708" customFormat="1" s="34"/>
    <row r="1709" customFormat="1" s="34"/>
    <row r="1710" customFormat="1" s="34"/>
    <row r="1711" customFormat="1" s="34"/>
    <row r="1712" customFormat="1" s="34"/>
    <row r="1713" customFormat="1" s="34"/>
    <row r="1714" customFormat="1" s="34"/>
    <row r="1715" customFormat="1" s="34"/>
    <row r="1716" customFormat="1" s="34"/>
    <row r="1717" customFormat="1" s="34"/>
    <row r="1718" customFormat="1" s="34"/>
    <row r="1719" customFormat="1" s="34"/>
    <row r="1720" customFormat="1" s="34"/>
    <row r="1721" customFormat="1" s="34"/>
    <row r="1722" customFormat="1" s="34"/>
    <row r="1723" customFormat="1" s="34"/>
    <row r="1724" customFormat="1" s="34"/>
    <row r="1725" customFormat="1" s="34"/>
    <row r="1726" customFormat="1" s="34"/>
    <row r="1727" customFormat="1" s="34"/>
    <row r="1728" customFormat="1" s="34"/>
    <row r="1729" customFormat="1" s="34"/>
    <row r="1730" customFormat="1" s="34"/>
    <row r="1731" customFormat="1" s="34"/>
    <row r="1732" customFormat="1" s="34"/>
    <row r="1733" customFormat="1" s="34"/>
    <row r="1734" customFormat="1" s="34"/>
    <row r="1735" customFormat="1" s="34"/>
    <row r="1736" customFormat="1" s="34"/>
    <row r="1737" customFormat="1" s="34"/>
    <row r="1738" customFormat="1" s="34"/>
    <row r="1739" customFormat="1" s="34"/>
    <row r="1740" customFormat="1" s="34"/>
    <row r="1741" customFormat="1" s="34"/>
    <row r="1742" customFormat="1" s="34"/>
    <row r="1743" customFormat="1" s="34"/>
    <row r="1744" customFormat="1" s="34"/>
    <row r="1745" customFormat="1" s="34"/>
    <row r="1746" customFormat="1" s="34"/>
    <row r="1747" customFormat="1" s="34"/>
    <row r="1748" customFormat="1" s="34"/>
    <row r="1749" customFormat="1" s="34"/>
    <row r="1750" customFormat="1" s="34"/>
    <row r="1751" customFormat="1" s="34"/>
    <row r="1752" customFormat="1" s="34"/>
    <row r="1753" customFormat="1" s="34"/>
    <row r="1754" customFormat="1" s="34"/>
    <row r="1755" customFormat="1" s="34"/>
    <row r="1756" customFormat="1" s="34"/>
    <row r="1757" customFormat="1" s="34"/>
    <row r="1758" customFormat="1" s="34"/>
    <row r="1759" customFormat="1" s="34"/>
    <row r="1760" customFormat="1" s="34"/>
    <row r="1761" customFormat="1" s="34"/>
    <row r="1762" customFormat="1" s="34"/>
    <row r="1763" customFormat="1" s="34"/>
    <row r="1764" customFormat="1" s="34"/>
    <row r="1765" customFormat="1" s="34"/>
    <row r="1766" customFormat="1" s="34"/>
    <row r="1767" customFormat="1" s="34"/>
    <row r="1768" customFormat="1" s="34"/>
    <row r="1769" customFormat="1" s="34"/>
    <row r="1770" customFormat="1" s="34"/>
    <row r="1771" customFormat="1" s="34"/>
    <row r="1772" customFormat="1" s="34"/>
    <row r="1773" customFormat="1" s="34"/>
    <row r="1774" customFormat="1" s="34"/>
    <row r="1775" customFormat="1" s="34"/>
    <row r="1776" customFormat="1" s="34"/>
    <row r="1777" customFormat="1" s="34"/>
    <row r="1778" customFormat="1" s="34"/>
    <row r="1779" customFormat="1" s="34"/>
    <row r="1780" customFormat="1" s="34"/>
    <row r="1781" customFormat="1" s="34"/>
    <row r="1782" customFormat="1" s="34"/>
    <row r="1783" customFormat="1" s="34"/>
    <row r="1784" customFormat="1" s="34"/>
    <row r="1785" customFormat="1" s="34"/>
    <row r="1786" customFormat="1" s="34"/>
    <row r="1787" customFormat="1" s="34"/>
    <row r="1788" customFormat="1" s="34"/>
    <row r="1789" customFormat="1" s="34"/>
    <row r="1790" customFormat="1" s="34"/>
    <row r="1791" customFormat="1" s="34"/>
    <row r="1792" customFormat="1" s="34"/>
    <row r="1793" customFormat="1" s="34"/>
    <row r="1794" customFormat="1" s="34"/>
    <row r="1795" customFormat="1" s="34"/>
    <row r="1796" customFormat="1" s="34"/>
    <row r="1797" customFormat="1" s="34"/>
    <row r="1798" customFormat="1" s="34"/>
    <row r="1799" customFormat="1" s="34"/>
    <row r="1800" customFormat="1" s="34"/>
    <row r="1801" customFormat="1" s="34"/>
    <row r="1802" customFormat="1" s="34"/>
    <row r="1803" customFormat="1" s="34"/>
    <row r="1804" customFormat="1" s="34"/>
    <row r="1805" customFormat="1" s="34"/>
    <row r="1806" customFormat="1" s="34"/>
    <row r="1807" customFormat="1" s="34"/>
    <row r="1808" customFormat="1" s="34"/>
    <row r="1809" customFormat="1" s="34"/>
    <row r="1810" customFormat="1" s="34"/>
    <row r="1811" customFormat="1" s="34"/>
    <row r="1812" customFormat="1" s="34"/>
    <row r="1813" customFormat="1" s="34"/>
    <row r="1814" customFormat="1" s="34"/>
    <row r="1815" customFormat="1" s="34"/>
    <row r="1816" customFormat="1" s="34"/>
    <row r="1817" customFormat="1" s="34"/>
    <row r="1818" customFormat="1" s="34"/>
    <row r="1819" customFormat="1" s="34"/>
    <row r="1820" customFormat="1" s="34"/>
    <row r="1821" customFormat="1" s="34"/>
    <row r="1822" customFormat="1" s="34"/>
    <row r="1823" customFormat="1" s="34"/>
    <row r="1824" customFormat="1" s="34"/>
    <row r="1825" customFormat="1" s="34"/>
    <row r="1826" customFormat="1" s="34"/>
    <row r="1827" customFormat="1" s="34"/>
    <row r="1828" customFormat="1" s="34"/>
    <row r="1829" customFormat="1" s="34"/>
    <row r="1830" customFormat="1" s="34"/>
    <row r="1831" customFormat="1" s="34"/>
    <row r="1832" customFormat="1" s="34"/>
    <row r="1833" customFormat="1" s="34"/>
    <row r="1834" customFormat="1" s="34"/>
    <row r="1835" customFormat="1" s="34"/>
    <row r="1836" customFormat="1" s="34"/>
    <row r="1837" customFormat="1" s="34"/>
    <row r="1838" customFormat="1" s="34"/>
    <row r="1839" customFormat="1" s="34"/>
    <row r="1840" customFormat="1" s="34"/>
    <row r="1841" customFormat="1" s="34"/>
    <row r="1842" customFormat="1" s="34"/>
    <row r="1843" customFormat="1" s="34"/>
    <row r="1844" customFormat="1" s="34"/>
    <row r="1845" customFormat="1" s="34"/>
    <row r="1846" customFormat="1" s="34"/>
    <row r="1847" customFormat="1" s="34"/>
    <row r="1848" customFormat="1" s="34"/>
    <row r="1849" customFormat="1" s="34"/>
    <row r="1850" customFormat="1" s="34"/>
    <row r="1851" customFormat="1" s="34"/>
    <row r="1852" customFormat="1" s="34"/>
    <row r="1853" customFormat="1" s="34"/>
    <row r="1854" customFormat="1" s="34"/>
    <row r="1855" customFormat="1" s="34"/>
    <row r="1856" customFormat="1" s="34"/>
    <row r="1857" customFormat="1" s="34"/>
    <row r="1858" customFormat="1" s="34"/>
    <row r="1859" customFormat="1" s="34"/>
    <row r="1860" customFormat="1" s="34"/>
    <row r="1861" customFormat="1" s="34"/>
    <row r="1862" customFormat="1" s="34"/>
    <row r="1863" customFormat="1" s="34"/>
    <row r="1864" customFormat="1" s="34"/>
    <row r="1865" customFormat="1" s="34"/>
    <row r="1866" customFormat="1" s="34"/>
    <row r="1867" customFormat="1" s="34"/>
    <row r="1868" customFormat="1" s="34"/>
    <row r="1869" customFormat="1" s="34"/>
    <row r="1870" customFormat="1" s="34"/>
    <row r="1871" customFormat="1" s="34"/>
    <row r="1872" customFormat="1" s="34"/>
    <row r="1873" customFormat="1" s="34"/>
    <row r="1874" customFormat="1" s="34"/>
    <row r="1875" customFormat="1" s="34"/>
    <row r="1876" customFormat="1" s="34"/>
    <row r="1877" customFormat="1" s="34"/>
    <row r="1878" customFormat="1" s="34"/>
    <row r="1879" customFormat="1" s="34"/>
    <row r="1880" customFormat="1" s="34"/>
    <row r="1881" customFormat="1" s="34"/>
    <row r="1882" customFormat="1" s="34"/>
    <row r="1883" customFormat="1" s="34"/>
    <row r="1884" customFormat="1" s="34"/>
    <row r="1885" customFormat="1" s="34"/>
    <row r="1886" customFormat="1" s="34"/>
    <row r="1887" customFormat="1" s="34"/>
    <row r="1888" customFormat="1" s="34"/>
    <row r="1889" customFormat="1" s="34"/>
    <row r="1890" customFormat="1" s="34"/>
    <row r="1891" customFormat="1" s="34"/>
    <row r="1892" customFormat="1" s="34"/>
    <row r="1893" customFormat="1" s="34"/>
    <row r="1894" customFormat="1" s="34"/>
    <row r="1895" customFormat="1" s="34"/>
    <row r="1896" customFormat="1" s="34"/>
    <row r="1897" customFormat="1" s="34"/>
    <row r="1898" customFormat="1" s="34"/>
    <row r="1899" customFormat="1" s="34"/>
    <row r="1900" customFormat="1" s="34"/>
    <row r="1901" customFormat="1" s="34"/>
    <row r="1902" customFormat="1" s="34"/>
    <row r="1903" customFormat="1" s="34"/>
    <row r="1904" customFormat="1" s="34"/>
    <row r="1905" customFormat="1" s="34"/>
    <row r="1906" customFormat="1" s="34"/>
    <row r="1907" customFormat="1" s="34"/>
    <row r="1908" customFormat="1" s="34"/>
    <row r="1909" customFormat="1" s="34"/>
    <row r="1910" customFormat="1" s="34"/>
    <row r="1911" customFormat="1" s="34"/>
    <row r="1912" customFormat="1" s="34"/>
    <row r="1913" customFormat="1" s="34"/>
    <row r="1914" customFormat="1" s="34"/>
    <row r="1915" customFormat="1" s="34"/>
    <row r="1916" customFormat="1" s="34"/>
    <row r="1917" customFormat="1" s="34"/>
    <row r="1918" customFormat="1" s="34"/>
    <row r="1919" customFormat="1" s="34"/>
    <row r="1920" customFormat="1" s="34"/>
    <row r="1921" customFormat="1" s="34"/>
    <row r="1922" customFormat="1" s="34"/>
    <row r="1923" customFormat="1" s="34"/>
    <row r="1924" customFormat="1" s="34"/>
    <row r="1925" customFormat="1" s="34"/>
    <row r="1926" customFormat="1" s="34"/>
    <row r="1927" customFormat="1" s="34"/>
    <row r="1928" customFormat="1" s="34"/>
    <row r="1929" customFormat="1" s="34"/>
    <row r="1930" customFormat="1" s="34"/>
    <row r="1931" customFormat="1" s="34"/>
    <row r="1932" customFormat="1" s="34"/>
    <row r="1933" customFormat="1" s="34"/>
    <row r="1934" customFormat="1" s="34"/>
    <row r="1935" customFormat="1" s="34"/>
    <row r="1936" customFormat="1" s="34"/>
    <row r="1937" customFormat="1" s="34"/>
    <row r="1938" customFormat="1" s="34"/>
    <row r="1939" customFormat="1" s="34"/>
    <row r="1940" customFormat="1" s="34"/>
    <row r="1941" customFormat="1" s="34"/>
    <row r="1942" customFormat="1" s="34"/>
    <row r="1943" customFormat="1" s="34"/>
    <row r="1944" customFormat="1" s="34"/>
    <row r="1945" customFormat="1" s="34"/>
    <row r="1946" customFormat="1" s="34"/>
    <row r="1947" customFormat="1" s="34"/>
    <row r="1948" customFormat="1" s="34"/>
    <row r="1949" customFormat="1" s="34"/>
    <row r="1950" customFormat="1" s="34"/>
    <row r="1951" customFormat="1" s="34"/>
    <row r="1952" customFormat="1" s="34"/>
    <row r="1953" customFormat="1" s="34"/>
    <row r="1954" customFormat="1" s="34"/>
    <row r="1955" customFormat="1" s="34"/>
    <row r="1956" customFormat="1" s="34"/>
    <row r="1957" customFormat="1" s="34"/>
    <row r="1958" customFormat="1" s="34"/>
    <row r="1959" customFormat="1" s="34"/>
    <row r="1960" customFormat="1" s="34"/>
    <row r="1961" customFormat="1" s="34"/>
    <row r="1962" customFormat="1" s="34"/>
    <row r="1963" customFormat="1" s="34"/>
    <row r="1964" customFormat="1" s="34"/>
    <row r="1965" customFormat="1" s="34"/>
    <row r="1966" customFormat="1" s="34"/>
    <row r="1967" customFormat="1" s="34"/>
    <row r="1968" customFormat="1" s="34"/>
    <row r="1969" customFormat="1" s="34"/>
    <row r="1970" customFormat="1" s="34"/>
    <row r="1971" customFormat="1" s="34"/>
    <row r="1972" customFormat="1" s="34"/>
    <row r="1973" customFormat="1" s="34"/>
    <row r="1974" customFormat="1" s="34"/>
    <row r="1975" customFormat="1" s="34"/>
    <row r="1976" customFormat="1" s="34"/>
    <row r="1977" customFormat="1" s="34"/>
    <row r="1978" customFormat="1" s="34"/>
    <row r="1979" customFormat="1" s="34"/>
    <row r="1980" customFormat="1" s="34"/>
    <row r="1981" customFormat="1" s="34"/>
    <row r="1982" customFormat="1" s="34"/>
    <row r="1983" customFormat="1" s="34"/>
    <row r="1984" customFormat="1" s="34"/>
    <row r="1985" customFormat="1" s="34"/>
    <row r="1986" customFormat="1" s="34"/>
    <row r="1987" customFormat="1" s="34"/>
    <row r="1988" customFormat="1" s="34"/>
    <row r="1989" customFormat="1" s="34"/>
    <row r="1990" customFormat="1" s="34"/>
    <row r="1991" customFormat="1" s="34"/>
    <row r="1992" customFormat="1" s="34"/>
    <row r="1993" customFormat="1" s="34"/>
    <row r="1994" customFormat="1" s="34"/>
    <row r="1995" customFormat="1" s="34"/>
    <row r="1996" customFormat="1" s="34"/>
    <row r="1997" customFormat="1" s="34"/>
    <row r="1998" customFormat="1" s="34"/>
    <row r="1999" customFormat="1" s="34"/>
    <row r="2000" customFormat="1" s="34"/>
  </sheetData>
  <autoFilter ref="A1:V185">
    <filterColumn colId="15">
      <filters>
        <filter val="Deal Won"/>
      </filters>
    </filterColumn>
  </autoFilter>
  <hyperlinks>
    <hyperlink ref="D2" r:id="rId1"/>
    <hyperlink ref="F2" r:id="rId2"/>
    <hyperlink ref="D3" r:id="rId3"/>
    <hyperlink ref="F3" r:id="rId4"/>
    <hyperlink ref="U3" r:id="rId5"/>
    <hyperlink ref="D4" r:id="rId6"/>
    <hyperlink ref="F4" r:id="rId7"/>
    <hyperlink ref="U4" r:id="rId8"/>
    <hyperlink ref="D5" r:id="rId9"/>
    <hyperlink ref="F5" r:id="rId10"/>
    <hyperlink ref="U5" r:id="rId11"/>
    <hyperlink ref="W5" r:id="rId12"/>
    <hyperlink ref="D6" r:id="rId13"/>
    <hyperlink ref="F6" r:id="rId14"/>
    <hyperlink ref="L6" r:id="rId15"/>
    <hyperlink ref="U6" r:id="rId16"/>
    <hyperlink ref="D7" r:id="rId17"/>
    <hyperlink ref="F7" r:id="rId18"/>
    <hyperlink ref="L7" r:id="rId19"/>
    <hyperlink ref="U7" r:id="rId20"/>
    <hyperlink ref="D8" r:id="rId21"/>
    <hyperlink ref="F8" r:id="rId22"/>
    <hyperlink ref="U8" r:id="rId23"/>
    <hyperlink ref="D9" r:id="rId24"/>
    <hyperlink ref="F9" r:id="rId25"/>
    <hyperlink ref="U9" r:id="rId26"/>
    <hyperlink ref="D10" r:id="rId27"/>
    <hyperlink ref="F10" r:id="rId28"/>
    <hyperlink ref="U10" r:id="rId29"/>
    <hyperlink ref="D11" r:id="rId30"/>
    <hyperlink ref="F11" r:id="rId31"/>
    <hyperlink ref="U11" r:id="rId32"/>
    <hyperlink ref="D12" r:id="rId33"/>
    <hyperlink ref="F12" r:id="rId34"/>
    <hyperlink ref="L12" r:id="rId35"/>
    <hyperlink ref="U12" r:id="rId36"/>
    <hyperlink ref="D13" r:id="rId37"/>
    <hyperlink ref="F13" r:id="rId38"/>
    <hyperlink ref="L13" r:id="rId39"/>
    <hyperlink ref="U13" r:id="rId40"/>
    <hyperlink ref="F14" r:id="rId41"/>
    <hyperlink ref="T14" r:id="rId42"/>
    <hyperlink ref="U14" r:id="rId43"/>
    <hyperlink ref="D15" r:id="rId44"/>
    <hyperlink ref="F15" r:id="rId45"/>
    <hyperlink ref="L15" r:id="rId46"/>
    <hyperlink ref="D16" r:id="rId47"/>
    <hyperlink ref="F16" r:id="rId48"/>
    <hyperlink ref="L16" r:id="rId49"/>
    <hyperlink ref="U16" r:id="rId50"/>
    <hyperlink ref="W16" r:id="rId51"/>
    <hyperlink ref="D17" r:id="rId52"/>
    <hyperlink ref="F17" r:id="rId53"/>
    <hyperlink ref="D18" r:id="rId54"/>
    <hyperlink ref="F18" r:id="rId55"/>
    <hyperlink ref="D19" r:id="rId56"/>
    <hyperlink ref="F19" r:id="rId57"/>
    <hyperlink ref="D20" r:id="rId58"/>
    <hyperlink ref="F20" r:id="rId59"/>
    <hyperlink ref="D21" r:id="rId60"/>
    <hyperlink ref="F21" r:id="rId61"/>
    <hyperlink ref="L21" r:id="rId62"/>
    <hyperlink ref="T21" r:id="rId63"/>
    <hyperlink ref="U21" r:id="rId64"/>
    <hyperlink ref="W21" r:id="rId65"/>
    <hyperlink ref="D22" r:id="rId66"/>
    <hyperlink ref="F22" r:id="rId67"/>
    <hyperlink ref="L22" r:id="rId68"/>
    <hyperlink ref="D23" r:id="rId69"/>
    <hyperlink ref="F23" r:id="rId70"/>
    <hyperlink ref="L23" r:id="rId71"/>
    <hyperlink ref="T23" r:id="rId72"/>
    <hyperlink ref="U23" r:id="rId73"/>
    <hyperlink ref="W23" r:id="rId74"/>
    <hyperlink ref="D24" r:id="rId75"/>
    <hyperlink ref="F24" r:id="rId76"/>
    <hyperlink ref="L24" r:id="rId77"/>
    <hyperlink ref="D25" r:id="rId78"/>
    <hyperlink ref="F25" r:id="rId79"/>
    <hyperlink ref="U25" r:id="rId80"/>
    <hyperlink ref="D26" r:id="rId81"/>
    <hyperlink ref="F26" r:id="rId82"/>
    <hyperlink ref="D27" r:id="rId83"/>
    <hyperlink ref="F27" r:id="rId84"/>
    <hyperlink ref="T27" r:id="rId85"/>
    <hyperlink ref="W27" r:id="rId86"/>
    <hyperlink ref="D28" r:id="rId87"/>
    <hyperlink ref="F28" r:id="rId88"/>
    <hyperlink ref="U28" r:id="rId89"/>
    <hyperlink ref="D29" r:id="rId90"/>
    <hyperlink ref="F29" r:id="rId91"/>
    <hyperlink ref="D30" r:id="rId92"/>
    <hyperlink ref="F30" r:id="rId93"/>
    <hyperlink ref="L30" r:id="rId94"/>
    <hyperlink ref="U30" r:id="rId95"/>
    <hyperlink ref="D31" r:id="rId96"/>
    <hyperlink ref="F31" r:id="rId97"/>
    <hyperlink ref="U31" r:id="rId98"/>
    <hyperlink ref="D32" r:id="rId99"/>
    <hyperlink ref="F32" r:id="rId100"/>
    <hyperlink ref="U32" r:id="rId101"/>
    <hyperlink ref="D33" r:id="rId102"/>
    <hyperlink ref="F33" r:id="rId103"/>
    <hyperlink ref="L33" r:id="rId104"/>
    <hyperlink ref="U33" r:id="rId105"/>
    <hyperlink ref="D34" r:id="rId106"/>
    <hyperlink ref="F34" r:id="rId107"/>
    <hyperlink ref="L34" r:id="rId108"/>
    <hyperlink ref="U34" r:id="rId109"/>
    <hyperlink ref="D35" r:id="rId110"/>
    <hyperlink ref="F35" r:id="rId111"/>
    <hyperlink ref="U35" r:id="rId112"/>
    <hyperlink ref="D36" r:id="rId113"/>
    <hyperlink ref="F36" r:id="rId114"/>
    <hyperlink ref="U36" r:id="rId115"/>
    <hyperlink ref="D37" r:id="rId116"/>
    <hyperlink ref="F37" r:id="rId117"/>
    <hyperlink ref="U37" r:id="rId118"/>
    <hyperlink ref="D38" r:id="rId119"/>
    <hyperlink ref="F38" r:id="rId120"/>
    <hyperlink ref="D39" r:id="rId121"/>
    <hyperlink ref="F39" r:id="rId122"/>
    <hyperlink ref="U39" r:id="rId123"/>
    <hyperlink ref="D40" r:id="rId124"/>
    <hyperlink ref="F40" r:id="rId125"/>
    <hyperlink ref="L40" r:id="rId126"/>
    <hyperlink ref="U40" r:id="rId127"/>
    <hyperlink ref="D41" r:id="rId128"/>
    <hyperlink ref="F41" r:id="rId129"/>
    <hyperlink ref="U41" r:id="rId130"/>
    <hyperlink ref="D42" r:id="rId131"/>
    <hyperlink ref="F42" r:id="rId132"/>
    <hyperlink ref="D43" r:id="rId133"/>
    <hyperlink ref="F43" r:id="rId134"/>
    <hyperlink ref="W43" r:id="rId135"/>
    <hyperlink ref="D44" r:id="rId136"/>
    <hyperlink ref="F44" r:id="rId137"/>
    <hyperlink ref="D45" r:id="rId138"/>
    <hyperlink ref="F45" r:id="rId139"/>
    <hyperlink ref="D46" r:id="rId140"/>
    <hyperlink ref="F46" r:id="rId141"/>
    <hyperlink ref="U46" r:id="rId142"/>
    <hyperlink ref="D47" r:id="rId143"/>
    <hyperlink ref="F47" r:id="rId144"/>
    <hyperlink ref="L47" r:id="rId145"/>
    <hyperlink ref="U47" r:id="rId146"/>
    <hyperlink ref="W47" r:id="rId147"/>
    <hyperlink ref="D48" r:id="rId148"/>
    <hyperlink ref="F48" r:id="rId149"/>
    <hyperlink ref="U48" r:id="rId150"/>
    <hyperlink ref="D49" r:id="rId151"/>
    <hyperlink ref="F49" r:id="rId152"/>
    <hyperlink ref="U49" r:id="rId153"/>
    <hyperlink ref="D50" r:id="rId154"/>
    <hyperlink ref="F50" r:id="rId155"/>
    <hyperlink ref="L50" r:id="rId156"/>
    <hyperlink ref="T50" r:id="rId157"/>
    <hyperlink ref="U50" r:id="rId158"/>
    <hyperlink ref="D51" r:id="rId159"/>
    <hyperlink ref="F51" r:id="rId160"/>
    <hyperlink ref="D52" r:id="rId161"/>
    <hyperlink ref="F52" r:id="rId162"/>
    <hyperlink ref="L52" r:id="rId163"/>
    <hyperlink ref="U52" r:id="rId164"/>
    <hyperlink ref="W53" r:id="rId165"/>
    <hyperlink ref="D54" r:id="rId166"/>
    <hyperlink ref="F54" r:id="rId167"/>
    <hyperlink ref="U54" r:id="rId168"/>
    <hyperlink ref="D55" r:id="rId169"/>
    <hyperlink ref="F55" r:id="rId170"/>
    <hyperlink ref="W55" r:id="rId171"/>
    <hyperlink ref="D56" r:id="rId172"/>
    <hyperlink ref="F56" r:id="rId173"/>
    <hyperlink ref="D57" r:id="rId174"/>
    <hyperlink ref="F57" r:id="rId175"/>
    <hyperlink ref="D58" r:id="rId176"/>
    <hyperlink ref="F58" r:id="rId177"/>
    <hyperlink ref="L58" r:id="rId178"/>
    <hyperlink ref="U58" r:id="rId179"/>
    <hyperlink ref="D59" r:id="rId180"/>
    <hyperlink ref="F59" r:id="rId181"/>
    <hyperlink ref="U59" r:id="rId182"/>
    <hyperlink ref="D60" r:id="rId183"/>
    <hyperlink ref="F60" r:id="rId184"/>
    <hyperlink ref="U60" r:id="rId185"/>
    <hyperlink ref="D61" r:id="rId186"/>
    <hyperlink ref="F61" r:id="rId187"/>
    <hyperlink ref="U61" r:id="rId188"/>
    <hyperlink ref="D62" r:id="rId189"/>
    <hyperlink ref="F62" r:id="rId190"/>
    <hyperlink ref="L62" r:id="rId191"/>
    <hyperlink ref="U62" r:id="rId192"/>
    <hyperlink ref="D63" r:id="rId193"/>
    <hyperlink ref="F63" r:id="rId194"/>
    <hyperlink ref="U63" r:id="rId195"/>
    <hyperlink ref="F64" r:id="rId196"/>
    <hyperlink ref="U64" r:id="rId197"/>
    <hyperlink ref="D65" r:id="rId198"/>
    <hyperlink ref="F65" r:id="rId199"/>
    <hyperlink ref="L65" r:id="rId200"/>
    <hyperlink ref="D66" r:id="rId201"/>
    <hyperlink ref="F66" r:id="rId202"/>
    <hyperlink ref="D67" r:id="rId203"/>
    <hyperlink ref="F67" r:id="rId204"/>
    <hyperlink ref="D68" r:id="rId205"/>
    <hyperlink ref="F68" r:id="rId206"/>
    <hyperlink ref="U68" r:id="rId207"/>
    <hyperlink ref="D69" r:id="rId208"/>
    <hyperlink ref="F69" r:id="rId209"/>
    <hyperlink ref="U69" r:id="rId210"/>
    <hyperlink ref="D70" r:id="rId211"/>
    <hyperlink ref="F70" r:id="rId212"/>
    <hyperlink ref="D71" r:id="rId213"/>
    <hyperlink ref="F71" r:id="rId214"/>
    <hyperlink ref="D72" r:id="rId215"/>
    <hyperlink ref="F72" r:id="rId216"/>
    <hyperlink ref="L72" r:id="rId217"/>
    <hyperlink ref="U72" r:id="rId218"/>
    <hyperlink ref="D73" r:id="rId219"/>
    <hyperlink ref="F73" r:id="rId220"/>
    <hyperlink ref="U73" r:id="rId221"/>
    <hyperlink ref="D74" r:id="rId222"/>
    <hyperlink ref="F74" r:id="rId223"/>
    <hyperlink ref="L74" r:id="rId224"/>
    <hyperlink ref="U74" r:id="rId225"/>
    <hyperlink ref="D75" r:id="rId226"/>
    <hyperlink ref="F75" r:id="rId227"/>
    <hyperlink ref="L75" r:id="rId228"/>
    <hyperlink ref="D76" r:id="rId229"/>
    <hyperlink ref="F76" r:id="rId230"/>
    <hyperlink ref="L76" r:id="rId231"/>
    <hyperlink ref="D77" r:id="rId232"/>
    <hyperlink ref="F77" r:id="rId233"/>
    <hyperlink ref="L77" r:id="rId234"/>
    <hyperlink ref="D78" r:id="rId235"/>
    <hyperlink ref="D79" r:id="rId236"/>
    <hyperlink ref="F79" r:id="rId237"/>
    <hyperlink ref="U79" r:id="rId238"/>
    <hyperlink ref="D80" r:id="rId239"/>
    <hyperlink ref="F80" r:id="rId240"/>
    <hyperlink ref="U80" r:id="rId241"/>
    <hyperlink ref="D81" r:id="rId242"/>
    <hyperlink ref="F81" r:id="rId243"/>
    <hyperlink ref="L81" r:id="rId244"/>
    <hyperlink ref="D82" r:id="rId245"/>
    <hyperlink ref="F82" r:id="rId246"/>
    <hyperlink ref="L82" r:id="rId247"/>
    <hyperlink ref="D83" r:id="rId248"/>
    <hyperlink ref="F83" r:id="rId249"/>
    <hyperlink ref="L83" r:id="rId250"/>
    <hyperlink ref="U83" r:id="rId251"/>
    <hyperlink ref="D84" r:id="rId252"/>
    <hyperlink ref="F84" r:id="rId253"/>
    <hyperlink ref="U84" r:id="rId254"/>
    <hyperlink ref="W84" r:id="rId255"/>
    <hyperlink ref="D85" r:id="rId256"/>
    <hyperlink ref="F85" r:id="rId257"/>
    <hyperlink ref="D86" r:id="rId258"/>
    <hyperlink ref="F86" r:id="rId259"/>
    <hyperlink ref="D87" r:id="rId260"/>
    <hyperlink ref="F87" r:id="rId261"/>
    <hyperlink ref="D88" r:id="rId262"/>
    <hyperlink ref="F88" r:id="rId263"/>
    <hyperlink ref="L88" r:id="rId264"/>
    <hyperlink ref="U88" r:id="rId265"/>
    <hyperlink ref="W88" r:id="rId266"/>
    <hyperlink ref="D89" r:id="rId267"/>
    <hyperlink ref="F89" r:id="rId268"/>
    <hyperlink ref="L89" r:id="rId269"/>
    <hyperlink ref="U89" r:id="rId270"/>
    <hyperlink ref="D90" r:id="rId271"/>
    <hyperlink ref="F90" r:id="rId272"/>
    <hyperlink ref="D91" r:id="rId273"/>
    <hyperlink ref="F91" r:id="rId274"/>
    <hyperlink ref="L91" r:id="rId275"/>
    <hyperlink ref="U91" r:id="rId276"/>
    <hyperlink ref="D92" r:id="rId277"/>
    <hyperlink ref="F92" r:id="rId278"/>
    <hyperlink ref="U92" r:id="rId279"/>
    <hyperlink ref="D93" r:id="rId280"/>
    <hyperlink ref="F93" r:id="rId281"/>
    <hyperlink ref="U93" r:id="rId282"/>
    <hyperlink ref="D94" r:id="rId283"/>
    <hyperlink ref="D95" r:id="rId284"/>
    <hyperlink ref="F95" r:id="rId285"/>
    <hyperlink ref="L95" r:id="rId286"/>
    <hyperlink ref="U95" r:id="rId287"/>
    <hyperlink ref="D96" r:id="rId288"/>
    <hyperlink ref="F96" r:id="rId289"/>
    <hyperlink ref="L96" r:id="rId290"/>
    <hyperlink ref="D97" r:id="rId291"/>
    <hyperlink ref="F97" r:id="rId292"/>
    <hyperlink ref="U97" r:id="rId293"/>
    <hyperlink ref="D98" r:id="rId294"/>
    <hyperlink ref="F98" r:id="rId295"/>
    <hyperlink ref="U98" r:id="rId296"/>
    <hyperlink ref="D99" r:id="rId297"/>
    <hyperlink ref="F99" r:id="rId298"/>
  </hyperlinks>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W118"/>
  <sheetViews>
    <sheetView workbookViewId="0"/>
  </sheetViews>
  <sheetFormatPr defaultRowHeight="14.0" customHeight="1"/>
  <cols>
    <col min="1" max="1" style="34" width="10.2"/>
    <col min="2" max="2" style="34" width="9.0"/>
    <col min="3" max="3" style="34" width="12.18"/>
    <col min="4" max="4" style="34" width="38.82"/>
    <col min="5" max="6" style="34" width="13.24"/>
    <col min="7" max="7" style="34" width="62.14"/>
    <col min="8" max="8" style="34" width="53.92"/>
    <col min="9" max="10" style="34" width="13.24"/>
    <col min="11" max="11" style="34" width="16.42"/>
    <col min="12" max="12" style="34" width="13.64"/>
    <col min="13" max="13" style="34" width="27.82"/>
    <col min="14" max="14" style="34" width="21.33"/>
    <col min="15" max="15" style="34" width="16.69"/>
    <col min="16" max="19" style="34" width="13.24"/>
    <col min="20" max="20" style="34" width="49.42"/>
    <col min="21" max="21" style="34" width="51.8"/>
    <col min="22" max="22" style="34" width="36.3"/>
    <col min="23" max="23" style="34" width="57.23"/>
    <col min="24" max="2048" style="34" width="13.24"/>
  </cols>
  <sheetData>
    <row r="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62</v>
      </c>
    </row>
    <row hidden="1" r="2" ht="82.0">
      <c r="A2" s="36">
        <v>46083</v>
      </c>
      <c r="B2" s="34" t="s">
        <v>34</v>
      </c>
      <c r="C2" s="34" t="s">
        <v>63</v>
      </c>
      <c r="D2" s="37" t="s">
        <v>1196</v>
      </c>
      <c r="E2" s="34" t="s">
        <v>1220</v>
      </c>
      <c r="F2" s="38" t="s">
        <v>1221</v>
      </c>
      <c r="G2" s="60" t="s">
        <v>1222</v>
      </c>
      <c r="H2" s="34" t="s">
        <v>1223</v>
      </c>
      <c r="K2" s="34" t="s">
        <v>95</v>
      </c>
      <c r="M2" s="34" t="s">
        <v>97</v>
      </c>
      <c r="N2" s="34" t="s">
        <v>309</v>
      </c>
      <c r="O2" s="34" t="s">
        <v>84</v>
      </c>
      <c r="P2" s="34" t="s">
        <v>10</v>
      </c>
      <c r="Q2" s="34">
        <v>10.0</v>
      </c>
      <c r="S2" s="40" t="s">
        <v>134</v>
      </c>
      <c r="U2" s="34" t="s">
        <v>1224</v>
      </c>
      <c r="V2" s="34" t="s">
        <v>1225</v>
      </c>
      <c r="W2" s="38" t="s">
        <v>1226</v>
      </c>
    </row>
    <row r="3" ht="68.0">
      <c r="A3" s="36">
        <v>46083</v>
      </c>
      <c r="B3" s="34" t="s">
        <v>37</v>
      </c>
      <c r="C3" s="34" t="s">
        <v>108</v>
      </c>
      <c r="D3" s="37" t="s">
        <v>1227</v>
      </c>
      <c r="E3" s="34" t="s">
        <v>1228</v>
      </c>
      <c r="F3" s="38" t="s">
        <v>1229</v>
      </c>
      <c r="G3" s="34" t="s">
        <v>1230</v>
      </c>
      <c r="H3" s="34" t="s">
        <v>163</v>
      </c>
      <c r="I3" s="34" t="s">
        <v>140</v>
      </c>
      <c r="K3" s="34" t="s">
        <v>115</v>
      </c>
      <c r="L3" s="34" t="s">
        <v>155</v>
      </c>
      <c r="M3" s="34" t="s">
        <v>97</v>
      </c>
      <c r="N3" s="34" t="s">
        <v>71</v>
      </c>
      <c r="O3" s="34" t="s">
        <v>84</v>
      </c>
      <c r="P3" s="34" t="s">
        <v>9</v>
      </c>
      <c r="Q3" s="34">
        <v>4.0</v>
      </c>
      <c r="S3" s="40" t="s">
        <v>134</v>
      </c>
      <c r="U3" s="38" t="s">
        <v>1231</v>
      </c>
    </row>
    <row r="4" ht="82.0">
      <c r="A4" s="36">
        <v>46084</v>
      </c>
      <c r="B4" s="34" t="s">
        <v>39</v>
      </c>
      <c r="C4" s="34" t="s">
        <v>76</v>
      </c>
      <c r="D4" s="37" t="s">
        <v>1232</v>
      </c>
      <c r="E4" s="34" t="s">
        <v>78</v>
      </c>
      <c r="F4" s="38" t="s">
        <v>1233</v>
      </c>
      <c r="G4" s="34" t="s">
        <v>1234</v>
      </c>
      <c r="H4" s="34" t="s">
        <v>1235</v>
      </c>
      <c r="I4" s="34" t="s">
        <v>1236</v>
      </c>
      <c r="K4" s="34" t="s">
        <v>95</v>
      </c>
      <c r="M4" s="34" t="s">
        <v>97</v>
      </c>
      <c r="N4" s="34" t="s">
        <v>71</v>
      </c>
      <c r="O4" s="34" t="s">
        <v>98</v>
      </c>
      <c r="P4" s="34" t="s">
        <v>10</v>
      </c>
      <c r="Q4" s="34" t="s">
        <v>248</v>
      </c>
      <c r="S4" s="40" t="s">
        <v>127</v>
      </c>
      <c r="U4" s="38" t="s">
        <v>1237</v>
      </c>
      <c r="V4" s="34" t="s">
        <v>1238</v>
      </c>
    </row>
    <row r="5" ht="27.0">
      <c r="A5" s="36">
        <v>46084</v>
      </c>
      <c r="B5" s="34" t="s">
        <v>34</v>
      </c>
      <c r="C5" s="34" t="s">
        <v>63</v>
      </c>
      <c r="D5" s="37" t="s">
        <v>1239</v>
      </c>
      <c r="E5" s="34" t="s">
        <v>1240</v>
      </c>
      <c r="F5" s="38" t="s">
        <v>1241</v>
      </c>
      <c r="G5" s="34" t="s">
        <v>1242</v>
      </c>
      <c r="K5" s="34" t="s">
        <v>69</v>
      </c>
      <c r="M5" s="34" t="s">
        <v>97</v>
      </c>
      <c r="N5" s="34" t="s">
        <v>71</v>
      </c>
      <c r="O5" s="34" t="s">
        <v>98</v>
      </c>
      <c r="P5" s="34" t="s">
        <v>395</v>
      </c>
      <c r="Q5" s="34">
        <v>20.0</v>
      </c>
      <c r="S5" s="40" t="s">
        <v>85</v>
      </c>
      <c r="U5" s="34" t="s">
        <v>85</v>
      </c>
    </row>
    <row r="6" ht="41.0">
      <c r="A6" s="36">
        <v>46084</v>
      </c>
      <c r="B6" s="34" t="s">
        <v>34</v>
      </c>
      <c r="C6" s="34" t="s">
        <v>108</v>
      </c>
      <c r="D6" s="37" t="s">
        <v>1243</v>
      </c>
      <c r="E6" s="34" t="s">
        <v>1244</v>
      </c>
      <c r="F6" s="38" t="s">
        <v>1245</v>
      </c>
      <c r="G6" s="34" t="s">
        <v>1246</v>
      </c>
      <c r="H6" s="34" t="s">
        <v>163</v>
      </c>
      <c r="I6" s="34" t="s">
        <v>860</v>
      </c>
      <c r="J6" s="34" t="s">
        <v>1130</v>
      </c>
      <c r="K6" s="34" t="s">
        <v>115</v>
      </c>
      <c r="L6" s="34" t="s">
        <v>155</v>
      </c>
      <c r="M6" s="34" t="s">
        <v>83</v>
      </c>
      <c r="N6" s="34" t="s">
        <v>71</v>
      </c>
      <c r="O6" s="34" t="s">
        <v>84</v>
      </c>
      <c r="P6" s="34" t="s">
        <v>9</v>
      </c>
      <c r="Q6" s="34">
        <v>8.0</v>
      </c>
      <c r="S6" s="40" t="s">
        <v>134</v>
      </c>
      <c r="U6" s="38" t="s">
        <v>1247</v>
      </c>
    </row>
    <row r="7" ht="29.0">
      <c r="A7" s="36">
        <v>46085</v>
      </c>
      <c r="B7" s="34" t="s">
        <v>34</v>
      </c>
      <c r="C7" s="34" t="s">
        <v>76</v>
      </c>
      <c r="D7" s="37" t="s">
        <v>1248</v>
      </c>
      <c r="E7" s="34" t="s">
        <v>1006</v>
      </c>
      <c r="F7" s="38" t="s">
        <v>1249</v>
      </c>
      <c r="G7" s="42" t="s">
        <v>1250</v>
      </c>
      <c r="H7" s="34" t="s">
        <v>163</v>
      </c>
      <c r="K7" s="34" t="s">
        <v>95</v>
      </c>
      <c r="M7" s="34" t="s">
        <v>97</v>
      </c>
      <c r="N7" s="34" t="s">
        <v>71</v>
      </c>
      <c r="O7" s="34" t="s">
        <v>84</v>
      </c>
      <c r="P7" s="34" t="s">
        <v>10</v>
      </c>
      <c r="Q7" s="34">
        <v>6.0</v>
      </c>
      <c r="S7" s="40" t="s">
        <v>134</v>
      </c>
      <c r="U7" s="38" t="s">
        <v>1251</v>
      </c>
      <c r="V7" s="34" t="s">
        <v>1252</v>
      </c>
    </row>
    <row hidden="1" r="8" ht="58.0">
      <c r="A8" s="36">
        <v>46085</v>
      </c>
      <c r="B8" s="34" t="s">
        <v>34</v>
      </c>
      <c r="C8" s="34" t="s">
        <v>76</v>
      </c>
      <c r="D8" s="37" t="s">
        <v>1253</v>
      </c>
      <c r="E8" s="34" t="s">
        <v>78</v>
      </c>
      <c r="F8" s="38" t="s">
        <v>1254</v>
      </c>
      <c r="G8" s="42" t="s">
        <v>1255</v>
      </c>
      <c r="H8" s="34" t="s">
        <v>163</v>
      </c>
      <c r="K8" s="34" t="s">
        <v>69</v>
      </c>
      <c r="M8" s="34" t="s">
        <v>97</v>
      </c>
      <c r="N8" s="34" t="s">
        <v>156</v>
      </c>
      <c r="O8" s="34" t="s">
        <v>157</v>
      </c>
      <c r="P8" s="34" t="s">
        <v>158</v>
      </c>
      <c r="Q8" s="34">
        <v>3.0</v>
      </c>
      <c r="S8" s="40" t="s">
        <v>118</v>
      </c>
      <c r="U8" s="38" t="s">
        <v>1256</v>
      </c>
    </row>
    <row r="9" ht="72.0">
      <c r="A9" s="36">
        <v>46086</v>
      </c>
      <c r="B9" s="34" t="s">
        <v>34</v>
      </c>
      <c r="C9" s="34" t="s">
        <v>76</v>
      </c>
      <c r="D9" s="37" t="s">
        <v>1257</v>
      </c>
      <c r="E9" s="34" t="s">
        <v>1258</v>
      </c>
      <c r="F9" s="38" t="s">
        <v>1259</v>
      </c>
      <c r="G9" s="42" t="s">
        <v>1260</v>
      </c>
      <c r="H9" s="34" t="s">
        <v>163</v>
      </c>
      <c r="J9" s="34" t="s">
        <v>216</v>
      </c>
      <c r="K9" s="34" t="s">
        <v>125</v>
      </c>
      <c r="M9" s="34" t="s">
        <v>97</v>
      </c>
      <c r="N9" s="34" t="s">
        <v>71</v>
      </c>
      <c r="O9" s="34" t="s">
        <v>84</v>
      </c>
      <c r="P9" s="34" t="s">
        <v>9</v>
      </c>
      <c r="Q9" s="34">
        <v>10.0</v>
      </c>
      <c r="S9" s="40" t="s">
        <v>99</v>
      </c>
      <c r="U9" s="38" t="s">
        <v>1261</v>
      </c>
      <c r="V9" s="34" t="s">
        <v>1262</v>
      </c>
    </row>
    <row r="10" ht="41.0">
      <c r="A10" s="36">
        <v>46086</v>
      </c>
      <c r="B10" s="34" t="s">
        <v>35</v>
      </c>
      <c r="C10" s="34" t="s">
        <v>108</v>
      </c>
      <c r="D10" s="37" t="s">
        <v>1263</v>
      </c>
      <c r="E10" s="34" t="s">
        <v>297</v>
      </c>
      <c r="F10" s="38" t="s">
        <v>1264</v>
      </c>
      <c r="G10" s="42" t="s">
        <v>1265</v>
      </c>
      <c r="H10" s="34" t="s">
        <v>163</v>
      </c>
      <c r="K10" s="34" t="s">
        <v>115</v>
      </c>
      <c r="M10" s="34" t="s">
        <v>97</v>
      </c>
      <c r="N10" s="34" t="s">
        <v>71</v>
      </c>
      <c r="O10" s="34" t="s">
        <v>133</v>
      </c>
      <c r="P10" s="34" t="s">
        <v>10</v>
      </c>
      <c r="Q10" s="54"/>
      <c r="S10" s="40"/>
      <c r="T10" s="34" t="s">
        <v>1266</v>
      </c>
    </row>
    <row r="11" ht="27.0">
      <c r="A11" s="36">
        <v>46086</v>
      </c>
      <c r="B11" s="34" t="s">
        <v>34</v>
      </c>
      <c r="C11" s="34" t="s">
        <v>1267</v>
      </c>
      <c r="D11" s="37" t="s">
        <v>1268</v>
      </c>
      <c r="E11" s="34" t="s">
        <v>1269</v>
      </c>
      <c r="F11" s="38" t="s">
        <v>1270</v>
      </c>
      <c r="G11" s="34" t="s">
        <v>1271</v>
      </c>
      <c r="I11" s="34" t="s">
        <v>163</v>
      </c>
      <c r="J11" s="34" t="s">
        <v>164</v>
      </c>
      <c r="K11" s="34" t="s">
        <v>125</v>
      </c>
      <c r="L11" s="34" t="s">
        <v>155</v>
      </c>
      <c r="M11" s="34" t="s">
        <v>97</v>
      </c>
      <c r="N11" s="34" t="s">
        <v>71</v>
      </c>
      <c r="O11" s="34" t="s">
        <v>84</v>
      </c>
      <c r="P11" s="34" t="s">
        <v>9</v>
      </c>
      <c r="Q11" s="34">
        <v>2.0</v>
      </c>
      <c r="S11" s="40" t="s">
        <v>294</v>
      </c>
    </row>
    <row r="12" ht="27.0">
      <c r="A12" s="36">
        <v>46086</v>
      </c>
      <c r="B12" s="34" t="s">
        <v>37</v>
      </c>
      <c r="C12" s="34" t="s">
        <v>108</v>
      </c>
      <c r="D12" s="37" t="s">
        <v>1272</v>
      </c>
      <c r="E12" s="34" t="s">
        <v>1006</v>
      </c>
      <c r="F12" s="38" t="s">
        <v>1273</v>
      </c>
      <c r="G12" s="34" t="s">
        <v>1274</v>
      </c>
      <c r="H12" s="34" t="s">
        <v>163</v>
      </c>
      <c r="K12" s="34" t="s">
        <v>69</v>
      </c>
      <c r="L12" s="38" t="s">
        <v>1275</v>
      </c>
      <c r="M12" s="34" t="s">
        <v>117</v>
      </c>
      <c r="N12" s="34" t="s">
        <v>71</v>
      </c>
      <c r="O12" s="34" t="s">
        <v>84</v>
      </c>
      <c r="P12" s="34" t="s">
        <v>9</v>
      </c>
      <c r="Q12" s="34">
        <v>3.0</v>
      </c>
      <c r="S12" s="40" t="s">
        <v>134</v>
      </c>
      <c r="U12" s="34" t="s">
        <v>101</v>
      </c>
    </row>
    <row r="13" ht="68.0">
      <c r="A13" s="36">
        <v>46086</v>
      </c>
      <c r="B13" s="34" t="s">
        <v>34</v>
      </c>
      <c r="C13" s="34" t="s">
        <v>108</v>
      </c>
      <c r="D13" s="37" t="s">
        <v>1276</v>
      </c>
      <c r="E13" s="34" t="s">
        <v>1277</v>
      </c>
      <c r="F13" s="38" t="s">
        <v>1278</v>
      </c>
      <c r="G13" s="34" t="s">
        <v>1279</v>
      </c>
      <c r="H13" s="34" t="s">
        <v>163</v>
      </c>
      <c r="I13" s="34" t="s">
        <v>266</v>
      </c>
      <c r="J13" s="34" t="s">
        <v>1280</v>
      </c>
      <c r="K13" s="34" t="s">
        <v>95</v>
      </c>
      <c r="L13" s="34" t="s">
        <v>155</v>
      </c>
      <c r="M13" s="34" t="s">
        <v>117</v>
      </c>
      <c r="N13" s="34" t="s">
        <v>882</v>
      </c>
      <c r="O13" s="34" t="s">
        <v>84</v>
      </c>
      <c r="P13" s="34" t="s">
        <v>9</v>
      </c>
      <c r="Q13" s="34">
        <v>25.0</v>
      </c>
      <c r="S13" s="40" t="s">
        <v>294</v>
      </c>
      <c r="V13" s="34" t="s">
        <v>1281</v>
      </c>
    </row>
    <row r="14" ht="233.0" customFormat="1" s="34">
      <c r="A14" s="36">
        <v>46084</v>
      </c>
      <c r="B14" s="34" t="s">
        <v>34</v>
      </c>
      <c r="C14" s="34" t="s">
        <v>63</v>
      </c>
      <c r="D14" s="41" t="s">
        <v>1282</v>
      </c>
      <c r="E14" s="34" t="s">
        <v>1283</v>
      </c>
      <c r="F14" s="38" t="s">
        <v>1284</v>
      </c>
      <c r="G14" s="34" t="s">
        <v>1285</v>
      </c>
      <c r="H14" s="34" t="s">
        <v>1286</v>
      </c>
      <c r="I14" s="34" t="s">
        <v>107</v>
      </c>
      <c r="K14" s="34" t="s">
        <v>125</v>
      </c>
      <c r="M14" s="34" t="s">
        <v>97</v>
      </c>
      <c r="N14" s="34" t="s">
        <v>71</v>
      </c>
      <c r="O14" s="34" t="s">
        <v>98</v>
      </c>
      <c r="P14" s="34" t="s">
        <v>10</v>
      </c>
      <c r="Q14" s="34">
        <v>25.0</v>
      </c>
      <c r="S14" s="40" t="s">
        <v>127</v>
      </c>
      <c r="U14" s="38" t="s">
        <v>1287</v>
      </c>
      <c r="V14" s="34" t="s">
        <v>1288</v>
      </c>
      <c r="W14" s="34" t="s">
        <v>1289</v>
      </c>
    </row>
    <row r="15" ht="55.0">
      <c r="A15" s="36">
        <v>46086</v>
      </c>
      <c r="B15" s="34" t="s">
        <v>34</v>
      </c>
      <c r="C15" s="34" t="s">
        <v>63</v>
      </c>
      <c r="D15" s="37" t="s">
        <v>1290</v>
      </c>
      <c r="E15" s="34" t="s">
        <v>1291</v>
      </c>
      <c r="F15" s="38" t="s">
        <v>1292</v>
      </c>
      <c r="G15" s="34" t="s">
        <v>1293</v>
      </c>
      <c r="H15" s="34" t="s">
        <v>1294</v>
      </c>
      <c r="I15" s="34" t="s">
        <v>107</v>
      </c>
      <c r="J15" s="34" t="s">
        <v>1295</v>
      </c>
      <c r="K15" s="34" t="s">
        <v>95</v>
      </c>
      <c r="M15" s="34" t="s">
        <v>97</v>
      </c>
      <c r="N15" s="34" t="s">
        <v>71</v>
      </c>
      <c r="O15" s="34" t="s">
        <v>84</v>
      </c>
      <c r="P15" s="34" t="s">
        <v>9</v>
      </c>
      <c r="Q15" s="34">
        <v>30.0</v>
      </c>
      <c r="R15" s="44">
        <v>20400.0</v>
      </c>
      <c r="S15" s="40" t="s">
        <v>127</v>
      </c>
      <c r="U15" s="34" t="s">
        <v>101</v>
      </c>
      <c r="V15" s="38" t="s">
        <v>1296</v>
      </c>
      <c r="W15" s="38" t="s">
        <v>1297</v>
      </c>
    </row>
    <row r="16" ht="246.0" customFormat="1" s="34">
      <c r="A16" s="36">
        <v>46086</v>
      </c>
      <c r="B16" s="34" t="s">
        <v>34</v>
      </c>
      <c r="C16" s="34" t="s">
        <v>63</v>
      </c>
      <c r="D16" s="37" t="s">
        <v>1298</v>
      </c>
      <c r="E16" s="34" t="s">
        <v>1006</v>
      </c>
      <c r="F16" s="38" t="s">
        <v>1299</v>
      </c>
      <c r="G16" s="34" t="s">
        <v>1300</v>
      </c>
      <c r="H16" s="34" t="s">
        <v>1301</v>
      </c>
      <c r="I16" s="34" t="s">
        <v>1302</v>
      </c>
      <c r="K16" s="34" t="s">
        <v>173</v>
      </c>
      <c r="M16" s="34" t="s">
        <v>97</v>
      </c>
      <c r="N16" s="34" t="s">
        <v>71</v>
      </c>
      <c r="O16" s="34" t="s">
        <v>84</v>
      </c>
      <c r="P16" s="34" t="s">
        <v>9</v>
      </c>
      <c r="Q16" s="34">
        <v>20.0</v>
      </c>
      <c r="S16" s="40" t="s">
        <v>127</v>
      </c>
      <c r="T16" s="34" t="s">
        <v>1303</v>
      </c>
      <c r="U16" s="34" t="s">
        <v>1304</v>
      </c>
    </row>
    <row r="17" ht="55.0" customFormat="1" s="34">
      <c r="A17" s="36">
        <v>46087</v>
      </c>
      <c r="B17" s="34" t="s">
        <v>35</v>
      </c>
      <c r="C17" s="34" t="s">
        <v>1305</v>
      </c>
      <c r="D17" s="37" t="s">
        <v>1133</v>
      </c>
      <c r="E17" s="34" t="s">
        <v>976</v>
      </c>
      <c r="F17" s="38" t="s">
        <v>1306</v>
      </c>
      <c r="G17" s="34" t="s">
        <v>1307</v>
      </c>
      <c r="K17" s="34" t="s">
        <v>95</v>
      </c>
      <c r="L17" s="34" t="s">
        <v>155</v>
      </c>
      <c r="M17" s="34" t="s">
        <v>117</v>
      </c>
      <c r="N17" s="34" t="s">
        <v>71</v>
      </c>
      <c r="O17" s="34" t="s">
        <v>98</v>
      </c>
      <c r="P17" s="34" t="s">
        <v>10</v>
      </c>
      <c r="S17" s="40"/>
      <c r="U17" s="38" t="s">
        <v>1308</v>
      </c>
      <c r="V17" s="34" t="s">
        <v>186</v>
      </c>
    </row>
    <row r="18" ht="27.0" customFormat="1" s="34">
      <c r="A18" s="36">
        <v>46087</v>
      </c>
      <c r="B18" s="34" t="s">
        <v>38</v>
      </c>
      <c r="C18" s="34" t="s">
        <v>76</v>
      </c>
      <c r="D18" s="37" t="s">
        <v>1309</v>
      </c>
      <c r="E18" s="34" t="s">
        <v>78</v>
      </c>
      <c r="F18" s="38" t="s">
        <v>1310</v>
      </c>
      <c r="G18" s="34" t="s">
        <v>1311</v>
      </c>
      <c r="H18" s="34" t="s">
        <v>163</v>
      </c>
      <c r="K18" s="34" t="s">
        <v>173</v>
      </c>
      <c r="M18" s="34" t="s">
        <v>97</v>
      </c>
      <c r="N18" s="34" t="s">
        <v>71</v>
      </c>
      <c r="O18" s="34" t="s">
        <v>84</v>
      </c>
      <c r="P18" s="34" t="s">
        <v>10</v>
      </c>
      <c r="Q18" s="34">
        <v>4.0</v>
      </c>
      <c r="S18" s="40" t="s">
        <v>134</v>
      </c>
      <c r="T18" s="34" t="s">
        <v>1051</v>
      </c>
      <c r="U18" s="38" t="s">
        <v>1312</v>
      </c>
    </row>
    <row r="19" ht="27.0" customFormat="1" s="34">
      <c r="A19" s="36">
        <v>46087</v>
      </c>
      <c r="B19" s="34" t="s">
        <v>34</v>
      </c>
      <c r="C19" s="34" t="s">
        <v>76</v>
      </c>
      <c r="D19" s="37" t="s">
        <v>1313</v>
      </c>
      <c r="E19" s="34" t="s">
        <v>297</v>
      </c>
      <c r="F19" s="38" t="s">
        <v>1184</v>
      </c>
      <c r="G19" s="34" t="s">
        <v>1185</v>
      </c>
      <c r="H19" s="34" t="s">
        <v>163</v>
      </c>
      <c r="I19" s="34" t="s">
        <v>1314</v>
      </c>
      <c r="K19" s="34" t="s">
        <v>95</v>
      </c>
      <c r="M19" s="34" t="s">
        <v>97</v>
      </c>
      <c r="N19" s="34" t="s">
        <v>71</v>
      </c>
      <c r="O19" s="34" t="s">
        <v>84</v>
      </c>
      <c r="P19" s="34" t="s">
        <v>10</v>
      </c>
      <c r="Q19" s="34">
        <v>10.0</v>
      </c>
      <c r="S19" s="40" t="s">
        <v>134</v>
      </c>
      <c r="U19" s="38" t="s">
        <v>1315</v>
      </c>
      <c r="V19" s="34" t="s">
        <v>1316</v>
      </c>
    </row>
    <row hidden="1" r="20" ht="15.0" customFormat="1" s="34">
      <c r="A20" s="36">
        <v>46090</v>
      </c>
      <c r="B20" s="34" t="s">
        <v>34</v>
      </c>
      <c r="C20" s="34" t="s">
        <v>108</v>
      </c>
      <c r="D20" s="37" t="s">
        <v>1317</v>
      </c>
      <c r="E20" s="34" t="s">
        <v>297</v>
      </c>
      <c r="F20" s="38" t="s">
        <v>1318</v>
      </c>
      <c r="G20" s="34" t="s">
        <v>1319</v>
      </c>
      <c r="K20" s="34" t="s">
        <v>69</v>
      </c>
      <c r="L20" s="34" t="s">
        <v>155</v>
      </c>
      <c r="M20" s="34" t="s">
        <v>70</v>
      </c>
      <c r="N20" s="34" t="s">
        <v>534</v>
      </c>
      <c r="O20" s="34" t="s">
        <v>207</v>
      </c>
      <c r="P20" s="34" t="s">
        <v>535</v>
      </c>
      <c r="S20" s="40"/>
      <c r="U20" s="34" t="s">
        <v>101</v>
      </c>
    </row>
    <row hidden="1" r="21" ht="27.0">
      <c r="A21" s="36">
        <v>46090</v>
      </c>
      <c r="B21" s="34" t="s">
        <v>35</v>
      </c>
      <c r="C21" s="34" t="s">
        <v>108</v>
      </c>
      <c r="D21" s="37" t="s">
        <v>1320</v>
      </c>
      <c r="E21" s="34" t="s">
        <v>1321</v>
      </c>
      <c r="F21" s="38" t="s">
        <v>1322</v>
      </c>
      <c r="G21" s="34" t="s">
        <v>600</v>
      </c>
      <c r="H21" s="34" t="s">
        <v>163</v>
      </c>
      <c r="K21" s="34" t="s">
        <v>69</v>
      </c>
      <c r="L21" s="34" t="s">
        <v>155</v>
      </c>
      <c r="M21" s="34" t="s">
        <v>117</v>
      </c>
      <c r="N21" s="34" t="s">
        <v>156</v>
      </c>
      <c r="O21" s="34" t="s">
        <v>157</v>
      </c>
      <c r="P21" s="34" t="s">
        <v>158</v>
      </c>
      <c r="Q21" s="34">
        <v>3.0</v>
      </c>
      <c r="S21" s="40" t="s">
        <v>99</v>
      </c>
    </row>
    <row r="22" ht="68.0">
      <c r="A22" s="36">
        <v>46090</v>
      </c>
      <c r="B22" s="34" t="s">
        <v>35</v>
      </c>
      <c r="C22" s="34" t="s">
        <v>108</v>
      </c>
      <c r="D22" s="37" t="s">
        <v>1323</v>
      </c>
      <c r="E22" s="34" t="s">
        <v>1324</v>
      </c>
      <c r="F22" s="38" t="s">
        <v>1325</v>
      </c>
      <c r="G22" s="34" t="s">
        <v>1326</v>
      </c>
      <c r="H22" s="34" t="s">
        <v>163</v>
      </c>
      <c r="I22" s="34" t="s">
        <v>1327</v>
      </c>
      <c r="J22" s="34" t="s">
        <v>206</v>
      </c>
      <c r="K22" s="34" t="s">
        <v>184</v>
      </c>
      <c r="L22" s="38" t="s">
        <v>1328</v>
      </c>
      <c r="M22" s="34" t="s">
        <v>117</v>
      </c>
      <c r="N22" s="34" t="s">
        <v>71</v>
      </c>
      <c r="O22" s="34" t="s">
        <v>84</v>
      </c>
      <c r="P22" s="34" t="s">
        <v>9</v>
      </c>
      <c r="Q22" s="34">
        <v>10.0</v>
      </c>
      <c r="S22" s="40" t="s">
        <v>127</v>
      </c>
      <c r="T22" s="34" t="s">
        <v>1329</v>
      </c>
      <c r="U22" s="38" t="s">
        <v>1330</v>
      </c>
    </row>
    <row r="23" ht="68.0">
      <c r="A23" s="36">
        <v>46090</v>
      </c>
      <c r="B23" s="34" t="s">
        <v>34</v>
      </c>
      <c r="C23" s="34" t="s">
        <v>63</v>
      </c>
      <c r="D23" s="37" t="s">
        <v>1331</v>
      </c>
      <c r="E23" s="34" t="s">
        <v>663</v>
      </c>
      <c r="F23" s="38" t="s">
        <v>1332</v>
      </c>
      <c r="G23" s="34" t="s">
        <v>1333</v>
      </c>
      <c r="H23" s="34" t="s">
        <v>1334</v>
      </c>
      <c r="I23" s="34" t="s">
        <v>1335</v>
      </c>
      <c r="K23" s="34" t="s">
        <v>95</v>
      </c>
      <c r="M23" s="34" t="s">
        <v>97</v>
      </c>
      <c r="N23" s="34" t="s">
        <v>71</v>
      </c>
      <c r="O23" s="34" t="s">
        <v>84</v>
      </c>
      <c r="P23" s="34" t="s">
        <v>11</v>
      </c>
      <c r="Q23" s="34">
        <v>10.0</v>
      </c>
      <c r="S23" s="40" t="s">
        <v>127</v>
      </c>
      <c r="U23" s="38" t="s">
        <v>1336</v>
      </c>
      <c r="W23" s="34" t="s">
        <v>1337</v>
      </c>
    </row>
    <row r="24" ht="27.0">
      <c r="A24" s="36">
        <v>46090</v>
      </c>
      <c r="B24" s="34" t="s">
        <v>34</v>
      </c>
      <c r="C24" s="34" t="s">
        <v>63</v>
      </c>
      <c r="D24" s="37" t="s">
        <v>1338</v>
      </c>
      <c r="E24" s="34" t="s">
        <v>1339</v>
      </c>
      <c r="F24" s="38" t="s">
        <v>1340</v>
      </c>
      <c r="G24" s="34" t="s">
        <v>1341</v>
      </c>
      <c r="K24" s="34" t="s">
        <v>95</v>
      </c>
      <c r="M24" s="34" t="s">
        <v>97</v>
      </c>
      <c r="N24" s="34" t="s">
        <v>71</v>
      </c>
      <c r="O24" s="34" t="s">
        <v>84</v>
      </c>
      <c r="P24" s="34" t="s">
        <v>10</v>
      </c>
      <c r="Q24" s="34">
        <v>5.0</v>
      </c>
      <c r="S24" s="40" t="s">
        <v>134</v>
      </c>
      <c r="U24" s="38" t="s">
        <v>1342</v>
      </c>
      <c r="V24" s="34" t="s">
        <v>1343</v>
      </c>
    </row>
    <row r="25" ht="41.0">
      <c r="A25" s="36">
        <v>46090</v>
      </c>
      <c r="B25" s="34" t="s">
        <v>34</v>
      </c>
      <c r="C25" s="34" t="s">
        <v>76</v>
      </c>
      <c r="D25" s="37" t="s">
        <v>1344</v>
      </c>
      <c r="E25" s="34" t="s">
        <v>78</v>
      </c>
      <c r="F25" s="38" t="s">
        <v>1345</v>
      </c>
      <c r="G25" s="34" t="s">
        <v>1346</v>
      </c>
      <c r="H25" s="34" t="s">
        <v>163</v>
      </c>
      <c r="K25" s="34" t="s">
        <v>184</v>
      </c>
      <c r="M25" s="34" t="s">
        <v>97</v>
      </c>
      <c r="N25" s="34" t="s">
        <v>71</v>
      </c>
      <c r="O25" s="34" t="s">
        <v>98</v>
      </c>
      <c r="P25" s="34" t="s">
        <v>10</v>
      </c>
      <c r="Q25" s="43">
        <v>46146</v>
      </c>
      <c r="S25" s="40" t="s">
        <v>134</v>
      </c>
    </row>
    <row r="26" ht="41.0">
      <c r="A26" s="36">
        <v>46090</v>
      </c>
      <c r="B26" s="34" t="s">
        <v>34</v>
      </c>
      <c r="C26" s="34" t="s">
        <v>76</v>
      </c>
      <c r="D26" s="37" t="s">
        <v>1347</v>
      </c>
      <c r="E26" s="61" t="s">
        <v>1348</v>
      </c>
      <c r="F26" s="38" t="s">
        <v>1349</v>
      </c>
      <c r="G26" s="34" t="s">
        <v>1350</v>
      </c>
      <c r="H26" s="34" t="s">
        <v>163</v>
      </c>
      <c r="I26" s="34" t="s">
        <v>715</v>
      </c>
      <c r="K26" s="34" t="s">
        <v>173</v>
      </c>
      <c r="M26" s="34" t="s">
        <v>97</v>
      </c>
      <c r="N26" s="34" t="s">
        <v>71</v>
      </c>
      <c r="O26" s="34" t="s">
        <v>84</v>
      </c>
      <c r="P26" s="34" t="s">
        <v>9</v>
      </c>
      <c r="Q26" s="34">
        <v>4.0</v>
      </c>
      <c r="S26" s="40" t="s">
        <v>134</v>
      </c>
      <c r="U26" s="38" t="s">
        <v>1351</v>
      </c>
    </row>
    <row hidden="1" r="27" ht="96.0">
      <c r="A27" s="36">
        <v>46090</v>
      </c>
      <c r="B27" s="34" t="s">
        <v>37</v>
      </c>
      <c r="C27" s="34" t="s">
        <v>76</v>
      </c>
      <c r="D27" s="37" t="s">
        <v>1352</v>
      </c>
      <c r="E27" s="34" t="s">
        <v>130</v>
      </c>
      <c r="F27" s="38" t="s">
        <v>1353</v>
      </c>
      <c r="G27" s="34" t="s">
        <v>1354</v>
      </c>
      <c r="H27" s="34" t="s">
        <v>163</v>
      </c>
      <c r="K27" s="34" t="s">
        <v>173</v>
      </c>
      <c r="M27" s="34" t="s">
        <v>117</v>
      </c>
      <c r="N27" s="34" t="s">
        <v>309</v>
      </c>
      <c r="O27" s="34" t="s">
        <v>84</v>
      </c>
      <c r="P27" s="34" t="s">
        <v>535</v>
      </c>
      <c r="Q27" s="34">
        <v>4.0</v>
      </c>
      <c r="S27" s="40" t="s">
        <v>134</v>
      </c>
      <c r="U27" s="38" t="s">
        <v>1355</v>
      </c>
    </row>
    <row r="28" ht="137.0">
      <c r="A28" s="36">
        <v>46090</v>
      </c>
      <c r="B28" s="34" t="s">
        <v>34</v>
      </c>
      <c r="C28" s="34" t="s">
        <v>76</v>
      </c>
      <c r="D28" s="37" t="s">
        <v>1356</v>
      </c>
      <c r="E28" s="34" t="s">
        <v>1357</v>
      </c>
      <c r="F28" s="38" t="s">
        <v>1358</v>
      </c>
      <c r="G28" s="34" t="s">
        <v>1359</v>
      </c>
      <c r="H28" s="34" t="s">
        <v>163</v>
      </c>
      <c r="K28" s="34" t="s">
        <v>95</v>
      </c>
      <c r="M28" s="34" t="s">
        <v>83</v>
      </c>
      <c r="N28" s="34" t="s">
        <v>71</v>
      </c>
      <c r="O28" s="34" t="s">
        <v>609</v>
      </c>
      <c r="P28" s="34" t="s">
        <v>10</v>
      </c>
      <c r="Q28" s="34">
        <v>15.0</v>
      </c>
      <c r="S28" s="40" t="s">
        <v>99</v>
      </c>
      <c r="T28" s="34" t="s">
        <v>1360</v>
      </c>
      <c r="U28" s="38" t="s">
        <v>1361</v>
      </c>
      <c r="V28" s="34" t="s">
        <v>186</v>
      </c>
    </row>
    <row r="29" ht="27.0">
      <c r="A29" s="36">
        <v>46091</v>
      </c>
      <c r="B29" s="34" t="s">
        <v>39</v>
      </c>
      <c r="C29" s="34" t="s">
        <v>63</v>
      </c>
      <c r="D29" s="37" t="s">
        <v>1362</v>
      </c>
      <c r="E29" s="34" t="s">
        <v>893</v>
      </c>
      <c r="F29" s="38" t="s">
        <v>1363</v>
      </c>
      <c r="G29" s="34" t="s">
        <v>1364</v>
      </c>
      <c r="I29" s="34" t="s">
        <v>860</v>
      </c>
      <c r="K29" s="34" t="s">
        <v>69</v>
      </c>
      <c r="M29" s="34" t="s">
        <v>117</v>
      </c>
      <c r="N29" s="34" t="s">
        <v>882</v>
      </c>
      <c r="O29" s="34" t="s">
        <v>893</v>
      </c>
      <c r="P29" s="34" t="s">
        <v>893</v>
      </c>
      <c r="S29" s="40"/>
      <c r="T29" s="34" t="s">
        <v>1365</v>
      </c>
      <c r="U29" s="38" t="s">
        <v>1366</v>
      </c>
    </row>
    <row hidden="1" r="30" ht="15.0">
      <c r="A30" s="36">
        <v>46091</v>
      </c>
      <c r="B30" s="34" t="s">
        <v>37</v>
      </c>
      <c r="C30" s="34" t="s">
        <v>108</v>
      </c>
      <c r="D30" s="37" t="s">
        <v>1352</v>
      </c>
      <c r="E30" s="34" t="s">
        <v>1006</v>
      </c>
      <c r="F30" s="38" t="s">
        <v>1367</v>
      </c>
      <c r="G30" s="34" t="s">
        <v>1274</v>
      </c>
      <c r="H30" s="34" t="s">
        <v>163</v>
      </c>
      <c r="I30" s="34" t="s">
        <v>266</v>
      </c>
      <c r="K30" s="34" t="s">
        <v>173</v>
      </c>
      <c r="M30" s="34" t="s">
        <v>117</v>
      </c>
      <c r="N30" s="34" t="s">
        <v>309</v>
      </c>
      <c r="O30" s="34" t="s">
        <v>84</v>
      </c>
      <c r="P30" s="34" t="s">
        <v>535</v>
      </c>
      <c r="Q30" s="34">
        <v>5.0</v>
      </c>
      <c r="S30" s="40" t="s">
        <v>134</v>
      </c>
      <c r="U30" s="34" t="s">
        <v>1368</v>
      </c>
    </row>
    <row r="31" ht="82.0">
      <c r="A31" s="36">
        <v>46091</v>
      </c>
      <c r="B31" s="34" t="s">
        <v>34</v>
      </c>
      <c r="C31" s="34" t="s">
        <v>108</v>
      </c>
      <c r="D31" s="62" t="s">
        <v>1369</v>
      </c>
      <c r="E31" s="34" t="s">
        <v>199</v>
      </c>
      <c r="F31" s="38" t="s">
        <v>1370</v>
      </c>
      <c r="G31" s="34" t="s">
        <v>1371</v>
      </c>
      <c r="H31" s="34" t="s">
        <v>1372</v>
      </c>
      <c r="I31" s="34" t="s">
        <v>140</v>
      </c>
      <c r="K31" s="34" t="s">
        <v>173</v>
      </c>
      <c r="L31" s="34" t="s">
        <v>155</v>
      </c>
      <c r="M31" s="34" t="s">
        <v>97</v>
      </c>
      <c r="N31" s="34" t="s">
        <v>71</v>
      </c>
      <c r="O31" s="34" t="s">
        <v>84</v>
      </c>
      <c r="P31" s="34" t="s">
        <v>535</v>
      </c>
      <c r="S31" s="40" t="s">
        <v>127</v>
      </c>
      <c r="U31" s="38" t="s">
        <v>1373</v>
      </c>
      <c r="W31" s="38" t="s">
        <v>1374</v>
      </c>
    </row>
    <row r="32" ht="68.0">
      <c r="A32" s="36">
        <v>46091</v>
      </c>
      <c r="B32" s="34" t="s">
        <v>34</v>
      </c>
      <c r="C32" s="34" t="s">
        <v>108</v>
      </c>
      <c r="D32" s="37" t="s">
        <v>1375</v>
      </c>
      <c r="E32" s="34" t="s">
        <v>199</v>
      </c>
      <c r="F32" s="38" t="s">
        <v>1376</v>
      </c>
      <c r="G32" s="34" t="s">
        <v>1377</v>
      </c>
      <c r="H32" s="34" t="s">
        <v>163</v>
      </c>
      <c r="I32" s="34" t="s">
        <v>140</v>
      </c>
      <c r="K32" s="34" t="s">
        <v>95</v>
      </c>
      <c r="L32" s="38" t="s">
        <v>1378</v>
      </c>
      <c r="M32" s="34" t="s">
        <v>117</v>
      </c>
      <c r="N32" s="34" t="s">
        <v>71</v>
      </c>
      <c r="O32" s="34" t="s">
        <v>84</v>
      </c>
      <c r="P32" s="34" t="s">
        <v>9</v>
      </c>
      <c r="Q32" s="34">
        <v>20.0</v>
      </c>
      <c r="S32" s="40" t="s">
        <v>127</v>
      </c>
      <c r="U32" s="38" t="s">
        <v>1379</v>
      </c>
      <c r="V32" s="34" t="s">
        <v>1380</v>
      </c>
    </row>
    <row r="33" ht="27.0">
      <c r="A33" s="36">
        <v>46091</v>
      </c>
      <c r="B33" s="34" t="s">
        <v>34</v>
      </c>
      <c r="C33" s="34" t="s">
        <v>76</v>
      </c>
      <c r="D33" s="37" t="s">
        <v>1381</v>
      </c>
      <c r="E33" s="34" t="s">
        <v>297</v>
      </c>
      <c r="F33" s="38" t="s">
        <v>1382</v>
      </c>
      <c r="G33" s="34" t="s">
        <v>1383</v>
      </c>
      <c r="J33" s="34" t="s">
        <v>206</v>
      </c>
      <c r="K33" s="34" t="s">
        <v>69</v>
      </c>
      <c r="M33" s="34" t="s">
        <v>97</v>
      </c>
      <c r="N33" s="34" t="s">
        <v>71</v>
      </c>
      <c r="O33" s="34" t="s">
        <v>98</v>
      </c>
      <c r="P33" s="34" t="s">
        <v>395</v>
      </c>
      <c r="Q33" s="34">
        <v>4.0</v>
      </c>
      <c r="S33" s="40" t="s">
        <v>1384</v>
      </c>
      <c r="U33" s="38" t="s">
        <v>1385</v>
      </c>
    </row>
    <row hidden="1" r="34" ht="55.0">
      <c r="A34" s="36">
        <v>46091</v>
      </c>
      <c r="B34" s="34" t="s">
        <v>34</v>
      </c>
      <c r="C34" s="34" t="s">
        <v>76</v>
      </c>
      <c r="D34" s="37" t="s">
        <v>399</v>
      </c>
      <c r="E34" s="34" t="s">
        <v>1386</v>
      </c>
      <c r="F34" s="38" t="s">
        <v>401</v>
      </c>
      <c r="G34" s="34" t="s">
        <v>402</v>
      </c>
      <c r="H34" s="34" t="s">
        <v>163</v>
      </c>
      <c r="J34" s="34" t="s">
        <v>216</v>
      </c>
      <c r="K34" s="34" t="s">
        <v>95</v>
      </c>
      <c r="M34" s="34" t="s">
        <v>117</v>
      </c>
      <c r="N34" s="34" t="s">
        <v>309</v>
      </c>
      <c r="O34" s="34" t="s">
        <v>84</v>
      </c>
      <c r="P34" s="34" t="s">
        <v>535</v>
      </c>
      <c r="Q34" s="34">
        <v>7.0</v>
      </c>
      <c r="S34" s="40" t="s">
        <v>99</v>
      </c>
      <c r="U34" s="38" t="s">
        <v>1387</v>
      </c>
    </row>
    <row r="35" ht="27.0">
      <c r="A35" s="36">
        <v>46092</v>
      </c>
      <c r="B35" s="34" t="s">
        <v>35</v>
      </c>
      <c r="C35" s="34" t="s">
        <v>108</v>
      </c>
      <c r="D35" s="37" t="s">
        <v>1388</v>
      </c>
      <c r="E35" s="34" t="s">
        <v>1159</v>
      </c>
      <c r="F35" s="38" t="s">
        <v>1389</v>
      </c>
      <c r="G35" s="34" t="s">
        <v>1390</v>
      </c>
      <c r="K35" s="34" t="s">
        <v>69</v>
      </c>
      <c r="L35" s="34" t="s">
        <v>155</v>
      </c>
      <c r="M35" s="34" t="s">
        <v>97</v>
      </c>
      <c r="N35" s="34" t="s">
        <v>71</v>
      </c>
      <c r="O35" s="34" t="s">
        <v>98</v>
      </c>
      <c r="P35" s="34" t="s">
        <v>395</v>
      </c>
      <c r="Q35" s="34">
        <v>2.0</v>
      </c>
      <c r="S35" s="40"/>
      <c r="T35" s="34" t="s">
        <v>1391</v>
      </c>
      <c r="U35" s="38" t="s">
        <v>1392</v>
      </c>
    </row>
    <row r="36" ht="109.0">
      <c r="A36" s="36">
        <v>46092</v>
      </c>
      <c r="B36" s="34" t="s">
        <v>39</v>
      </c>
      <c r="C36" s="34" t="s">
        <v>108</v>
      </c>
      <c r="D36" s="37" t="s">
        <v>1393</v>
      </c>
      <c r="E36" s="34" t="s">
        <v>1394</v>
      </c>
      <c r="F36" s="38" t="s">
        <v>1395</v>
      </c>
      <c r="G36" s="34" t="s">
        <v>1396</v>
      </c>
      <c r="I36" s="34" t="s">
        <v>140</v>
      </c>
      <c r="K36" s="34" t="s">
        <v>69</v>
      </c>
      <c r="L36" s="38" t="s">
        <v>1397</v>
      </c>
      <c r="M36" s="34" t="s">
        <v>117</v>
      </c>
      <c r="N36" s="34" t="s">
        <v>71</v>
      </c>
      <c r="O36" s="34" t="s">
        <v>84</v>
      </c>
      <c r="P36" s="34" t="s">
        <v>395</v>
      </c>
      <c r="S36" s="40"/>
      <c r="T36" s="34" t="s">
        <v>1398</v>
      </c>
      <c r="U36" s="38" t="s">
        <v>1399</v>
      </c>
    </row>
    <row hidden="1" r="37" ht="27.0">
      <c r="A37" s="36">
        <v>46092</v>
      </c>
      <c r="B37" s="34" t="s">
        <v>39</v>
      </c>
      <c r="C37" s="34" t="s">
        <v>108</v>
      </c>
      <c r="D37" s="37" t="s">
        <v>1400</v>
      </c>
      <c r="E37" s="34" t="s">
        <v>1006</v>
      </c>
      <c r="F37" s="38" t="s">
        <v>1401</v>
      </c>
      <c r="G37" s="34" t="s">
        <v>1402</v>
      </c>
      <c r="H37" s="34" t="s">
        <v>163</v>
      </c>
      <c r="K37" s="34" t="s">
        <v>69</v>
      </c>
      <c r="L37" s="34" t="s">
        <v>155</v>
      </c>
      <c r="M37" s="34" t="s">
        <v>97</v>
      </c>
      <c r="N37" s="34" t="s">
        <v>156</v>
      </c>
      <c r="O37" s="34" t="s">
        <v>157</v>
      </c>
      <c r="P37" s="34" t="s">
        <v>158</v>
      </c>
      <c r="Q37" s="34">
        <v>13.0</v>
      </c>
      <c r="S37" s="40" t="s">
        <v>294</v>
      </c>
      <c r="U37" s="38" t="s">
        <v>1403</v>
      </c>
    </row>
    <row hidden="1" r="38" ht="41.0">
      <c r="A38" s="36">
        <v>46092</v>
      </c>
      <c r="B38" s="34" t="s">
        <v>34</v>
      </c>
      <c r="C38" s="34" t="s">
        <v>76</v>
      </c>
      <c r="D38" s="37" t="s">
        <v>1404</v>
      </c>
      <c r="E38" s="34" t="s">
        <v>130</v>
      </c>
      <c r="F38" s="38" t="s">
        <v>1405</v>
      </c>
      <c r="G38" s="34" t="s">
        <v>1406</v>
      </c>
      <c r="H38" s="34" t="s">
        <v>1407</v>
      </c>
      <c r="K38" s="34" t="s">
        <v>69</v>
      </c>
      <c r="M38" s="34" t="s">
        <v>97</v>
      </c>
      <c r="N38" s="34" t="s">
        <v>156</v>
      </c>
      <c r="O38" s="34" t="s">
        <v>157</v>
      </c>
      <c r="P38" s="34" t="s">
        <v>158</v>
      </c>
      <c r="Q38" s="34">
        <v>3.0</v>
      </c>
      <c r="S38" s="40" t="s">
        <v>294</v>
      </c>
    </row>
    <row r="39" ht="41.0">
      <c r="A39" s="36">
        <v>46092</v>
      </c>
      <c r="B39" s="34" t="s">
        <v>34</v>
      </c>
      <c r="C39" s="34" t="s">
        <v>63</v>
      </c>
      <c r="D39" s="37" t="s">
        <v>1408</v>
      </c>
      <c r="E39" s="34" t="s">
        <v>130</v>
      </c>
      <c r="F39" s="38" t="s">
        <v>1409</v>
      </c>
      <c r="G39" s="34" t="s">
        <v>1410</v>
      </c>
      <c r="K39" s="34" t="s">
        <v>95</v>
      </c>
      <c r="M39" s="34" t="s">
        <v>97</v>
      </c>
      <c r="N39" s="34" t="s">
        <v>71</v>
      </c>
      <c r="O39" s="34" t="s">
        <v>84</v>
      </c>
      <c r="P39" s="34" t="s">
        <v>10</v>
      </c>
      <c r="Q39" s="34">
        <v>40.0</v>
      </c>
      <c r="S39" s="40" t="s">
        <v>99</v>
      </c>
      <c r="U39" s="38" t="s">
        <v>1411</v>
      </c>
    </row>
    <row hidden="1" r="40" ht="41.0">
      <c r="A40" s="36">
        <v>46092</v>
      </c>
      <c r="B40" s="34" t="s">
        <v>34</v>
      </c>
      <c r="C40" s="34" t="s">
        <v>63</v>
      </c>
      <c r="D40" s="37" t="s">
        <v>980</v>
      </c>
      <c r="E40" s="34" t="s">
        <v>104</v>
      </c>
      <c r="F40" s="38" t="s">
        <v>1412</v>
      </c>
      <c r="G40" s="34" t="s">
        <v>1413</v>
      </c>
      <c r="H40" s="34" t="s">
        <v>1414</v>
      </c>
      <c r="K40" s="34" t="s">
        <v>69</v>
      </c>
      <c r="M40" s="34" t="s">
        <v>474</v>
      </c>
      <c r="N40" s="34" t="s">
        <v>309</v>
      </c>
      <c r="O40" s="34" t="s">
        <v>72</v>
      </c>
      <c r="P40" s="34" t="s">
        <v>11</v>
      </c>
      <c r="Q40" s="34">
        <v>3000.0</v>
      </c>
      <c r="S40" s="40" t="s">
        <v>73</v>
      </c>
      <c r="U40" s="34" t="s">
        <v>1304</v>
      </c>
      <c r="W40" s="34" t="s">
        <v>1415</v>
      </c>
    </row>
    <row r="41" ht="82.0">
      <c r="A41" s="36">
        <v>46092</v>
      </c>
      <c r="B41" s="34" t="s">
        <v>35</v>
      </c>
      <c r="C41" s="34" t="s">
        <v>108</v>
      </c>
      <c r="D41" s="37" t="s">
        <v>1416</v>
      </c>
      <c r="E41" s="34" t="s">
        <v>1417</v>
      </c>
      <c r="F41" s="38" t="s">
        <v>1418</v>
      </c>
      <c r="G41" s="34" t="s">
        <v>1419</v>
      </c>
      <c r="H41" s="34" t="s">
        <v>163</v>
      </c>
      <c r="I41" s="47" t="s">
        <v>1420</v>
      </c>
      <c r="K41" s="34" t="s">
        <v>95</v>
      </c>
      <c r="L41" s="34" t="s">
        <v>155</v>
      </c>
      <c r="M41" s="34" t="s">
        <v>97</v>
      </c>
      <c r="N41" s="34" t="s">
        <v>71</v>
      </c>
      <c r="O41" s="34" t="s">
        <v>84</v>
      </c>
      <c r="P41" s="34" t="s">
        <v>10</v>
      </c>
      <c r="Q41" s="34">
        <v>12.0</v>
      </c>
      <c r="S41" s="40"/>
      <c r="U41" s="38" t="s">
        <v>1421</v>
      </c>
      <c r="V41" s="34" t="s">
        <v>1422</v>
      </c>
    </row>
    <row r="42" ht="68.0">
      <c r="A42" s="36">
        <v>46092</v>
      </c>
      <c r="B42" s="34" t="s">
        <v>34</v>
      </c>
      <c r="C42" s="34" t="s">
        <v>108</v>
      </c>
      <c r="D42" s="37" t="s">
        <v>1423</v>
      </c>
      <c r="E42" s="34" t="s">
        <v>1020</v>
      </c>
      <c r="F42" s="38" t="s">
        <v>1424</v>
      </c>
      <c r="G42" s="34" t="s">
        <v>1425</v>
      </c>
      <c r="H42" s="34" t="s">
        <v>1426</v>
      </c>
      <c r="I42" s="34" t="s">
        <v>277</v>
      </c>
      <c r="K42" s="34" t="s">
        <v>95</v>
      </c>
      <c r="L42" s="34" t="s">
        <v>155</v>
      </c>
      <c r="M42" s="34" t="s">
        <v>117</v>
      </c>
      <c r="N42" s="34" t="s">
        <v>71</v>
      </c>
      <c r="O42" s="34" t="s">
        <v>84</v>
      </c>
      <c r="P42" s="34" t="s">
        <v>10</v>
      </c>
      <c r="Q42" s="34" t="s">
        <v>1427</v>
      </c>
      <c r="S42" s="40" t="s">
        <v>127</v>
      </c>
      <c r="U42" s="38" t="s">
        <v>1428</v>
      </c>
      <c r="V42" s="34" t="s">
        <v>1429</v>
      </c>
      <c r="W42" s="38" t="s">
        <v>1430</v>
      </c>
    </row>
    <row r="43" ht="27.0">
      <c r="A43" s="36">
        <v>46093</v>
      </c>
      <c r="B43" s="34" t="s">
        <v>34</v>
      </c>
      <c r="C43" s="34" t="s">
        <v>76</v>
      </c>
      <c r="D43" s="37" t="s">
        <v>1431</v>
      </c>
      <c r="E43" s="34" t="s">
        <v>130</v>
      </c>
      <c r="F43" s="38" t="s">
        <v>1432</v>
      </c>
      <c r="G43" s="34" t="s">
        <v>1433</v>
      </c>
      <c r="K43" s="34" t="s">
        <v>69</v>
      </c>
      <c r="M43" s="34" t="s">
        <v>97</v>
      </c>
      <c r="N43" s="34" t="s">
        <v>71</v>
      </c>
      <c r="O43" s="34" t="s">
        <v>98</v>
      </c>
      <c r="P43" s="34" t="s">
        <v>395</v>
      </c>
      <c r="Q43" s="34">
        <v>6.0</v>
      </c>
      <c r="S43" s="40" t="s">
        <v>85</v>
      </c>
    </row>
    <row r="44" ht="109.0">
      <c r="A44" s="36">
        <v>46093</v>
      </c>
      <c r="B44" s="34" t="s">
        <v>34</v>
      </c>
      <c r="C44" s="34" t="s">
        <v>76</v>
      </c>
      <c r="D44" s="37" t="s">
        <v>1434</v>
      </c>
      <c r="E44" s="34" t="s">
        <v>130</v>
      </c>
      <c r="F44" s="38" t="s">
        <v>1435</v>
      </c>
      <c r="G44" s="34" t="s">
        <v>1436</v>
      </c>
      <c r="H44" s="34" t="s">
        <v>163</v>
      </c>
      <c r="K44" s="34" t="s">
        <v>173</v>
      </c>
      <c r="M44" s="34" t="s">
        <v>97</v>
      </c>
      <c r="N44" s="34" t="s">
        <v>71</v>
      </c>
      <c r="O44" s="34" t="s">
        <v>84</v>
      </c>
      <c r="P44" s="34" t="s">
        <v>10</v>
      </c>
      <c r="Q44" s="34">
        <v>10.0</v>
      </c>
      <c r="S44" s="40" t="s">
        <v>99</v>
      </c>
      <c r="V44" s="34" t="s">
        <v>1051</v>
      </c>
    </row>
    <row r="45" ht="41.0">
      <c r="A45" s="36">
        <v>46093</v>
      </c>
      <c r="B45" s="34" t="s">
        <v>37</v>
      </c>
      <c r="C45" s="34" t="s">
        <v>63</v>
      </c>
      <c r="D45" s="37" t="s">
        <v>1437</v>
      </c>
      <c r="E45" s="34" t="s">
        <v>1438</v>
      </c>
      <c r="F45" s="38" t="s">
        <v>1439</v>
      </c>
      <c r="G45" s="34" t="s">
        <v>1440</v>
      </c>
      <c r="H45" s="34" t="s">
        <v>1441</v>
      </c>
      <c r="K45" s="34" t="s">
        <v>173</v>
      </c>
      <c r="M45" s="34" t="s">
        <v>97</v>
      </c>
      <c r="N45" s="34" t="s">
        <v>71</v>
      </c>
      <c r="O45" s="34" t="s">
        <v>84</v>
      </c>
      <c r="P45" s="34" t="s">
        <v>10</v>
      </c>
      <c r="Q45" s="34">
        <v>3.0</v>
      </c>
      <c r="S45" s="40" t="s">
        <v>134</v>
      </c>
      <c r="T45" s="34" t="s">
        <v>1442</v>
      </c>
      <c r="U45" s="38" t="s">
        <v>1443</v>
      </c>
      <c r="W45" s="34" t="s">
        <v>1444</v>
      </c>
    </row>
    <row hidden="1" r="46" ht="41.0">
      <c r="A46" s="36">
        <v>46093</v>
      </c>
      <c r="B46" s="34" t="s">
        <v>34</v>
      </c>
      <c r="C46" s="34" t="s">
        <v>63</v>
      </c>
      <c r="D46" s="37" t="s">
        <v>1445</v>
      </c>
      <c r="E46" s="34" t="s">
        <v>1446</v>
      </c>
      <c r="F46" s="34" t="s">
        <v>1447</v>
      </c>
      <c r="G46" s="34" t="s">
        <v>1448</v>
      </c>
      <c r="K46" s="34" t="s">
        <v>95</v>
      </c>
      <c r="M46" s="34" t="s">
        <v>97</v>
      </c>
      <c r="N46" s="34" t="s">
        <v>309</v>
      </c>
      <c r="O46" s="34" t="s">
        <v>84</v>
      </c>
      <c r="P46" s="34" t="s">
        <v>10</v>
      </c>
      <c r="Q46" s="34">
        <v>70.0</v>
      </c>
      <c r="S46" s="40" t="s">
        <v>127</v>
      </c>
      <c r="U46" s="38" t="s">
        <v>1449</v>
      </c>
      <c r="V46" s="34" t="s">
        <v>1450</v>
      </c>
    </row>
    <row r="47" ht="55.0">
      <c r="A47" s="36">
        <v>46093</v>
      </c>
      <c r="B47" s="34" t="s">
        <v>34</v>
      </c>
      <c r="C47" s="34" t="s">
        <v>108</v>
      </c>
      <c r="D47" s="37" t="s">
        <v>1451</v>
      </c>
      <c r="E47" s="34" t="s">
        <v>1452</v>
      </c>
      <c r="F47" s="38" t="s">
        <v>1453</v>
      </c>
      <c r="G47" s="34" t="s">
        <v>1454</v>
      </c>
      <c r="H47" s="34" t="s">
        <v>163</v>
      </c>
      <c r="I47" s="34" t="s">
        <v>1455</v>
      </c>
      <c r="K47" s="34" t="s">
        <v>95</v>
      </c>
      <c r="L47" s="34" t="s">
        <v>155</v>
      </c>
      <c r="M47" s="34" t="s">
        <v>83</v>
      </c>
      <c r="N47" s="34" t="s">
        <v>71</v>
      </c>
      <c r="O47" s="34" t="s">
        <v>84</v>
      </c>
      <c r="P47" s="34" t="s">
        <v>10</v>
      </c>
      <c r="Q47" s="34">
        <v>20.0</v>
      </c>
      <c r="S47" s="40"/>
      <c r="U47" s="38" t="s">
        <v>1456</v>
      </c>
      <c r="V47" s="63" t="s">
        <v>1457</v>
      </c>
    </row>
    <row r="48" ht="27.0">
      <c r="A48" s="36">
        <v>46094</v>
      </c>
      <c r="B48" s="34" t="s">
        <v>34</v>
      </c>
      <c r="C48" s="34" t="s">
        <v>76</v>
      </c>
      <c r="D48" s="37" t="s">
        <v>1458</v>
      </c>
      <c r="E48" s="34" t="s">
        <v>1386</v>
      </c>
      <c r="F48" s="38" t="s">
        <v>1459</v>
      </c>
      <c r="G48" s="34" t="s">
        <v>1460</v>
      </c>
      <c r="H48" s="34" t="s">
        <v>163</v>
      </c>
      <c r="K48" s="34" t="s">
        <v>95</v>
      </c>
      <c r="M48" s="34" t="s">
        <v>97</v>
      </c>
      <c r="N48" s="34" t="s">
        <v>71</v>
      </c>
      <c r="O48" s="34" t="s">
        <v>98</v>
      </c>
      <c r="P48" s="34" t="s">
        <v>10</v>
      </c>
      <c r="Q48" s="34">
        <v>10.0</v>
      </c>
      <c r="S48" s="40" t="s">
        <v>134</v>
      </c>
      <c r="U48" s="38" t="s">
        <v>1461</v>
      </c>
      <c r="V48" s="34" t="s">
        <v>1462</v>
      </c>
    </row>
    <row r="49" ht="27.0">
      <c r="A49" s="36">
        <v>46094</v>
      </c>
      <c r="B49" s="34" t="s">
        <v>34</v>
      </c>
      <c r="C49" s="34" t="s">
        <v>76</v>
      </c>
      <c r="D49" s="37" t="s">
        <v>1463</v>
      </c>
      <c r="E49" s="34" t="s">
        <v>297</v>
      </c>
      <c r="F49" s="38" t="s">
        <v>1464</v>
      </c>
      <c r="G49" s="34" t="s">
        <v>274</v>
      </c>
      <c r="H49" s="34" t="s">
        <v>1465</v>
      </c>
      <c r="K49" s="34" t="s">
        <v>267</v>
      </c>
      <c r="M49" s="34" t="s">
        <v>117</v>
      </c>
      <c r="N49" s="34" t="s">
        <v>71</v>
      </c>
      <c r="O49" s="34" t="s">
        <v>84</v>
      </c>
      <c r="P49" s="34" t="s">
        <v>9</v>
      </c>
      <c r="Q49" s="34">
        <v>3.0</v>
      </c>
      <c r="S49" s="40" t="s">
        <v>134</v>
      </c>
      <c r="U49" s="38" t="s">
        <v>1466</v>
      </c>
    </row>
    <row r="50" ht="27.0">
      <c r="A50" s="36">
        <v>46094</v>
      </c>
      <c r="B50" s="34" t="s">
        <v>34</v>
      </c>
      <c r="C50" s="34" t="s">
        <v>76</v>
      </c>
      <c r="D50" s="37" t="s">
        <v>1467</v>
      </c>
      <c r="E50" s="34" t="s">
        <v>1468</v>
      </c>
      <c r="F50" s="38" t="s">
        <v>1469</v>
      </c>
      <c r="G50" s="34" t="s">
        <v>1470</v>
      </c>
      <c r="H50" s="34" t="s">
        <v>163</v>
      </c>
      <c r="K50" s="34" t="s">
        <v>95</v>
      </c>
      <c r="M50" s="34" t="s">
        <v>97</v>
      </c>
      <c r="N50" s="34" t="s">
        <v>71</v>
      </c>
      <c r="O50" s="34" t="s">
        <v>84</v>
      </c>
      <c r="P50" s="34" t="s">
        <v>9</v>
      </c>
      <c r="Q50" s="34">
        <v>5.0</v>
      </c>
      <c r="S50" s="40" t="s">
        <v>134</v>
      </c>
      <c r="U50" s="38" t="s">
        <v>1471</v>
      </c>
      <c r="V50" s="34" t="s">
        <v>1472</v>
      </c>
    </row>
    <row r="51" ht="41.0">
      <c r="A51" s="36">
        <v>46094</v>
      </c>
      <c r="B51" s="34" t="s">
        <v>34</v>
      </c>
      <c r="C51" s="34" t="s">
        <v>108</v>
      </c>
      <c r="D51" s="37" t="s">
        <v>1473</v>
      </c>
      <c r="E51" s="34" t="s">
        <v>1159</v>
      </c>
      <c r="F51" s="38" t="s">
        <v>1474</v>
      </c>
      <c r="G51" s="34" t="s">
        <v>1475</v>
      </c>
      <c r="H51" s="34" t="s">
        <v>163</v>
      </c>
      <c r="J51" s="34" t="s">
        <v>1130</v>
      </c>
      <c r="K51" s="34" t="s">
        <v>95</v>
      </c>
      <c r="L51" s="38" t="s">
        <v>1476</v>
      </c>
      <c r="M51" s="34" t="s">
        <v>97</v>
      </c>
      <c r="N51" s="34" t="s">
        <v>71</v>
      </c>
      <c r="O51" s="34" t="s">
        <v>84</v>
      </c>
      <c r="P51" s="34" t="s">
        <v>10</v>
      </c>
      <c r="Q51" s="34">
        <v>3.0</v>
      </c>
      <c r="S51" s="40" t="s">
        <v>134</v>
      </c>
      <c r="U51" s="38" t="s">
        <v>1477</v>
      </c>
      <c r="V51" s="34" t="s">
        <v>1478</v>
      </c>
    </row>
    <row r="52" ht="27.0">
      <c r="A52" s="36">
        <v>46094</v>
      </c>
      <c r="B52" s="34" t="s">
        <v>34</v>
      </c>
      <c r="C52" s="34" t="s">
        <v>63</v>
      </c>
      <c r="D52" s="37" t="s">
        <v>1479</v>
      </c>
      <c r="E52" s="34" t="s">
        <v>130</v>
      </c>
      <c r="F52" s="38" t="s">
        <v>1480</v>
      </c>
      <c r="G52" s="34" t="s">
        <v>1481</v>
      </c>
      <c r="H52" s="34" t="s">
        <v>163</v>
      </c>
      <c r="K52" s="34" t="s">
        <v>95</v>
      </c>
      <c r="M52" s="34" t="s">
        <v>97</v>
      </c>
      <c r="N52" s="34" t="s">
        <v>71</v>
      </c>
      <c r="O52" s="34" t="s">
        <v>84</v>
      </c>
      <c r="P52" s="34" t="s">
        <v>9</v>
      </c>
      <c r="Q52" s="34">
        <v>18.0</v>
      </c>
      <c r="S52" s="40" t="s">
        <v>99</v>
      </c>
      <c r="U52" s="38" t="s">
        <v>1482</v>
      </c>
    </row>
    <row r="53" ht="15.0">
      <c r="A53" s="36">
        <v>46094</v>
      </c>
      <c r="B53" s="34" t="s">
        <v>34</v>
      </c>
      <c r="C53" s="34" t="s">
        <v>63</v>
      </c>
      <c r="D53" s="37" t="s">
        <v>1483</v>
      </c>
      <c r="E53" s="34" t="s">
        <v>453</v>
      </c>
      <c r="F53" s="38" t="s">
        <v>1484</v>
      </c>
      <c r="G53" s="34" t="s">
        <v>1485</v>
      </c>
      <c r="K53" s="34" t="s">
        <v>69</v>
      </c>
      <c r="M53" s="34" t="s">
        <v>97</v>
      </c>
      <c r="N53" s="34" t="s">
        <v>71</v>
      </c>
      <c r="O53" s="34" t="s">
        <v>98</v>
      </c>
      <c r="P53" s="34" t="s">
        <v>10</v>
      </c>
      <c r="Q53" s="34">
        <v>7.0</v>
      </c>
      <c r="S53" s="40" t="s">
        <v>85</v>
      </c>
      <c r="U53" s="34" t="s">
        <v>101</v>
      </c>
    </row>
    <row r="54" ht="41.0">
      <c r="A54" s="36">
        <v>46097</v>
      </c>
      <c r="B54" s="34" t="s">
        <v>35</v>
      </c>
      <c r="C54" s="34" t="s">
        <v>88</v>
      </c>
      <c r="D54" s="37" t="s">
        <v>1486</v>
      </c>
      <c r="E54" s="34" t="s">
        <v>458</v>
      </c>
      <c r="F54" s="38" t="s">
        <v>1487</v>
      </c>
      <c r="G54" s="34" t="s">
        <v>1488</v>
      </c>
      <c r="H54" s="34" t="s">
        <v>163</v>
      </c>
      <c r="I54" s="34" t="s">
        <v>1489</v>
      </c>
      <c r="K54" s="34" t="s">
        <v>125</v>
      </c>
      <c r="L54" s="38" t="s">
        <v>1490</v>
      </c>
      <c r="M54" s="34" t="s">
        <v>117</v>
      </c>
      <c r="N54" s="34" t="s">
        <v>71</v>
      </c>
      <c r="O54" s="34" t="s">
        <v>84</v>
      </c>
      <c r="P54" s="34" t="s">
        <v>9</v>
      </c>
      <c r="Q54" s="34">
        <v>3.0</v>
      </c>
      <c r="R54" s="39">
        <v>9.0</v>
      </c>
      <c r="S54" s="40" t="s">
        <v>134</v>
      </c>
      <c r="U54" s="38" t="s">
        <v>1491</v>
      </c>
      <c r="V54" s="34" t="s">
        <v>1492</v>
      </c>
    </row>
    <row hidden="1" r="55" ht="55.0">
      <c r="A55" s="36">
        <v>46097</v>
      </c>
      <c r="B55" s="34" t="s">
        <v>34</v>
      </c>
      <c r="C55" s="34" t="s">
        <v>88</v>
      </c>
      <c r="D55" s="37" t="s">
        <v>1493</v>
      </c>
      <c r="E55" s="34" t="s">
        <v>1321</v>
      </c>
      <c r="F55" s="38" t="s">
        <v>1494</v>
      </c>
      <c r="G55" s="34" t="s">
        <v>1495</v>
      </c>
      <c r="H55" s="34" t="s">
        <v>163</v>
      </c>
      <c r="I55" s="34" t="s">
        <v>266</v>
      </c>
      <c r="K55" s="34" t="s">
        <v>69</v>
      </c>
      <c r="L55" s="34" t="s">
        <v>155</v>
      </c>
      <c r="M55" s="34" t="s">
        <v>97</v>
      </c>
      <c r="N55" s="34" t="s">
        <v>156</v>
      </c>
      <c r="O55" s="34" t="s">
        <v>157</v>
      </c>
      <c r="P55" s="34" t="s">
        <v>158</v>
      </c>
      <c r="S55" s="40"/>
    </row>
    <row hidden="1" r="56" customHeight="1" ht="79.0">
      <c r="A56" s="36">
        <v>46095</v>
      </c>
      <c r="B56" s="34" t="s">
        <v>34</v>
      </c>
      <c r="C56" s="34" t="s">
        <v>63</v>
      </c>
      <c r="D56" s="37" t="s">
        <v>1496</v>
      </c>
      <c r="E56" s="34" t="s">
        <v>104</v>
      </c>
      <c r="F56" s="38" t="s">
        <v>1497</v>
      </c>
      <c r="G56" s="34" t="s">
        <v>1498</v>
      </c>
      <c r="H56" s="34" t="s">
        <v>1499</v>
      </c>
      <c r="K56" s="34" t="s">
        <v>69</v>
      </c>
      <c r="M56" s="34" t="s">
        <v>117</v>
      </c>
      <c r="N56" s="34" t="s">
        <v>156</v>
      </c>
      <c r="O56" s="34" t="s">
        <v>84</v>
      </c>
      <c r="P56" s="34" t="s">
        <v>11</v>
      </c>
      <c r="Q56" s="34">
        <v>8700.0</v>
      </c>
      <c r="S56" s="40" t="s">
        <v>468</v>
      </c>
      <c r="U56" s="34" t="s">
        <v>1304</v>
      </c>
      <c r="W56" s="34" t="s">
        <v>1500</v>
      </c>
    </row>
    <row r="57" ht="27.0">
      <c r="A57" s="36">
        <v>46097</v>
      </c>
      <c r="B57" s="34" t="s">
        <v>34</v>
      </c>
      <c r="C57" s="34" t="s">
        <v>76</v>
      </c>
      <c r="D57" s="37" t="s">
        <v>1501</v>
      </c>
      <c r="E57" s="34" t="s">
        <v>1502</v>
      </c>
      <c r="F57" s="38" t="s">
        <v>1503</v>
      </c>
      <c r="G57" s="34" t="s">
        <v>1504</v>
      </c>
      <c r="H57" s="34" t="s">
        <v>163</v>
      </c>
      <c r="K57" s="34" t="s">
        <v>95</v>
      </c>
      <c r="M57" s="34" t="s">
        <v>97</v>
      </c>
      <c r="N57" s="34" t="s">
        <v>71</v>
      </c>
      <c r="O57" s="34" t="s">
        <v>84</v>
      </c>
      <c r="P57" s="34" t="s">
        <v>10</v>
      </c>
      <c r="Q57" s="34">
        <v>10.0</v>
      </c>
      <c r="S57" s="40" t="s">
        <v>134</v>
      </c>
      <c r="U57" s="38" t="s">
        <v>1505</v>
      </c>
      <c r="V57" s="34" t="s">
        <v>1506</v>
      </c>
    </row>
    <row r="58" ht="41.0">
      <c r="A58" s="36">
        <v>46097</v>
      </c>
      <c r="B58" s="34" t="s">
        <v>35</v>
      </c>
      <c r="C58" s="34" t="s">
        <v>76</v>
      </c>
      <c r="D58" s="37" t="s">
        <v>1507</v>
      </c>
      <c r="E58" s="34" t="s">
        <v>1508</v>
      </c>
      <c r="F58" s="38" t="s">
        <v>1509</v>
      </c>
      <c r="G58" s="34" t="s">
        <v>1510</v>
      </c>
      <c r="H58" s="34" t="s">
        <v>163</v>
      </c>
      <c r="K58" s="34" t="s">
        <v>173</v>
      </c>
      <c r="M58" s="34" t="s">
        <v>97</v>
      </c>
      <c r="N58" s="34" t="s">
        <v>71</v>
      </c>
      <c r="O58" s="34" t="s">
        <v>98</v>
      </c>
      <c r="P58" s="34" t="s">
        <v>9</v>
      </c>
      <c r="Q58" s="34">
        <v>1.0</v>
      </c>
      <c r="S58" s="40" t="s">
        <v>99</v>
      </c>
    </row>
    <row r="59" ht="68.0">
      <c r="A59" s="36">
        <v>46097</v>
      </c>
      <c r="B59" s="34" t="s">
        <v>34</v>
      </c>
      <c r="C59" s="34" t="s">
        <v>63</v>
      </c>
      <c r="D59" s="37" t="s">
        <v>1511</v>
      </c>
      <c r="E59" s="34" t="s">
        <v>893</v>
      </c>
      <c r="F59" s="38" t="s">
        <v>1512</v>
      </c>
      <c r="G59" s="34" t="s">
        <v>1513</v>
      </c>
      <c r="H59" s="34" t="s">
        <v>1514</v>
      </c>
      <c r="K59" s="34" t="s">
        <v>69</v>
      </c>
      <c r="M59" s="34" t="s">
        <v>97</v>
      </c>
      <c r="N59" s="34" t="s">
        <v>882</v>
      </c>
      <c r="O59" s="34" t="s">
        <v>893</v>
      </c>
      <c r="P59" s="34" t="s">
        <v>893</v>
      </c>
      <c r="S59" s="40"/>
      <c r="T59" s="34" t="s">
        <v>1515</v>
      </c>
      <c r="U59" s="34" t="s">
        <v>101</v>
      </c>
      <c r="W59" s="38" t="s">
        <v>1516</v>
      </c>
    </row>
    <row hidden="1" r="60" ht="27.0">
      <c r="A60" s="36">
        <v>46097</v>
      </c>
      <c r="B60" s="34" t="s">
        <v>34</v>
      </c>
      <c r="C60" s="34" t="s">
        <v>108</v>
      </c>
      <c r="D60" s="37" t="s">
        <v>1517</v>
      </c>
      <c r="E60" s="34" t="s">
        <v>831</v>
      </c>
      <c r="F60" s="38" t="s">
        <v>1518</v>
      </c>
      <c r="G60" s="34" t="s">
        <v>1519</v>
      </c>
      <c r="K60" s="34" t="s">
        <v>69</v>
      </c>
      <c r="L60" s="34" t="s">
        <v>155</v>
      </c>
      <c r="M60" s="34" t="s">
        <v>97</v>
      </c>
      <c r="N60" s="34" t="s">
        <v>534</v>
      </c>
      <c r="O60" s="34" t="s">
        <v>98</v>
      </c>
      <c r="P60" s="34" t="s">
        <v>395</v>
      </c>
      <c r="S60" s="40"/>
      <c r="T60" s="34" t="s">
        <v>1520</v>
      </c>
    </row>
    <row hidden="1" r="61" ht="41.0">
      <c r="A61" s="36">
        <v>46097</v>
      </c>
      <c r="B61" s="34" t="s">
        <v>40</v>
      </c>
      <c r="C61" s="34" t="s">
        <v>108</v>
      </c>
      <c r="D61" s="37" t="s">
        <v>1521</v>
      </c>
      <c r="E61" s="34" t="s">
        <v>1006</v>
      </c>
      <c r="F61" s="38" t="s">
        <v>1522</v>
      </c>
      <c r="G61" s="34" t="s">
        <v>1523</v>
      </c>
      <c r="H61" s="34" t="s">
        <v>163</v>
      </c>
      <c r="K61" s="34" t="s">
        <v>69</v>
      </c>
      <c r="L61" s="34" t="s">
        <v>155</v>
      </c>
      <c r="M61" s="34" t="s">
        <v>117</v>
      </c>
      <c r="N61" s="34" t="s">
        <v>534</v>
      </c>
      <c r="O61" s="34" t="s">
        <v>98</v>
      </c>
      <c r="P61" s="34" t="s">
        <v>395</v>
      </c>
      <c r="S61" s="40"/>
      <c r="U61" s="34" t="s">
        <v>1524</v>
      </c>
    </row>
    <row r="62" ht="41.0">
      <c r="A62" s="36">
        <v>46097</v>
      </c>
      <c r="B62" s="34" t="s">
        <v>34</v>
      </c>
      <c r="C62" s="34" t="s">
        <v>108</v>
      </c>
      <c r="D62" s="37" t="s">
        <v>1525</v>
      </c>
      <c r="E62" s="34" t="s">
        <v>1526</v>
      </c>
      <c r="F62" s="38" t="s">
        <v>1527</v>
      </c>
      <c r="G62" s="34" t="s">
        <v>1528</v>
      </c>
      <c r="H62" s="34" t="s">
        <v>163</v>
      </c>
      <c r="I62" s="34" t="s">
        <v>1529</v>
      </c>
      <c r="J62" s="34" t="s">
        <v>216</v>
      </c>
      <c r="K62" s="34" t="s">
        <v>95</v>
      </c>
      <c r="L62" s="38" t="s">
        <v>1530</v>
      </c>
      <c r="M62" s="34" t="s">
        <v>97</v>
      </c>
      <c r="N62" s="34" t="s">
        <v>71</v>
      </c>
      <c r="O62" s="34" t="s">
        <v>84</v>
      </c>
      <c r="P62" s="34" t="s">
        <v>10</v>
      </c>
      <c r="Q62" s="34">
        <v>3.0</v>
      </c>
      <c r="S62" s="40" t="s">
        <v>127</v>
      </c>
      <c r="U62" s="38" t="s">
        <v>1531</v>
      </c>
      <c r="V62" s="34" t="s">
        <v>1532</v>
      </c>
    </row>
    <row r="63" ht="27.0">
      <c r="A63" s="36">
        <v>46098</v>
      </c>
      <c r="B63" s="34" t="s">
        <v>34</v>
      </c>
      <c r="C63" s="34" t="s">
        <v>76</v>
      </c>
      <c r="D63" s="37" t="s">
        <v>1533</v>
      </c>
      <c r="E63" s="34" t="s">
        <v>1452</v>
      </c>
      <c r="F63" s="38" t="s">
        <v>1534</v>
      </c>
      <c r="G63" s="34" t="s">
        <v>1535</v>
      </c>
      <c r="K63" s="34" t="s">
        <v>69</v>
      </c>
      <c r="M63" s="34" t="s">
        <v>117</v>
      </c>
      <c r="N63" s="34" t="s">
        <v>71</v>
      </c>
      <c r="O63" s="34" t="s">
        <v>84</v>
      </c>
      <c r="P63" s="34" t="s">
        <v>10</v>
      </c>
      <c r="Q63" s="34">
        <v>18.0</v>
      </c>
      <c r="S63" s="40" t="s">
        <v>118</v>
      </c>
      <c r="T63" s="34" t="s">
        <v>1536</v>
      </c>
      <c r="U63" s="38" t="s">
        <v>1537</v>
      </c>
    </row>
    <row r="64" ht="27.0">
      <c r="A64" s="36">
        <v>46098</v>
      </c>
      <c r="B64" s="34" t="s">
        <v>34</v>
      </c>
      <c r="C64" s="34" t="s">
        <v>88</v>
      </c>
      <c r="D64" s="37" t="s">
        <v>1538</v>
      </c>
      <c r="E64" s="34" t="s">
        <v>1446</v>
      </c>
      <c r="F64" s="38" t="s">
        <v>1539</v>
      </c>
      <c r="G64" s="34" t="s">
        <v>1540</v>
      </c>
      <c r="I64" s="34" t="s">
        <v>266</v>
      </c>
      <c r="K64" s="34" t="s">
        <v>95</v>
      </c>
      <c r="L64" s="38" t="s">
        <v>1541</v>
      </c>
      <c r="M64" s="34" t="s">
        <v>83</v>
      </c>
      <c r="N64" s="34" t="s">
        <v>71</v>
      </c>
      <c r="O64" s="34" t="s">
        <v>84</v>
      </c>
      <c r="P64" s="34" t="s">
        <v>10</v>
      </c>
      <c r="Q64" s="34" t="s">
        <v>248</v>
      </c>
      <c r="S64" s="40"/>
      <c r="U64" s="38" t="s">
        <v>1542</v>
      </c>
      <c r="V64" s="34" t="s">
        <v>1543</v>
      </c>
    </row>
    <row r="65" ht="27.0">
      <c r="A65" s="36">
        <v>46098</v>
      </c>
      <c r="B65" s="34" t="s">
        <v>39</v>
      </c>
      <c r="C65" s="34" t="s">
        <v>88</v>
      </c>
      <c r="D65" s="37" t="s">
        <v>1544</v>
      </c>
      <c r="E65" s="34" t="s">
        <v>882</v>
      </c>
      <c r="F65" s="38" t="s">
        <v>1545</v>
      </c>
      <c r="G65" s="34" t="s">
        <v>1546</v>
      </c>
      <c r="H65" s="34" t="s">
        <v>1547</v>
      </c>
      <c r="K65" s="34" t="s">
        <v>69</v>
      </c>
      <c r="L65" s="34" t="s">
        <v>155</v>
      </c>
      <c r="M65" s="34" t="s">
        <v>117</v>
      </c>
      <c r="N65" s="34" t="s">
        <v>882</v>
      </c>
      <c r="O65" s="34" t="s">
        <v>893</v>
      </c>
      <c r="P65" s="34" t="s">
        <v>893</v>
      </c>
      <c r="S65" s="40"/>
      <c r="U65" s="38" t="s">
        <v>1548</v>
      </c>
      <c r="W65" s="38" t="s">
        <v>1549</v>
      </c>
    </row>
    <row r="66" ht="55.0" customFormat="1" s="33">
      <c r="A66" s="36">
        <v>46098</v>
      </c>
      <c r="B66" s="34" t="s">
        <v>34</v>
      </c>
      <c r="C66" s="34" t="s">
        <v>108</v>
      </c>
      <c r="D66" s="37" t="s">
        <v>1550</v>
      </c>
      <c r="E66" s="34" t="s">
        <v>1551</v>
      </c>
      <c r="F66" s="38" t="s">
        <v>1552</v>
      </c>
      <c r="G66" s="34" t="s">
        <v>1553</v>
      </c>
      <c r="H66" s="34" t="s">
        <v>163</v>
      </c>
      <c r="I66" s="34" t="s">
        <v>1554</v>
      </c>
      <c r="J66" s="34"/>
      <c r="K66" s="34" t="s">
        <v>95</v>
      </c>
      <c r="L66" s="38" t="s">
        <v>1555</v>
      </c>
      <c r="M66" s="34" t="s">
        <v>97</v>
      </c>
      <c r="N66" s="34" t="s">
        <v>71</v>
      </c>
      <c r="O66" s="34" t="s">
        <v>84</v>
      </c>
      <c r="P66" s="34" t="s">
        <v>10</v>
      </c>
      <c r="Q66" s="34" t="s">
        <v>1556</v>
      </c>
      <c r="R66" s="34"/>
      <c r="S66" s="40" t="s">
        <v>99</v>
      </c>
      <c r="T66" s="34"/>
      <c r="U66" s="38" t="s">
        <v>1557</v>
      </c>
      <c r="V66" s="34" t="s">
        <v>1558</v>
      </c>
      <c r="W66" s="34"/>
      <c r="X66" s="34"/>
      <c r="Y66" s="34"/>
      <c r="Z66" s="34"/>
      <c r="AA66" s="34"/>
      <c r="AB66" s="34"/>
      <c r="AC66" s="34"/>
      <c r="AD66" s="34"/>
      <c r="AE66" s="34"/>
      <c r="AF66" s="34"/>
      <c r="AG66" s="34"/>
      <c r="AH66" s="34"/>
      <c r="AI66" s="34"/>
      <c r="AJ66" s="34"/>
      <c r="AK66" s="34"/>
      <c r="AL66" s="34"/>
      <c r="AM66" s="34"/>
      <c r="AN66" s="34"/>
      <c r="AO66" s="34"/>
      <c r="AP66" s="34"/>
      <c r="AQ66" s="34"/>
      <c r="AR66" s="34"/>
      <c r="AS66" s="34"/>
      <c r="AT66" s="34"/>
      <c r="AU66" s="34"/>
      <c r="AV66" s="34"/>
    </row>
    <row hidden="1" r="67" ht="41.0">
      <c r="A67" s="36">
        <v>46098</v>
      </c>
      <c r="B67" s="34" t="s">
        <v>34</v>
      </c>
      <c r="C67" s="34" t="s">
        <v>63</v>
      </c>
      <c r="D67" s="37" t="s">
        <v>1559</v>
      </c>
      <c r="E67" s="34" t="s">
        <v>1560</v>
      </c>
      <c r="F67" s="38" t="s">
        <v>1561</v>
      </c>
      <c r="G67" s="34" t="s">
        <v>1562</v>
      </c>
      <c r="K67" s="34" t="s">
        <v>125</v>
      </c>
      <c r="M67" s="34" t="s">
        <v>97</v>
      </c>
      <c r="N67" s="34" t="s">
        <v>309</v>
      </c>
      <c r="O67" s="34" t="s">
        <v>84</v>
      </c>
      <c r="P67" s="34" t="s">
        <v>10</v>
      </c>
      <c r="Q67" s="34">
        <v>70.0</v>
      </c>
      <c r="S67" s="40" t="s">
        <v>85</v>
      </c>
      <c r="U67" s="38" t="s">
        <v>1563</v>
      </c>
      <c r="V67" s="34" t="s">
        <v>1564</v>
      </c>
    </row>
    <row r="68" ht="109.0">
      <c r="A68" s="36">
        <v>46098</v>
      </c>
      <c r="B68" s="34" t="s">
        <v>34</v>
      </c>
      <c r="C68" s="34" t="s">
        <v>63</v>
      </c>
      <c r="D68" s="37" t="s">
        <v>1565</v>
      </c>
      <c r="E68" s="34" t="s">
        <v>1321</v>
      </c>
      <c r="F68" s="38" t="s">
        <v>1566</v>
      </c>
      <c r="G68" s="34" t="s">
        <v>1567</v>
      </c>
      <c r="I68" s="34" t="s">
        <v>1568</v>
      </c>
      <c r="K68" s="34" t="s">
        <v>95</v>
      </c>
      <c r="M68" s="34" t="s">
        <v>97</v>
      </c>
      <c r="N68" s="34" t="s">
        <v>71</v>
      </c>
      <c r="O68" s="34" t="s">
        <v>84</v>
      </c>
      <c r="P68" s="34" t="s">
        <v>10</v>
      </c>
      <c r="Q68" s="34">
        <v>5.0</v>
      </c>
      <c r="S68" s="40" t="s">
        <v>134</v>
      </c>
      <c r="U68" s="38" t="s">
        <v>1569</v>
      </c>
      <c r="V68" s="34" t="s">
        <v>1570</v>
      </c>
    </row>
    <row r="69" ht="55.0" customFormat="1" s="34">
      <c r="A69" s="36">
        <v>46063</v>
      </c>
      <c r="B69" s="34" t="s">
        <v>34</v>
      </c>
      <c r="C69" s="34" t="s">
        <v>88</v>
      </c>
      <c r="D69" s="37" t="s">
        <v>863</v>
      </c>
      <c r="E69" s="34" t="s">
        <v>864</v>
      </c>
      <c r="F69" s="38" t="s">
        <v>865</v>
      </c>
      <c r="G69" s="34" t="s">
        <v>1571</v>
      </c>
      <c r="H69" s="34" t="s">
        <v>163</v>
      </c>
      <c r="I69" s="34" t="s">
        <v>838</v>
      </c>
      <c r="K69" s="34" t="s">
        <v>95</v>
      </c>
      <c r="L69" s="38" t="s">
        <v>867</v>
      </c>
      <c r="M69" s="34" t="s">
        <v>117</v>
      </c>
      <c r="N69" s="34" t="s">
        <v>71</v>
      </c>
      <c r="O69" s="34" t="s">
        <v>84</v>
      </c>
      <c r="P69" s="34" t="s">
        <v>9</v>
      </c>
      <c r="Q69" s="34">
        <v>3.0</v>
      </c>
      <c r="S69" s="40"/>
      <c r="V69" s="34" t="s">
        <v>1572</v>
      </c>
    </row>
    <row r="70" ht="27.0">
      <c r="A70" s="36">
        <v>46099</v>
      </c>
      <c r="B70" s="34" t="s">
        <v>34</v>
      </c>
      <c r="C70" s="34" t="s">
        <v>76</v>
      </c>
      <c r="D70" s="37" t="s">
        <v>1573</v>
      </c>
      <c r="E70" s="34" t="s">
        <v>130</v>
      </c>
      <c r="F70" s="38" t="s">
        <v>1574</v>
      </c>
      <c r="G70" s="34" t="s">
        <v>1575</v>
      </c>
      <c r="K70" s="34" t="s">
        <v>69</v>
      </c>
      <c r="M70" s="34" t="s">
        <v>97</v>
      </c>
      <c r="N70" s="34" t="s">
        <v>71</v>
      </c>
      <c r="O70" s="34" t="s">
        <v>98</v>
      </c>
      <c r="P70" s="34" t="s">
        <v>395</v>
      </c>
      <c r="Q70" s="34" t="s">
        <v>248</v>
      </c>
      <c r="S70" s="40" t="s">
        <v>568</v>
      </c>
      <c r="U70" s="38" t="s">
        <v>1576</v>
      </c>
    </row>
    <row hidden="1" r="71" ht="27.0">
      <c r="A71" s="36">
        <v>46099</v>
      </c>
      <c r="B71" s="34" t="s">
        <v>34</v>
      </c>
      <c r="C71" s="34" t="s">
        <v>108</v>
      </c>
      <c r="D71" s="37" t="s">
        <v>1577</v>
      </c>
      <c r="E71" s="34" t="s">
        <v>1240</v>
      </c>
      <c r="F71" s="38" t="s">
        <v>1578</v>
      </c>
      <c r="G71" s="34" t="s">
        <v>1579</v>
      </c>
      <c r="H71" s="34" t="s">
        <v>163</v>
      </c>
      <c r="I71" s="34" t="s">
        <v>140</v>
      </c>
      <c r="K71" s="34" t="s">
        <v>69</v>
      </c>
      <c r="M71" s="34" t="s">
        <v>70</v>
      </c>
      <c r="N71" s="34" t="s">
        <v>309</v>
      </c>
      <c r="O71" s="34" t="s">
        <v>84</v>
      </c>
      <c r="P71" s="34" t="s">
        <v>11</v>
      </c>
      <c r="S71" s="40" t="s">
        <v>127</v>
      </c>
      <c r="U71" s="34" t="s">
        <v>456</v>
      </c>
    </row>
    <row r="72" ht="27.0">
      <c r="A72" s="36">
        <v>46099</v>
      </c>
      <c r="B72" s="34" t="s">
        <v>34</v>
      </c>
      <c r="C72" s="34" t="s">
        <v>108</v>
      </c>
      <c r="D72" s="37" t="s">
        <v>1580</v>
      </c>
      <c r="E72" s="34" t="s">
        <v>1240</v>
      </c>
      <c r="F72" s="38" t="s">
        <v>1581</v>
      </c>
      <c r="G72" s="34" t="s">
        <v>1582</v>
      </c>
      <c r="K72" s="34" t="s">
        <v>125</v>
      </c>
      <c r="L72" s="38" t="s">
        <v>1583</v>
      </c>
      <c r="M72" s="34" t="s">
        <v>83</v>
      </c>
      <c r="N72" s="34" t="s">
        <v>71</v>
      </c>
      <c r="O72" s="34" t="s">
        <v>84</v>
      </c>
      <c r="P72" s="34" t="s">
        <v>10</v>
      </c>
      <c r="Q72" s="34">
        <v>5.0</v>
      </c>
      <c r="S72" s="40" t="s">
        <v>127</v>
      </c>
      <c r="U72" s="38" t="s">
        <v>1584</v>
      </c>
    </row>
    <row r="73" ht="68.0">
      <c r="A73" s="36">
        <v>46099</v>
      </c>
      <c r="B73" s="34" t="s">
        <v>34</v>
      </c>
      <c r="C73" s="34" t="s">
        <v>76</v>
      </c>
      <c r="D73" s="37" t="s">
        <v>1573</v>
      </c>
      <c r="E73" s="34" t="s">
        <v>1585</v>
      </c>
      <c r="F73" s="38" t="s">
        <v>1586</v>
      </c>
      <c r="G73" s="34" t="s">
        <v>1587</v>
      </c>
      <c r="H73" s="34" t="s">
        <v>1588</v>
      </c>
      <c r="K73" s="34" t="s">
        <v>69</v>
      </c>
      <c r="M73" s="34" t="s">
        <v>97</v>
      </c>
      <c r="N73" s="34" t="s">
        <v>71</v>
      </c>
      <c r="O73" s="34" t="s">
        <v>84</v>
      </c>
      <c r="P73" s="34" t="s">
        <v>395</v>
      </c>
      <c r="Q73" s="34">
        <v>10.0</v>
      </c>
      <c r="S73" s="40"/>
      <c r="U73" s="38" t="s">
        <v>1589</v>
      </c>
    </row>
    <row r="74" ht="68.0">
      <c r="A74" s="36">
        <v>46100</v>
      </c>
      <c r="B74" s="34" t="s">
        <v>34</v>
      </c>
      <c r="C74" s="34" t="s">
        <v>76</v>
      </c>
      <c r="D74" s="37" t="s">
        <v>1590</v>
      </c>
      <c r="E74" s="34" t="s">
        <v>78</v>
      </c>
      <c r="F74" s="38" t="s">
        <v>1591</v>
      </c>
      <c r="G74" s="34" t="s">
        <v>1592</v>
      </c>
      <c r="H74" s="34" t="s">
        <v>163</v>
      </c>
      <c r="K74" s="34" t="s">
        <v>95</v>
      </c>
      <c r="M74" s="34" t="s">
        <v>117</v>
      </c>
      <c r="N74" s="34" t="s">
        <v>71</v>
      </c>
      <c r="O74" s="34" t="s">
        <v>84</v>
      </c>
      <c r="P74" s="34" t="s">
        <v>10</v>
      </c>
      <c r="Q74" s="43">
        <v>46300</v>
      </c>
      <c r="S74" s="40" t="s">
        <v>99</v>
      </c>
      <c r="U74" s="38" t="s">
        <v>1593</v>
      </c>
      <c r="V74" s="34" t="s">
        <v>1594</v>
      </c>
    </row>
    <row r="75" ht="82.0">
      <c r="A75" s="36">
        <v>46100</v>
      </c>
      <c r="B75" s="34" t="s">
        <v>38</v>
      </c>
      <c r="C75" s="34" t="s">
        <v>76</v>
      </c>
      <c r="D75" s="37" t="s">
        <v>1595</v>
      </c>
      <c r="E75" s="34" t="s">
        <v>193</v>
      </c>
      <c r="F75" s="38" t="s">
        <v>1596</v>
      </c>
      <c r="G75" s="34" t="s">
        <v>1597</v>
      </c>
      <c r="H75" s="34" t="s">
        <v>163</v>
      </c>
      <c r="K75" s="34" t="s">
        <v>95</v>
      </c>
      <c r="M75" s="34" t="s">
        <v>97</v>
      </c>
      <c r="N75" s="34" t="s">
        <v>71</v>
      </c>
      <c r="O75" s="34" t="s">
        <v>98</v>
      </c>
      <c r="P75" s="34" t="s">
        <v>10</v>
      </c>
      <c r="Q75" s="34">
        <v>200.0</v>
      </c>
      <c r="S75" s="40" t="s">
        <v>127</v>
      </c>
      <c r="V75" s="34" t="s">
        <v>1598</v>
      </c>
    </row>
    <row r="76" ht="68.0">
      <c r="A76" s="36">
        <v>46100</v>
      </c>
      <c r="B76" s="34" t="s">
        <v>37</v>
      </c>
      <c r="C76" s="34" t="s">
        <v>108</v>
      </c>
      <c r="D76" s="37" t="s">
        <v>1599</v>
      </c>
      <c r="E76" s="34" t="s">
        <v>1600</v>
      </c>
      <c r="F76" s="38" t="s">
        <v>1601</v>
      </c>
      <c r="G76" s="34" t="s">
        <v>1602</v>
      </c>
      <c r="H76" s="34" t="s">
        <v>1603</v>
      </c>
      <c r="I76" s="34" t="s">
        <v>1604</v>
      </c>
      <c r="J76" s="34" t="s">
        <v>206</v>
      </c>
      <c r="K76" s="34" t="s">
        <v>125</v>
      </c>
      <c r="L76" s="38" t="s">
        <v>1605</v>
      </c>
      <c r="M76" s="34" t="s">
        <v>117</v>
      </c>
      <c r="N76" s="34" t="s">
        <v>71</v>
      </c>
      <c r="O76" s="34" t="s">
        <v>98</v>
      </c>
      <c r="P76" s="34" t="s">
        <v>11</v>
      </c>
      <c r="Q76" s="34" t="s">
        <v>1606</v>
      </c>
      <c r="S76" s="40" t="s">
        <v>134</v>
      </c>
      <c r="T76" s="38" t="s">
        <v>1607</v>
      </c>
      <c r="U76" s="38" t="s">
        <v>1608</v>
      </c>
      <c r="W76" s="34" t="s">
        <v>1609</v>
      </c>
    </row>
    <row r="77" ht="55.0">
      <c r="A77" s="36">
        <v>46100</v>
      </c>
      <c r="B77" s="34" t="s">
        <v>37</v>
      </c>
      <c r="C77" s="34" t="s">
        <v>108</v>
      </c>
      <c r="D77" s="37" t="s">
        <v>1610</v>
      </c>
      <c r="E77" s="34" t="s">
        <v>377</v>
      </c>
      <c r="F77" s="38" t="s">
        <v>1611</v>
      </c>
      <c r="G77" s="34" t="s">
        <v>1612</v>
      </c>
      <c r="H77" s="34" t="s">
        <v>163</v>
      </c>
      <c r="I77" s="34" t="s">
        <v>163</v>
      </c>
      <c r="K77" s="34" t="s">
        <v>95</v>
      </c>
      <c r="L77" s="38" t="s">
        <v>1613</v>
      </c>
      <c r="M77" s="34" t="s">
        <v>117</v>
      </c>
      <c r="N77" s="34" t="s">
        <v>71</v>
      </c>
      <c r="O77" s="34" t="s">
        <v>84</v>
      </c>
      <c r="P77" s="34" t="s">
        <v>9</v>
      </c>
      <c r="Q77" s="34">
        <v>3.0</v>
      </c>
      <c r="S77" s="40" t="s">
        <v>127</v>
      </c>
      <c r="U77" s="38" t="s">
        <v>1614</v>
      </c>
      <c r="V77" s="34" t="s">
        <v>1615</v>
      </c>
    </row>
    <row hidden="1" r="78" ht="27.0" customFormat="1" s="34">
      <c r="A78" s="36">
        <v>46101</v>
      </c>
      <c r="B78" s="34" t="s">
        <v>34</v>
      </c>
      <c r="C78" s="34" t="s">
        <v>76</v>
      </c>
      <c r="D78" s="37" t="s">
        <v>1616</v>
      </c>
      <c r="E78" s="34" t="s">
        <v>65</v>
      </c>
      <c r="F78" s="38" t="s">
        <v>1617</v>
      </c>
      <c r="G78" s="34" t="s">
        <v>1618</v>
      </c>
      <c r="H78" s="34" t="s">
        <v>163</v>
      </c>
      <c r="K78" s="34" t="s">
        <v>69</v>
      </c>
      <c r="M78" s="34" t="s">
        <v>97</v>
      </c>
      <c r="N78" s="34" t="s">
        <v>156</v>
      </c>
      <c r="O78" s="34" t="s">
        <v>157</v>
      </c>
      <c r="P78" s="34" t="s">
        <v>158</v>
      </c>
      <c r="Q78" s="34">
        <v>6.0</v>
      </c>
      <c r="S78" s="40" t="s">
        <v>85</v>
      </c>
      <c r="U78" s="34" t="s">
        <v>1619</v>
      </c>
    </row>
    <row hidden="1" r="79" ht="41.0">
      <c r="A79" s="36">
        <v>46101</v>
      </c>
      <c r="B79" s="34" t="s">
        <v>34</v>
      </c>
      <c r="C79" s="34" t="s">
        <v>76</v>
      </c>
      <c r="D79" s="37" t="s">
        <v>1620</v>
      </c>
      <c r="E79" s="34" t="s">
        <v>78</v>
      </c>
      <c r="F79" s="38" t="s">
        <v>1621</v>
      </c>
      <c r="G79" s="34" t="s">
        <v>1622</v>
      </c>
      <c r="H79" s="34" t="s">
        <v>163</v>
      </c>
      <c r="K79" s="34" t="s">
        <v>69</v>
      </c>
      <c r="M79" s="34" t="s">
        <v>97</v>
      </c>
      <c r="N79" s="34" t="s">
        <v>156</v>
      </c>
      <c r="O79" s="34" t="s">
        <v>157</v>
      </c>
      <c r="P79" s="34" t="s">
        <v>158</v>
      </c>
      <c r="Q79" s="34">
        <v>80.0</v>
      </c>
      <c r="S79" s="40" t="s">
        <v>127</v>
      </c>
    </row>
    <row r="80" ht="41.0">
      <c r="A80" s="36">
        <v>46101</v>
      </c>
      <c r="B80" s="34" t="s">
        <v>34</v>
      </c>
      <c r="C80" s="34" t="s">
        <v>88</v>
      </c>
      <c r="D80" s="37" t="s">
        <v>1623</v>
      </c>
      <c r="E80" s="34" t="s">
        <v>370</v>
      </c>
      <c r="F80" s="38" t="s">
        <v>1624</v>
      </c>
      <c r="G80" s="34" t="s">
        <v>1625</v>
      </c>
      <c r="H80" s="34" t="s">
        <v>163</v>
      </c>
      <c r="K80" s="34" t="s">
        <v>125</v>
      </c>
      <c r="L80" s="34" t="s">
        <v>155</v>
      </c>
      <c r="M80" s="34" t="s">
        <v>97</v>
      </c>
      <c r="N80" s="34" t="s">
        <v>71</v>
      </c>
      <c r="O80" s="34" t="s">
        <v>98</v>
      </c>
      <c r="P80" s="34" t="s">
        <v>11</v>
      </c>
      <c r="Q80" s="43">
        <v>46115</v>
      </c>
      <c r="S80" s="40" t="s">
        <v>134</v>
      </c>
      <c r="U80" s="34" t="s">
        <v>1626</v>
      </c>
      <c r="V80" s="34" t="s">
        <v>1627</v>
      </c>
    </row>
    <row r="81" ht="58.0">
      <c r="A81" s="36">
        <v>46101</v>
      </c>
      <c r="B81" s="34" t="s">
        <v>34</v>
      </c>
      <c r="C81" s="34" t="s">
        <v>88</v>
      </c>
      <c r="D81" s="37" t="s">
        <v>1628</v>
      </c>
      <c r="E81" s="34" t="s">
        <v>1629</v>
      </c>
      <c r="F81" s="38" t="s">
        <v>1630</v>
      </c>
      <c r="G81" s="34" t="s">
        <v>1631</v>
      </c>
      <c r="H81" s="34" t="s">
        <v>1632</v>
      </c>
      <c r="I81" s="34" t="s">
        <v>1633</v>
      </c>
      <c r="K81" s="34" t="s">
        <v>95</v>
      </c>
      <c r="L81" s="38" t="s">
        <v>1634</v>
      </c>
      <c r="M81" s="34" t="s">
        <v>83</v>
      </c>
      <c r="N81" s="34" t="s">
        <v>71</v>
      </c>
      <c r="O81" s="34" t="s">
        <v>207</v>
      </c>
      <c r="P81" s="34" t="s">
        <v>9</v>
      </c>
      <c r="Q81" s="34">
        <v>6.0</v>
      </c>
      <c r="S81" s="40" t="s">
        <v>134</v>
      </c>
      <c r="U81" s="38" t="s">
        <v>1635</v>
      </c>
      <c r="V81" s="64" t="s">
        <v>1636</v>
      </c>
      <c r="W81" s="34" t="s">
        <v>1637</v>
      </c>
    </row>
    <row r="82" ht="27.0">
      <c r="A82" s="36">
        <v>46101</v>
      </c>
      <c r="B82" s="34" t="s">
        <v>34</v>
      </c>
      <c r="C82" s="34" t="s">
        <v>63</v>
      </c>
      <c r="D82" s="37" t="s">
        <v>1638</v>
      </c>
      <c r="E82" s="34" t="s">
        <v>1240</v>
      </c>
      <c r="F82" s="38" t="s">
        <v>1639</v>
      </c>
      <c r="G82" s="34" t="s">
        <v>1640</v>
      </c>
      <c r="K82" s="34" t="s">
        <v>69</v>
      </c>
      <c r="M82" s="34" t="s">
        <v>474</v>
      </c>
      <c r="N82" s="34" t="s">
        <v>71</v>
      </c>
      <c r="O82" s="34" t="s">
        <v>72</v>
      </c>
      <c r="P82" s="34" t="s">
        <v>11</v>
      </c>
      <c r="Q82" s="34">
        <v>6000.0</v>
      </c>
      <c r="S82" s="40" t="s">
        <v>73</v>
      </c>
      <c r="U82" s="34" t="s">
        <v>1304</v>
      </c>
    </row>
    <row r="83" ht="178.0">
      <c r="A83" s="36">
        <v>46101</v>
      </c>
      <c r="B83" s="34" t="s">
        <v>34</v>
      </c>
      <c r="C83" s="34" t="s">
        <v>63</v>
      </c>
      <c r="D83" s="37" t="s">
        <v>1641</v>
      </c>
      <c r="E83" s="34" t="s">
        <v>130</v>
      </c>
      <c r="F83" s="38" t="s">
        <v>1642</v>
      </c>
      <c r="G83" s="34" t="s">
        <v>1643</v>
      </c>
      <c r="H83" s="34" t="s">
        <v>1644</v>
      </c>
      <c r="I83" s="34" t="s">
        <v>1645</v>
      </c>
      <c r="K83" s="34" t="s">
        <v>69</v>
      </c>
      <c r="M83" s="34" t="s">
        <v>474</v>
      </c>
      <c r="N83" s="34" t="s">
        <v>71</v>
      </c>
      <c r="O83" s="34" t="s">
        <v>98</v>
      </c>
      <c r="P83" s="34" t="s">
        <v>11</v>
      </c>
      <c r="Q83" s="34" t="s">
        <v>1646</v>
      </c>
      <c r="S83" s="40" t="s">
        <v>73</v>
      </c>
      <c r="T83" s="34" t="s">
        <v>1647</v>
      </c>
      <c r="U83" s="34" t="s">
        <v>668</v>
      </c>
    </row>
    <row hidden="1" r="84" ht="27.0">
      <c r="A84" s="36">
        <v>46104</v>
      </c>
      <c r="B84" s="34" t="s">
        <v>34</v>
      </c>
      <c r="C84" s="34" t="s">
        <v>88</v>
      </c>
      <c r="D84" s="37" t="s">
        <v>1648</v>
      </c>
      <c r="E84" s="34" t="s">
        <v>130</v>
      </c>
      <c r="F84" s="38" t="s">
        <v>1649</v>
      </c>
      <c r="G84" s="34" t="s">
        <v>1571</v>
      </c>
      <c r="I84" s="34" t="s">
        <v>277</v>
      </c>
      <c r="J84" s="34" t="s">
        <v>1650</v>
      </c>
      <c r="K84" s="34" t="s">
        <v>125</v>
      </c>
      <c r="L84" s="34" t="s">
        <v>155</v>
      </c>
      <c r="M84" s="34" t="s">
        <v>117</v>
      </c>
      <c r="N84" s="34" t="s">
        <v>309</v>
      </c>
      <c r="O84" s="34" t="s">
        <v>84</v>
      </c>
      <c r="P84" s="34" t="s">
        <v>9</v>
      </c>
      <c r="Q84" s="34">
        <v>5.0</v>
      </c>
      <c r="S84" s="40" t="s">
        <v>127</v>
      </c>
      <c r="U84" s="38" t="s">
        <v>1651</v>
      </c>
      <c r="V84" s="34" t="s">
        <v>1652</v>
      </c>
    </row>
    <row hidden="1" r="85" ht="27.0">
      <c r="A85" s="36">
        <v>46104</v>
      </c>
      <c r="B85" s="34" t="s">
        <v>34</v>
      </c>
      <c r="C85" s="34" t="s">
        <v>88</v>
      </c>
      <c r="D85" s="37" t="s">
        <v>1620</v>
      </c>
      <c r="E85" s="34" t="s">
        <v>885</v>
      </c>
      <c r="F85" s="38" t="s">
        <v>1653</v>
      </c>
      <c r="G85" s="34" t="s">
        <v>1654</v>
      </c>
      <c r="K85" s="34" t="s">
        <v>69</v>
      </c>
      <c r="L85" s="34" t="s">
        <v>155</v>
      </c>
      <c r="M85" s="34" t="s">
        <v>97</v>
      </c>
      <c r="N85" s="34" t="s">
        <v>156</v>
      </c>
      <c r="O85" s="34" t="s">
        <v>157</v>
      </c>
      <c r="P85" s="34" t="s">
        <v>158</v>
      </c>
      <c r="Q85" s="34">
        <v>80.0</v>
      </c>
      <c r="S85" s="40" t="s">
        <v>127</v>
      </c>
    </row>
    <row r="86" ht="41.0">
      <c r="A86" s="36">
        <v>46104</v>
      </c>
      <c r="B86" s="34" t="s">
        <v>34</v>
      </c>
      <c r="C86" s="34" t="s">
        <v>88</v>
      </c>
      <c r="D86" s="37" t="s">
        <v>1655</v>
      </c>
      <c r="E86" s="34" t="s">
        <v>976</v>
      </c>
      <c r="F86" s="38" t="s">
        <v>1656</v>
      </c>
      <c r="G86" s="34" t="s">
        <v>1657</v>
      </c>
      <c r="I86" s="34" t="s">
        <v>266</v>
      </c>
      <c r="K86" s="34" t="s">
        <v>95</v>
      </c>
      <c r="L86" s="34" t="s">
        <v>155</v>
      </c>
      <c r="M86" s="34" t="s">
        <v>83</v>
      </c>
      <c r="N86" s="34" t="s">
        <v>71</v>
      </c>
      <c r="O86" s="34" t="s">
        <v>207</v>
      </c>
      <c r="P86" s="34" t="s">
        <v>10</v>
      </c>
      <c r="Q86" s="34" t="s">
        <v>248</v>
      </c>
      <c r="S86" s="40"/>
      <c r="U86" s="34" t="s">
        <v>1626</v>
      </c>
      <c r="V86" s="34" t="s">
        <v>1097</v>
      </c>
    </row>
    <row hidden="1" r="87" ht="27.0">
      <c r="A87" s="36">
        <v>46104</v>
      </c>
      <c r="B87" s="34" t="s">
        <v>34</v>
      </c>
      <c r="C87" s="34" t="s">
        <v>88</v>
      </c>
      <c r="D87" s="37" t="s">
        <v>1658</v>
      </c>
      <c r="E87" s="34" t="s">
        <v>1659</v>
      </c>
      <c r="F87" s="38" t="s">
        <v>1660</v>
      </c>
      <c r="G87" s="34" t="s">
        <v>1661</v>
      </c>
      <c r="K87" s="34" t="s">
        <v>69</v>
      </c>
      <c r="L87" s="34" t="s">
        <v>155</v>
      </c>
      <c r="M87" s="34" t="s">
        <v>97</v>
      </c>
      <c r="N87" s="34" t="s">
        <v>156</v>
      </c>
      <c r="O87" s="34" t="s">
        <v>157</v>
      </c>
      <c r="P87" s="34" t="s">
        <v>158</v>
      </c>
      <c r="Q87" s="34">
        <v>1.0</v>
      </c>
      <c r="S87" s="40" t="s">
        <v>294</v>
      </c>
    </row>
    <row r="88" ht="41.0">
      <c r="A88" s="36">
        <v>46104</v>
      </c>
      <c r="B88" s="34" t="s">
        <v>34</v>
      </c>
      <c r="C88" s="34" t="s">
        <v>63</v>
      </c>
      <c r="D88" s="37" t="s">
        <v>1662</v>
      </c>
      <c r="E88" s="34" t="s">
        <v>663</v>
      </c>
      <c r="F88" s="38" t="s">
        <v>1663</v>
      </c>
      <c r="G88" s="34" t="s">
        <v>1664</v>
      </c>
      <c r="I88" s="34" t="s">
        <v>1665</v>
      </c>
      <c r="J88" s="34" t="s">
        <v>1666</v>
      </c>
      <c r="K88" s="34" t="s">
        <v>95</v>
      </c>
      <c r="M88" s="34" t="s">
        <v>97</v>
      </c>
      <c r="N88" s="34" t="s">
        <v>71</v>
      </c>
      <c r="O88" s="34" t="s">
        <v>98</v>
      </c>
      <c r="P88" s="34" t="s">
        <v>10</v>
      </c>
      <c r="Q88" s="34">
        <v>3.0</v>
      </c>
      <c r="S88" s="40" t="s">
        <v>127</v>
      </c>
      <c r="U88" s="38"/>
      <c r="V88" s="34" t="s">
        <v>1667</v>
      </c>
    </row>
    <row r="89" ht="27.0">
      <c r="A89" s="36">
        <v>46104</v>
      </c>
      <c r="B89" s="34" t="s">
        <v>34</v>
      </c>
      <c r="C89" s="34" t="s">
        <v>76</v>
      </c>
      <c r="D89" s="37" t="s">
        <v>1668</v>
      </c>
      <c r="E89" s="34" t="s">
        <v>1669</v>
      </c>
      <c r="F89" s="38" t="s">
        <v>1670</v>
      </c>
      <c r="G89" s="34" t="s">
        <v>1671</v>
      </c>
      <c r="H89" s="34" t="s">
        <v>163</v>
      </c>
      <c r="J89" s="34" t="s">
        <v>216</v>
      </c>
      <c r="K89" s="34" t="s">
        <v>173</v>
      </c>
      <c r="M89" s="34" t="s">
        <v>97</v>
      </c>
      <c r="N89" s="34" t="s">
        <v>71</v>
      </c>
      <c r="O89" s="34" t="s">
        <v>84</v>
      </c>
      <c r="P89" s="34" t="s">
        <v>9</v>
      </c>
      <c r="Q89" s="34">
        <v>3.0</v>
      </c>
      <c r="S89" s="40" t="s">
        <v>99</v>
      </c>
      <c r="U89" s="34" t="s">
        <v>1672</v>
      </c>
    </row>
    <row r="90" ht="15.0">
      <c r="A90" s="36">
        <v>46105</v>
      </c>
      <c r="B90" s="34" t="s">
        <v>35</v>
      </c>
      <c r="C90" s="34" t="s">
        <v>76</v>
      </c>
      <c r="D90" s="37" t="s">
        <v>1673</v>
      </c>
      <c r="E90" s="61" t="s">
        <v>377</v>
      </c>
      <c r="F90" s="38" t="s">
        <v>1674</v>
      </c>
      <c r="G90" s="34" t="s">
        <v>1675</v>
      </c>
      <c r="H90" s="34" t="s">
        <v>163</v>
      </c>
      <c r="K90" s="34" t="s">
        <v>95</v>
      </c>
      <c r="M90" s="34" t="s">
        <v>97</v>
      </c>
      <c r="N90" s="34" t="s">
        <v>71</v>
      </c>
      <c r="O90" s="34" t="s">
        <v>84</v>
      </c>
      <c r="P90" s="34" t="s">
        <v>10</v>
      </c>
      <c r="Q90" s="34">
        <v>4.0</v>
      </c>
      <c r="S90" s="40" t="s">
        <v>134</v>
      </c>
      <c r="U90" s="34" t="s">
        <v>1672</v>
      </c>
    </row>
    <row r="91" ht="68.0">
      <c r="A91" s="36">
        <v>46105</v>
      </c>
      <c r="B91" s="34" t="s">
        <v>34</v>
      </c>
      <c r="C91" s="34" t="s">
        <v>88</v>
      </c>
      <c r="D91" s="37" t="s">
        <v>1676</v>
      </c>
      <c r="E91" s="34" t="s">
        <v>130</v>
      </c>
      <c r="F91" s="38" t="s">
        <v>1677</v>
      </c>
      <c r="G91" s="34" t="s">
        <v>1678</v>
      </c>
      <c r="I91" s="34" t="s">
        <v>140</v>
      </c>
      <c r="K91" s="34" t="s">
        <v>95</v>
      </c>
      <c r="L91" s="34" t="s">
        <v>155</v>
      </c>
      <c r="M91" s="34" t="s">
        <v>97</v>
      </c>
      <c r="N91" s="34" t="s">
        <v>71</v>
      </c>
      <c r="O91" s="34" t="s">
        <v>207</v>
      </c>
      <c r="P91" s="34" t="s">
        <v>10</v>
      </c>
      <c r="Q91" s="34">
        <v>10.0</v>
      </c>
      <c r="S91" s="40" t="s">
        <v>134</v>
      </c>
      <c r="U91" s="38" t="s">
        <v>1679</v>
      </c>
      <c r="V91" s="34" t="s">
        <v>1680</v>
      </c>
      <c r="W91" s="34" t="s">
        <v>1681</v>
      </c>
    </row>
    <row r="92" ht="68.0">
      <c r="A92" s="36">
        <v>46105</v>
      </c>
      <c r="B92" s="34" t="s">
        <v>36</v>
      </c>
      <c r="C92" s="34" t="s">
        <v>88</v>
      </c>
      <c r="D92" s="37" t="s">
        <v>1682</v>
      </c>
      <c r="E92" s="34" t="s">
        <v>1683</v>
      </c>
      <c r="F92" s="38" t="s">
        <v>1684</v>
      </c>
      <c r="G92" s="34" t="s">
        <v>1685</v>
      </c>
      <c r="H92" s="34" t="s">
        <v>1686</v>
      </c>
      <c r="I92" s="34" t="s">
        <v>93</v>
      </c>
      <c r="J92" s="34" t="s">
        <v>1687</v>
      </c>
      <c r="K92" s="34" t="s">
        <v>69</v>
      </c>
      <c r="L92" s="38" t="s">
        <v>1688</v>
      </c>
      <c r="M92" s="34" t="s">
        <v>97</v>
      </c>
      <c r="N92" s="34" t="s">
        <v>71</v>
      </c>
      <c r="O92" s="34" t="s">
        <v>84</v>
      </c>
      <c r="P92" s="34" t="s">
        <v>10</v>
      </c>
      <c r="Q92" s="34">
        <v>200.0</v>
      </c>
      <c r="S92" s="40" t="s">
        <v>127</v>
      </c>
      <c r="U92" s="38" t="s">
        <v>1689</v>
      </c>
      <c r="V92" s="34" t="s">
        <v>1690</v>
      </c>
      <c r="W92" s="34" t="s">
        <v>1691</v>
      </c>
    </row>
    <row hidden="1" r="93" ht="41.0" customFormat="1" s="34">
      <c r="A93" s="36">
        <v>46093</v>
      </c>
      <c r="B93" s="34" t="s">
        <v>34</v>
      </c>
      <c r="C93" s="34" t="s">
        <v>88</v>
      </c>
      <c r="D93" s="37" t="s">
        <v>1445</v>
      </c>
      <c r="E93" s="34" t="s">
        <v>1446</v>
      </c>
      <c r="F93" s="34" t="s">
        <v>1447</v>
      </c>
      <c r="G93" s="34" t="s">
        <v>1692</v>
      </c>
      <c r="K93" s="34" t="s">
        <v>95</v>
      </c>
      <c r="M93" s="34" t="s">
        <v>97</v>
      </c>
      <c r="N93" s="34" t="s">
        <v>309</v>
      </c>
      <c r="O93" s="34" t="s">
        <v>84</v>
      </c>
      <c r="P93" s="34" t="s">
        <v>11</v>
      </c>
      <c r="Q93" s="34">
        <v>70.0</v>
      </c>
      <c r="S93" s="40" t="s">
        <v>127</v>
      </c>
      <c r="V93" s="34" t="s">
        <v>1693</v>
      </c>
    </row>
    <row r="94" ht="41.0">
      <c r="A94" s="36">
        <v>46105</v>
      </c>
      <c r="B94" s="34" t="s">
        <v>34</v>
      </c>
      <c r="C94" s="34" t="s">
        <v>108</v>
      </c>
      <c r="D94" s="37" t="s">
        <v>1694</v>
      </c>
      <c r="E94" s="34" t="s">
        <v>1695</v>
      </c>
      <c r="F94" s="38" t="s">
        <v>1696</v>
      </c>
      <c r="G94" s="34" t="s">
        <v>1697</v>
      </c>
      <c r="H94" s="34" t="s">
        <v>163</v>
      </c>
      <c r="I94" s="34" t="s">
        <v>140</v>
      </c>
      <c r="J94" s="34" t="s">
        <v>1698</v>
      </c>
      <c r="K94" s="34" t="s">
        <v>95</v>
      </c>
      <c r="L94" s="34" t="s">
        <v>155</v>
      </c>
      <c r="M94" s="34" t="s">
        <v>97</v>
      </c>
      <c r="N94" s="34" t="s">
        <v>71</v>
      </c>
      <c r="O94" s="34" t="s">
        <v>84</v>
      </c>
      <c r="P94" s="34" t="s">
        <v>10</v>
      </c>
      <c r="S94" s="40" t="s">
        <v>127</v>
      </c>
      <c r="U94" s="38" t="s">
        <v>1699</v>
      </c>
      <c r="V94" s="34" t="s">
        <v>1700</v>
      </c>
    </row>
    <row r="95" ht="68.0">
      <c r="A95" s="36">
        <v>46105</v>
      </c>
      <c r="B95" s="34" t="s">
        <v>36</v>
      </c>
      <c r="C95" s="34" t="s">
        <v>108</v>
      </c>
      <c r="D95" s="37" t="s">
        <v>1701</v>
      </c>
      <c r="E95" s="34" t="s">
        <v>1508</v>
      </c>
      <c r="F95" s="38" t="s">
        <v>1702</v>
      </c>
      <c r="G95" s="34" t="s">
        <v>1703</v>
      </c>
      <c r="H95" s="34" t="s">
        <v>163</v>
      </c>
      <c r="I95" s="34" t="s">
        <v>266</v>
      </c>
      <c r="K95" s="34" t="s">
        <v>184</v>
      </c>
      <c r="L95" s="38" t="s">
        <v>1704</v>
      </c>
      <c r="M95" s="34" t="s">
        <v>117</v>
      </c>
      <c r="N95" s="34" t="s">
        <v>71</v>
      </c>
      <c r="O95" s="34" t="s">
        <v>84</v>
      </c>
      <c r="P95" s="34" t="s">
        <v>9</v>
      </c>
      <c r="Q95" s="34">
        <v>3.0</v>
      </c>
      <c r="S95" s="40" t="s">
        <v>134</v>
      </c>
      <c r="U95" s="38" t="s">
        <v>1705</v>
      </c>
    </row>
    <row r="96" ht="27.0">
      <c r="A96" s="36">
        <v>46106</v>
      </c>
      <c r="B96" s="34" t="s">
        <v>34</v>
      </c>
      <c r="C96" s="34" t="s">
        <v>76</v>
      </c>
      <c r="D96" s="37" t="s">
        <v>1706</v>
      </c>
      <c r="E96" s="34" t="s">
        <v>78</v>
      </c>
      <c r="F96" s="38" t="s">
        <v>1707</v>
      </c>
      <c r="G96" s="34" t="s">
        <v>1708</v>
      </c>
      <c r="H96" s="34" t="s">
        <v>163</v>
      </c>
      <c r="I96" s="34" t="s">
        <v>715</v>
      </c>
      <c r="K96" s="34" t="s">
        <v>95</v>
      </c>
      <c r="M96" s="34" t="s">
        <v>97</v>
      </c>
      <c r="N96" s="34" t="s">
        <v>71</v>
      </c>
      <c r="O96" s="34" t="s">
        <v>98</v>
      </c>
      <c r="P96" s="34" t="s">
        <v>10</v>
      </c>
      <c r="Q96" s="34">
        <v>15.0</v>
      </c>
      <c r="S96" s="40" t="s">
        <v>134</v>
      </c>
      <c r="U96" s="38" t="s">
        <v>1709</v>
      </c>
      <c r="V96" s="34" t="s">
        <v>1710</v>
      </c>
    </row>
    <row r="97" ht="68.0">
      <c r="A97" s="36">
        <v>46106</v>
      </c>
      <c r="B97" s="34" t="s">
        <v>36</v>
      </c>
      <c r="C97" s="34" t="s">
        <v>88</v>
      </c>
      <c r="D97" s="37" t="s">
        <v>1711</v>
      </c>
      <c r="E97" s="34" t="s">
        <v>1240</v>
      </c>
      <c r="F97" s="38" t="s">
        <v>1712</v>
      </c>
      <c r="G97" s="34" t="s">
        <v>1713</v>
      </c>
      <c r="H97" s="34" t="s">
        <v>163</v>
      </c>
      <c r="I97" s="34" t="s">
        <v>351</v>
      </c>
      <c r="J97" s="34" t="s">
        <v>839</v>
      </c>
      <c r="K97" s="34" t="s">
        <v>95</v>
      </c>
      <c r="L97" s="34" t="s">
        <v>155</v>
      </c>
      <c r="M97" s="34" t="s">
        <v>83</v>
      </c>
      <c r="N97" s="34" t="s">
        <v>71</v>
      </c>
      <c r="O97" s="34" t="s">
        <v>207</v>
      </c>
      <c r="P97" s="34" t="s">
        <v>10</v>
      </c>
      <c r="Q97" s="34">
        <v>3.0</v>
      </c>
      <c r="S97" s="40"/>
      <c r="U97" s="38" t="s">
        <v>1714</v>
      </c>
      <c r="V97" s="34" t="s">
        <v>1715</v>
      </c>
    </row>
    <row hidden="1" r="98" ht="55.0" customFormat="1" s="34">
      <c r="A98" s="36">
        <v>46107</v>
      </c>
      <c r="B98" s="34" t="s">
        <v>36</v>
      </c>
      <c r="C98" s="34" t="s">
        <v>88</v>
      </c>
      <c r="D98" s="37" t="s">
        <v>1716</v>
      </c>
      <c r="E98" s="34" t="s">
        <v>1683</v>
      </c>
      <c r="F98" s="38" t="s">
        <v>1684</v>
      </c>
      <c r="G98" s="34" t="s">
        <v>1685</v>
      </c>
      <c r="I98" s="34" t="s">
        <v>93</v>
      </c>
      <c r="J98" s="34" t="s">
        <v>1687</v>
      </c>
      <c r="K98" s="34" t="s">
        <v>69</v>
      </c>
      <c r="L98" s="38" t="s">
        <v>1688</v>
      </c>
      <c r="M98" s="34" t="s">
        <v>97</v>
      </c>
      <c r="N98" s="34" t="s">
        <v>309</v>
      </c>
      <c r="O98" s="34" t="s">
        <v>84</v>
      </c>
      <c r="P98" s="34" t="s">
        <v>10</v>
      </c>
      <c r="Q98" s="34">
        <v>200.0</v>
      </c>
      <c r="S98" s="40" t="s">
        <v>127</v>
      </c>
      <c r="T98" s="34" t="s">
        <v>1717</v>
      </c>
      <c r="U98" s="34" t="s">
        <v>456</v>
      </c>
      <c r="V98" s="34" t="s">
        <v>1690</v>
      </c>
      <c r="W98" s="38" t="s">
        <v>1718</v>
      </c>
    </row>
    <row r="99" ht="41.0">
      <c r="A99" s="36">
        <v>46106</v>
      </c>
      <c r="B99" s="34" t="s">
        <v>34</v>
      </c>
      <c r="C99" s="34" t="s">
        <v>63</v>
      </c>
      <c r="D99" s="37" t="s">
        <v>1719</v>
      </c>
      <c r="E99" s="34" t="s">
        <v>1720</v>
      </c>
      <c r="F99" s="38" t="s">
        <v>1721</v>
      </c>
      <c r="G99" s="34" t="s">
        <v>1722</v>
      </c>
      <c r="H99" s="34" t="s">
        <v>1723</v>
      </c>
      <c r="K99" s="34" t="s">
        <v>115</v>
      </c>
      <c r="M99" s="34" t="s">
        <v>97</v>
      </c>
      <c r="N99" s="34" t="s">
        <v>71</v>
      </c>
      <c r="O99" s="34" t="s">
        <v>157</v>
      </c>
      <c r="P99" s="34" t="s">
        <v>158</v>
      </c>
      <c r="Q99" s="34">
        <v>100.0</v>
      </c>
      <c r="S99" s="40" t="s">
        <v>127</v>
      </c>
      <c r="U99" s="38" t="s">
        <v>1724</v>
      </c>
      <c r="W99" s="34" t="s">
        <v>1725</v>
      </c>
    </row>
    <row r="100" customHeight="1" ht="59.0">
      <c r="A100" s="36">
        <v>46106</v>
      </c>
      <c r="B100" s="34" t="s">
        <v>34</v>
      </c>
      <c r="C100" s="34" t="s">
        <v>63</v>
      </c>
      <c r="D100" s="37" t="s">
        <v>1726</v>
      </c>
      <c r="E100" s="34" t="s">
        <v>1727</v>
      </c>
      <c r="F100" s="38" t="s">
        <v>1728</v>
      </c>
      <c r="G100" s="34" t="s">
        <v>1729</v>
      </c>
      <c r="H100" s="34" t="s">
        <v>1730</v>
      </c>
      <c r="K100" s="34" t="s">
        <v>125</v>
      </c>
      <c r="M100" s="34" t="s">
        <v>97</v>
      </c>
      <c r="N100" s="34" t="s">
        <v>71</v>
      </c>
      <c r="O100" s="34" t="s">
        <v>98</v>
      </c>
      <c r="P100" s="34" t="s">
        <v>11</v>
      </c>
      <c r="Q100" s="34" t="s">
        <v>1731</v>
      </c>
      <c r="S100" s="40" t="s">
        <v>468</v>
      </c>
      <c r="U100" s="34" t="s">
        <v>456</v>
      </c>
      <c r="V100" s="34" t="s">
        <v>1732</v>
      </c>
      <c r="W100" s="34" t="s">
        <v>1733</v>
      </c>
    </row>
    <row r="101" ht="27.0">
      <c r="A101" s="36">
        <v>46107</v>
      </c>
      <c r="B101" s="34" t="s">
        <v>34</v>
      </c>
      <c r="C101" s="34" t="s">
        <v>63</v>
      </c>
      <c r="D101" s="37" t="s">
        <v>1734</v>
      </c>
      <c r="E101" s="34" t="s">
        <v>885</v>
      </c>
      <c r="F101" s="38" t="s">
        <v>1735</v>
      </c>
      <c r="G101" s="34" t="s">
        <v>1736</v>
      </c>
      <c r="H101" s="34" t="s">
        <v>163</v>
      </c>
      <c r="I101" s="34" t="s">
        <v>860</v>
      </c>
      <c r="K101" s="34" t="s">
        <v>69</v>
      </c>
      <c r="M101" s="34" t="s">
        <v>97</v>
      </c>
      <c r="N101" s="34" t="s">
        <v>71</v>
      </c>
      <c r="O101" s="34" t="s">
        <v>98</v>
      </c>
      <c r="P101" s="34" t="s">
        <v>10</v>
      </c>
      <c r="Q101" s="34">
        <v>2.0</v>
      </c>
      <c r="S101" s="40" t="s">
        <v>294</v>
      </c>
      <c r="U101" s="38" t="s">
        <v>1737</v>
      </c>
    </row>
    <row hidden="1" r="102" ht="15.0" customFormat="1" s="34">
      <c r="A102" s="36">
        <v>46108</v>
      </c>
      <c r="B102" s="34" t="s">
        <v>34</v>
      </c>
      <c r="C102" s="34" t="s">
        <v>88</v>
      </c>
      <c r="D102" s="37" t="s">
        <v>1175</v>
      </c>
      <c r="E102" s="34" t="s">
        <v>170</v>
      </c>
      <c r="F102" s="38" t="s">
        <v>1176</v>
      </c>
      <c r="G102" s="34" t="s">
        <v>1738</v>
      </c>
      <c r="J102" s="34" t="s">
        <v>1179</v>
      </c>
      <c r="K102" s="34" t="s">
        <v>95</v>
      </c>
      <c r="M102" s="34" t="s">
        <v>117</v>
      </c>
      <c r="N102" s="34" t="s">
        <v>309</v>
      </c>
      <c r="O102" s="34" t="s">
        <v>84</v>
      </c>
      <c r="P102" s="34" t="s">
        <v>10</v>
      </c>
      <c r="Q102" s="34">
        <v>7.0</v>
      </c>
      <c r="S102" s="40" t="s">
        <v>134</v>
      </c>
      <c r="T102" s="34" t="s">
        <v>1739</v>
      </c>
      <c r="V102" s="34" t="s">
        <v>1740</v>
      </c>
    </row>
    <row r="103" ht="27.0">
      <c r="A103" s="36">
        <v>46108</v>
      </c>
      <c r="B103" s="34" t="s">
        <v>34</v>
      </c>
      <c r="C103" s="34" t="s">
        <v>88</v>
      </c>
      <c r="D103" s="37" t="s">
        <v>1741</v>
      </c>
      <c r="E103" s="34" t="s">
        <v>302</v>
      </c>
      <c r="F103" s="38" t="s">
        <v>1742</v>
      </c>
      <c r="G103" s="34" t="s">
        <v>1743</v>
      </c>
      <c r="I103" s="34" t="s">
        <v>277</v>
      </c>
      <c r="J103" s="34" t="s">
        <v>1744</v>
      </c>
      <c r="K103" s="34" t="s">
        <v>95</v>
      </c>
      <c r="L103" s="34" t="s">
        <v>155</v>
      </c>
      <c r="M103" s="34" t="s">
        <v>83</v>
      </c>
      <c r="N103" s="34" t="s">
        <v>71</v>
      </c>
      <c r="O103" s="34" t="s">
        <v>84</v>
      </c>
      <c r="P103" s="34" t="s">
        <v>9</v>
      </c>
      <c r="Q103" s="34">
        <v>3.0</v>
      </c>
      <c r="R103" s="39">
        <v>54.45</v>
      </c>
      <c r="S103" s="40" t="s">
        <v>99</v>
      </c>
      <c r="U103" s="38" t="s">
        <v>1745</v>
      </c>
    </row>
    <row hidden="1" r="104" ht="27.0">
      <c r="A104" s="36">
        <v>46108</v>
      </c>
      <c r="B104" s="34" t="s">
        <v>34</v>
      </c>
      <c r="C104" s="34" t="s">
        <v>63</v>
      </c>
      <c r="D104" s="37" t="s">
        <v>834</v>
      </c>
      <c r="E104" s="34" t="s">
        <v>1746</v>
      </c>
      <c r="F104" s="38" t="s">
        <v>1747</v>
      </c>
      <c r="G104" s="34" t="s">
        <v>1748</v>
      </c>
      <c r="H104" s="34" t="s">
        <v>163</v>
      </c>
      <c r="K104" s="34" t="s">
        <v>115</v>
      </c>
      <c r="M104" s="34" t="s">
        <v>97</v>
      </c>
      <c r="N104" s="34" t="s">
        <v>156</v>
      </c>
      <c r="O104" s="34" t="s">
        <v>157</v>
      </c>
      <c r="P104" s="34" t="s">
        <v>158</v>
      </c>
      <c r="Q104" s="34">
        <v>3.0</v>
      </c>
      <c r="S104" s="40" t="s">
        <v>134</v>
      </c>
      <c r="U104" s="38" t="s">
        <v>1749</v>
      </c>
    </row>
    <row r="105" ht="55.0">
      <c r="A105" s="36">
        <v>46108</v>
      </c>
      <c r="B105" s="34" t="s">
        <v>34</v>
      </c>
      <c r="C105" s="34" t="s">
        <v>108</v>
      </c>
      <c r="D105" s="37" t="s">
        <v>1750</v>
      </c>
      <c r="E105" s="34" t="s">
        <v>1751</v>
      </c>
      <c r="F105" s="38" t="s">
        <v>1752</v>
      </c>
      <c r="G105" s="34" t="s">
        <v>1753</v>
      </c>
      <c r="H105" s="34" t="s">
        <v>1754</v>
      </c>
      <c r="I105" s="34" t="s">
        <v>163</v>
      </c>
      <c r="K105" s="34" t="s">
        <v>173</v>
      </c>
      <c r="L105" s="34" t="s">
        <v>155</v>
      </c>
      <c r="M105" s="34" t="s">
        <v>97</v>
      </c>
      <c r="N105" s="34" t="s">
        <v>71</v>
      </c>
      <c r="O105" s="34" t="s">
        <v>98</v>
      </c>
      <c r="P105" s="34" t="s">
        <v>10</v>
      </c>
      <c r="Q105" s="34" t="s">
        <v>1731</v>
      </c>
      <c r="S105" s="40"/>
      <c r="U105" s="34" t="s">
        <v>1755</v>
      </c>
      <c r="W105" s="38" t="s">
        <v>1756</v>
      </c>
    </row>
    <row r="106" ht="27.0">
      <c r="A106" s="36">
        <v>46108</v>
      </c>
      <c r="B106" s="34" t="s">
        <v>37</v>
      </c>
      <c r="C106" s="34" t="s">
        <v>108</v>
      </c>
      <c r="D106" s="37" t="s">
        <v>1610</v>
      </c>
      <c r="E106" s="34" t="s">
        <v>377</v>
      </c>
      <c r="F106" s="38" t="s">
        <v>1611</v>
      </c>
      <c r="G106" s="34" t="s">
        <v>1757</v>
      </c>
      <c r="H106" s="34" t="s">
        <v>163</v>
      </c>
      <c r="I106" s="34" t="s">
        <v>163</v>
      </c>
      <c r="K106" s="34" t="s">
        <v>125</v>
      </c>
      <c r="L106" s="38" t="s">
        <v>1613</v>
      </c>
      <c r="M106" s="34" t="s">
        <v>117</v>
      </c>
      <c r="N106" s="34" t="s">
        <v>71</v>
      </c>
      <c r="O106" s="34" t="s">
        <v>84</v>
      </c>
      <c r="P106" s="34" t="s">
        <v>9</v>
      </c>
      <c r="Q106" s="34">
        <v>3.0</v>
      </c>
      <c r="S106" s="40" t="s">
        <v>127</v>
      </c>
    </row>
    <row r="107" ht="41.0">
      <c r="A107" s="36">
        <v>46111</v>
      </c>
      <c r="B107" s="34" t="s">
        <v>34</v>
      </c>
      <c r="C107" s="34" t="s">
        <v>88</v>
      </c>
      <c r="D107" s="65" t="s">
        <v>1758</v>
      </c>
      <c r="E107" s="34" t="s">
        <v>65</v>
      </c>
      <c r="F107" s="38" t="s">
        <v>1759</v>
      </c>
      <c r="G107" s="34" t="s">
        <v>1760</v>
      </c>
      <c r="I107" s="34" t="s">
        <v>277</v>
      </c>
      <c r="J107" s="34" t="s">
        <v>607</v>
      </c>
      <c r="K107" s="34" t="s">
        <v>125</v>
      </c>
      <c r="L107" s="38" t="s">
        <v>1761</v>
      </c>
      <c r="M107" s="34" t="s">
        <v>97</v>
      </c>
      <c r="N107" s="34" t="s">
        <v>71</v>
      </c>
      <c r="O107" s="34" t="s">
        <v>84</v>
      </c>
      <c r="P107" s="34" t="s">
        <v>9</v>
      </c>
      <c r="Q107" s="34">
        <v>4.0</v>
      </c>
      <c r="R107" s="44">
        <v>13200.0</v>
      </c>
      <c r="S107" s="40" t="s">
        <v>134</v>
      </c>
      <c r="T107" s="34" t="s">
        <v>1762</v>
      </c>
      <c r="U107" s="38" t="s">
        <v>1763</v>
      </c>
      <c r="V107" s="34" t="s">
        <v>1764</v>
      </c>
    </row>
    <row r="108" ht="55.0">
      <c r="A108" s="36">
        <v>46111</v>
      </c>
      <c r="B108" s="34" t="s">
        <v>34</v>
      </c>
      <c r="C108" s="34" t="s">
        <v>88</v>
      </c>
      <c r="D108" s="37" t="s">
        <v>1765</v>
      </c>
      <c r="E108" s="34" t="s">
        <v>1766</v>
      </c>
      <c r="F108" s="38" t="s">
        <v>1767</v>
      </c>
      <c r="G108" s="34" t="s">
        <v>1768</v>
      </c>
      <c r="I108" s="34" t="s">
        <v>1769</v>
      </c>
      <c r="K108" s="34" t="s">
        <v>95</v>
      </c>
      <c r="L108" s="38" t="s">
        <v>1770</v>
      </c>
      <c r="M108" s="34" t="s">
        <v>117</v>
      </c>
      <c r="N108" s="34" t="s">
        <v>71</v>
      </c>
      <c r="O108" s="34" t="s">
        <v>98</v>
      </c>
      <c r="P108" s="34" t="s">
        <v>10</v>
      </c>
      <c r="Q108" s="34">
        <v>100.0</v>
      </c>
      <c r="S108" s="40"/>
      <c r="T108" s="34" t="s">
        <v>1771</v>
      </c>
      <c r="U108" s="38" t="s">
        <v>1772</v>
      </c>
      <c r="V108" s="34" t="s">
        <v>1773</v>
      </c>
    </row>
    <row r="109" ht="41.0">
      <c r="A109" s="36">
        <v>46111</v>
      </c>
      <c r="B109" s="34" t="s">
        <v>34</v>
      </c>
      <c r="C109" s="34" t="s">
        <v>108</v>
      </c>
      <c r="D109" s="37" t="s">
        <v>1774</v>
      </c>
      <c r="E109" s="34" t="s">
        <v>1775</v>
      </c>
      <c r="F109" s="38" t="s">
        <v>1776</v>
      </c>
      <c r="G109" s="34" t="s">
        <v>1777</v>
      </c>
      <c r="H109" s="34" t="s">
        <v>163</v>
      </c>
      <c r="I109" s="34" t="s">
        <v>163</v>
      </c>
      <c r="J109" s="34" t="s">
        <v>874</v>
      </c>
      <c r="K109" s="34" t="s">
        <v>125</v>
      </c>
      <c r="L109" s="38" t="s">
        <v>1778</v>
      </c>
      <c r="M109" s="34" t="s">
        <v>83</v>
      </c>
      <c r="N109" s="34" t="s">
        <v>71</v>
      </c>
      <c r="O109" s="34" t="s">
        <v>84</v>
      </c>
      <c r="P109" s="34" t="s">
        <v>10</v>
      </c>
      <c r="Q109" s="34">
        <v>3.0</v>
      </c>
      <c r="S109" s="40" t="s">
        <v>99</v>
      </c>
      <c r="U109" s="38" t="s">
        <v>1779</v>
      </c>
      <c r="V109" s="34" t="s">
        <v>1780</v>
      </c>
    </row>
    <row r="110" ht="137.0">
      <c r="A110" s="36">
        <v>46111</v>
      </c>
      <c r="B110" s="34" t="s">
        <v>34</v>
      </c>
      <c r="C110" s="34" t="s">
        <v>108</v>
      </c>
      <c r="D110" s="37" t="s">
        <v>1781</v>
      </c>
      <c r="E110" s="34" t="s">
        <v>1782</v>
      </c>
      <c r="F110" s="38" t="s">
        <v>1783</v>
      </c>
      <c r="G110" s="34" t="s">
        <v>1784</v>
      </c>
      <c r="H110" s="34" t="s">
        <v>163</v>
      </c>
      <c r="I110" s="34" t="s">
        <v>1314</v>
      </c>
      <c r="K110" s="34" t="s">
        <v>125</v>
      </c>
      <c r="L110" s="38" t="s">
        <v>1785</v>
      </c>
      <c r="M110" s="34" t="s">
        <v>97</v>
      </c>
      <c r="N110" s="34" t="s">
        <v>71</v>
      </c>
      <c r="O110" s="34" t="s">
        <v>84</v>
      </c>
      <c r="P110" s="34" t="s">
        <v>10</v>
      </c>
      <c r="S110" s="40" t="s">
        <v>85</v>
      </c>
      <c r="U110" s="34" t="s">
        <v>1786</v>
      </c>
      <c r="V110" s="34" t="s">
        <v>684</v>
      </c>
    </row>
    <row r="111" ht="27.0">
      <c r="A111" s="36">
        <v>46111</v>
      </c>
      <c r="B111" s="34" t="s">
        <v>35</v>
      </c>
      <c r="C111" s="34" t="s">
        <v>108</v>
      </c>
      <c r="D111" s="37" t="s">
        <v>1787</v>
      </c>
      <c r="E111" s="34" t="s">
        <v>1788</v>
      </c>
      <c r="F111" s="38" t="s">
        <v>1789</v>
      </c>
      <c r="G111" s="34" t="s">
        <v>1790</v>
      </c>
      <c r="H111" s="34" t="s">
        <v>163</v>
      </c>
      <c r="I111" s="34" t="s">
        <v>1314</v>
      </c>
      <c r="K111" s="34" t="s">
        <v>125</v>
      </c>
      <c r="L111" s="38" t="s">
        <v>1791</v>
      </c>
      <c r="M111" s="34" t="s">
        <v>97</v>
      </c>
      <c r="N111" s="34" t="s">
        <v>71</v>
      </c>
      <c r="O111" s="34" t="s">
        <v>84</v>
      </c>
      <c r="P111" s="34" t="s">
        <v>9</v>
      </c>
      <c r="Q111" s="34">
        <v>5.0</v>
      </c>
      <c r="S111" s="40" t="s">
        <v>294</v>
      </c>
      <c r="U111" s="34" t="s">
        <v>1786</v>
      </c>
      <c r="V111" s="34" t="s">
        <v>1792</v>
      </c>
    </row>
    <row hidden="1" r="112" ht="41.0">
      <c r="A112" s="36">
        <v>46112</v>
      </c>
      <c r="B112" s="34" t="s">
        <v>34</v>
      </c>
      <c r="C112" s="34" t="s">
        <v>88</v>
      </c>
      <c r="D112" s="37" t="s">
        <v>1793</v>
      </c>
      <c r="E112" s="34" t="s">
        <v>65</v>
      </c>
      <c r="F112" s="38" t="s">
        <v>1794</v>
      </c>
      <c r="G112" s="34" t="s">
        <v>1795</v>
      </c>
      <c r="I112" s="34" t="s">
        <v>277</v>
      </c>
      <c r="K112" s="34" t="s">
        <v>69</v>
      </c>
      <c r="L112" s="34" t="s">
        <v>155</v>
      </c>
      <c r="M112" s="34" t="s">
        <v>97</v>
      </c>
      <c r="N112" s="34" t="s">
        <v>156</v>
      </c>
      <c r="O112" s="34" t="s">
        <v>157</v>
      </c>
      <c r="P112" s="34" t="s">
        <v>158</v>
      </c>
      <c r="Q112" s="34">
        <v>4.0</v>
      </c>
      <c r="S112" s="40" t="s">
        <v>294</v>
      </c>
    </row>
    <row r="113" ht="55.0">
      <c r="A113" s="36">
        <v>46112</v>
      </c>
      <c r="B113" s="34" t="s">
        <v>34</v>
      </c>
      <c r="C113" s="34" t="s">
        <v>88</v>
      </c>
      <c r="D113" s="37" t="s">
        <v>1796</v>
      </c>
      <c r="E113" s="34" t="s">
        <v>458</v>
      </c>
      <c r="F113" s="38" t="s">
        <v>1797</v>
      </c>
      <c r="G113" s="34" t="s">
        <v>1798</v>
      </c>
      <c r="H113" s="34" t="s">
        <v>163</v>
      </c>
      <c r="J113" s="34" t="s">
        <v>1799</v>
      </c>
      <c r="K113" s="34" t="s">
        <v>267</v>
      </c>
      <c r="L113" s="38" t="s">
        <v>1800</v>
      </c>
      <c r="M113" s="34" t="s">
        <v>117</v>
      </c>
      <c r="N113" s="34" t="s">
        <v>71</v>
      </c>
      <c r="O113" s="34" t="s">
        <v>207</v>
      </c>
      <c r="P113" s="34" t="s">
        <v>535</v>
      </c>
      <c r="Q113" s="34">
        <v>3.0</v>
      </c>
      <c r="S113" s="40"/>
      <c r="U113" s="38" t="s">
        <v>1801</v>
      </c>
    </row>
    <row r="114" ht="41.0">
      <c r="A114" s="36">
        <v>46112</v>
      </c>
      <c r="B114" s="34" t="s">
        <v>34</v>
      </c>
      <c r="C114" s="34" t="s">
        <v>63</v>
      </c>
      <c r="D114" s="37" t="s">
        <v>1802</v>
      </c>
      <c r="E114" s="34" t="s">
        <v>405</v>
      </c>
      <c r="F114" s="38" t="s">
        <v>1803</v>
      </c>
      <c r="G114" s="34" t="s">
        <v>1804</v>
      </c>
      <c r="H114" s="34" t="s">
        <v>163</v>
      </c>
      <c r="I114" s="34" t="s">
        <v>1805</v>
      </c>
      <c r="J114" s="34" t="s">
        <v>1806</v>
      </c>
      <c r="K114" s="34" t="s">
        <v>125</v>
      </c>
      <c r="M114" s="34" t="s">
        <v>97</v>
      </c>
      <c r="N114" s="34" t="s">
        <v>71</v>
      </c>
      <c r="O114" s="34" t="s">
        <v>84</v>
      </c>
      <c r="P114" s="34" t="s">
        <v>9</v>
      </c>
      <c r="Q114" s="34">
        <v>3.0</v>
      </c>
      <c r="S114" s="40" t="s">
        <v>134</v>
      </c>
      <c r="U114" s="38" t="s">
        <v>1807</v>
      </c>
      <c r="V114" s="34" t="s">
        <v>1808</v>
      </c>
    </row>
    <row r="115" ht="27.0">
      <c r="A115" s="36">
        <v>46112</v>
      </c>
      <c r="B115" s="34" t="s">
        <v>34</v>
      </c>
      <c r="C115" s="34" t="s">
        <v>63</v>
      </c>
      <c r="D115" s="37" t="s">
        <v>1809</v>
      </c>
      <c r="E115" s="34" t="s">
        <v>377</v>
      </c>
      <c r="F115" s="38" t="s">
        <v>1810</v>
      </c>
      <c r="G115" s="34" t="s">
        <v>1811</v>
      </c>
      <c r="I115" s="34" t="s">
        <v>860</v>
      </c>
      <c r="K115" s="34" t="s">
        <v>125</v>
      </c>
      <c r="M115" s="34" t="s">
        <v>97</v>
      </c>
      <c r="N115" s="34" t="s">
        <v>71</v>
      </c>
      <c r="O115" s="34" t="s">
        <v>98</v>
      </c>
      <c r="P115" s="34" t="s">
        <v>10</v>
      </c>
      <c r="Q115" s="34">
        <v>200.0</v>
      </c>
      <c r="S115" s="40" t="s">
        <v>73</v>
      </c>
      <c r="U115" s="38" t="s">
        <v>1812</v>
      </c>
    </row>
    <row hidden="1" r="116" ht="15.0">
      <c r="A116" s="36">
        <v>46112</v>
      </c>
      <c r="B116" s="34" t="s">
        <v>36</v>
      </c>
      <c r="C116" s="34" t="s">
        <v>108</v>
      </c>
      <c r="D116" s="37" t="s">
        <v>895</v>
      </c>
      <c r="E116" s="34" t="s">
        <v>663</v>
      </c>
      <c r="F116" s="38" t="s">
        <v>896</v>
      </c>
      <c r="G116" s="34" t="s">
        <v>1813</v>
      </c>
      <c r="H116" s="34" t="s">
        <v>163</v>
      </c>
      <c r="K116" s="34" t="s">
        <v>125</v>
      </c>
      <c r="L116" s="38" t="s">
        <v>1814</v>
      </c>
      <c r="M116" s="34" t="s">
        <v>117</v>
      </c>
      <c r="N116" s="34" t="s">
        <v>309</v>
      </c>
      <c r="O116" s="34" t="s">
        <v>84</v>
      </c>
      <c r="P116" s="34" t="s">
        <v>9</v>
      </c>
      <c r="Q116" s="34">
        <v>20.0</v>
      </c>
      <c r="R116" s="34" t="s">
        <v>900</v>
      </c>
      <c r="S116" s="40" t="s">
        <v>127</v>
      </c>
      <c r="U116" s="34" t="s">
        <v>1815</v>
      </c>
    </row>
    <row r="117" ht="68.0">
      <c r="A117" s="36">
        <v>46112</v>
      </c>
      <c r="B117" s="34" t="s">
        <v>37</v>
      </c>
      <c r="C117" s="34" t="s">
        <v>108</v>
      </c>
      <c r="D117" s="37" t="s">
        <v>1816</v>
      </c>
      <c r="E117" s="34" t="s">
        <v>1817</v>
      </c>
      <c r="F117" s="38" t="s">
        <v>1818</v>
      </c>
      <c r="G117" s="34" t="s">
        <v>1819</v>
      </c>
      <c r="H117" s="34" t="s">
        <v>163</v>
      </c>
      <c r="I117" s="34" t="s">
        <v>1115</v>
      </c>
      <c r="K117" s="34" t="s">
        <v>95</v>
      </c>
      <c r="L117" s="34" t="s">
        <v>155</v>
      </c>
      <c r="M117" s="34" t="s">
        <v>97</v>
      </c>
      <c r="N117" s="34" t="s">
        <v>71</v>
      </c>
      <c r="O117" s="34" t="s">
        <v>84</v>
      </c>
      <c r="P117" s="34" t="s">
        <v>10</v>
      </c>
      <c r="Q117" s="54">
        <v>46300</v>
      </c>
      <c r="S117" s="40" t="s">
        <v>127</v>
      </c>
      <c r="U117" s="38" t="s">
        <v>1820</v>
      </c>
      <c r="V117" s="34" t="s">
        <v>1821</v>
      </c>
    </row>
    <row r="118" ht="27.0">
      <c r="A118" s="36">
        <v>46112</v>
      </c>
      <c r="B118" s="34" t="s">
        <v>37</v>
      </c>
      <c r="C118" s="34" t="s">
        <v>108</v>
      </c>
      <c r="D118" s="37" t="s">
        <v>1822</v>
      </c>
      <c r="E118" s="34" t="s">
        <v>893</v>
      </c>
      <c r="F118" s="38" t="s">
        <v>1823</v>
      </c>
      <c r="G118" s="34" t="s">
        <v>1824</v>
      </c>
      <c r="H118" s="34" t="s">
        <v>163</v>
      </c>
      <c r="I118" s="34" t="s">
        <v>860</v>
      </c>
      <c r="J118" s="34" t="s">
        <v>1825</v>
      </c>
      <c r="K118" s="34" t="s">
        <v>69</v>
      </c>
      <c r="L118" s="34" t="s">
        <v>155</v>
      </c>
      <c r="M118" s="34" t="s">
        <v>117</v>
      </c>
      <c r="N118" s="34" t="s">
        <v>882</v>
      </c>
      <c r="O118" s="34" t="s">
        <v>893</v>
      </c>
      <c r="P118" s="34" t="s">
        <v>893</v>
      </c>
      <c r="S118" s="40"/>
      <c r="U118" s="34" t="s">
        <v>163</v>
      </c>
    </row>
    <row r="119" customFormat="1" s="34"/>
    <row r="120" customFormat="1" s="34"/>
    <row r="121" customFormat="1" s="34"/>
    <row r="122" customFormat="1" s="34"/>
    <row r="123" customFormat="1" s="34"/>
    <row r="124" customFormat="1" s="34"/>
    <row r="125" customFormat="1" s="34"/>
    <row r="126" customFormat="1" s="34"/>
    <row r="127" customFormat="1" s="34"/>
    <row r="128" customFormat="1" s="34"/>
    <row r="129" customFormat="1" s="34"/>
    <row r="130" customFormat="1" s="34"/>
    <row r="131" customFormat="1" s="34"/>
    <row r="132" customFormat="1" s="34"/>
    <row r="133" customFormat="1" s="34"/>
    <row r="134" customFormat="1" s="34"/>
    <row r="135" customFormat="1" s="34"/>
    <row r="136" customFormat="1" s="34"/>
    <row r="137" customFormat="1" s="34"/>
    <row r="138" customFormat="1" s="34"/>
    <row r="139" customFormat="1" s="34"/>
    <row r="140" customFormat="1" s="34"/>
    <row r="141" customFormat="1" s="34"/>
    <row r="142" customFormat="1" s="34"/>
    <row r="143" customFormat="1" s="34"/>
    <row r="144" customFormat="1" s="34"/>
    <row r="145" customFormat="1" s="34"/>
    <row r="146" customFormat="1" s="34"/>
    <row r="147" customFormat="1" s="34"/>
    <row r="148" customFormat="1" s="34"/>
    <row r="149" customFormat="1" s="34"/>
    <row r="150" customFormat="1" s="34"/>
    <row r="151" customFormat="1" s="34"/>
    <row r="152" customFormat="1" s="34"/>
    <row r="153" customFormat="1" s="34"/>
    <row r="154" customFormat="1" s="34"/>
    <row r="155" customFormat="1" s="34"/>
    <row r="156" customFormat="1" s="34"/>
    <row r="157" customFormat="1" s="34"/>
    <row r="158" customFormat="1" s="34"/>
    <row r="159" customFormat="1" s="34"/>
    <row r="160" customFormat="1" s="34"/>
    <row r="161" customFormat="1" s="34"/>
    <row r="162" customFormat="1" s="34"/>
    <row r="163" customFormat="1" s="34"/>
    <row r="164" customFormat="1" s="34"/>
    <row r="165" customFormat="1" s="34"/>
    <row r="166" customFormat="1" s="34"/>
    <row r="167" customFormat="1" s="34"/>
    <row r="168" customFormat="1" s="34"/>
    <row r="169" customFormat="1" s="34"/>
    <row r="170" customFormat="1" s="34"/>
    <row r="171" customFormat="1" s="34"/>
    <row r="172" customFormat="1" s="34"/>
    <row r="173" customFormat="1" s="34"/>
    <row r="174" customFormat="1" s="34"/>
    <row r="175" customFormat="1" s="34"/>
    <row r="176" customFormat="1" s="34"/>
    <row r="177" customFormat="1" s="34"/>
    <row r="178" customFormat="1" s="34"/>
    <row r="179" customFormat="1" s="34"/>
    <row r="180" customFormat="1" s="34"/>
    <row r="181" customFormat="1" s="34"/>
    <row r="182" customFormat="1" s="34"/>
    <row r="183" customFormat="1" s="34"/>
    <row r="184" customFormat="1" s="34"/>
    <row r="185" customFormat="1" s="34"/>
    <row r="186" customFormat="1" s="34"/>
    <row r="187" customFormat="1" s="34"/>
    <row r="188" customFormat="1" s="34"/>
    <row r="189" customFormat="1" s="34"/>
    <row r="190" customFormat="1" s="34"/>
    <row r="191" customFormat="1" s="34"/>
    <row r="192" customFormat="1" s="34"/>
    <row r="193" customFormat="1" s="34"/>
    <row r="194" customFormat="1" s="34"/>
    <row r="195" customFormat="1" s="34"/>
    <row r="196" customFormat="1" s="34"/>
    <row r="197" customFormat="1" s="34"/>
    <row r="198" customFormat="1" s="34"/>
    <row r="199" customFormat="1" s="34"/>
    <row r="200" customFormat="1" s="34"/>
    <row r="201" customFormat="1" s="34"/>
    <row r="202" customFormat="1" s="34"/>
    <row r="203" customFormat="1" s="34"/>
    <row r="204" customFormat="1" s="34"/>
    <row r="205" customFormat="1" s="34"/>
    <row r="206" customFormat="1" s="34"/>
    <row r="207" customFormat="1" s="34"/>
    <row r="208" customFormat="1" s="34"/>
    <row r="209" customFormat="1" s="34"/>
    <row r="210" customFormat="1" s="34"/>
    <row r="211" customFormat="1" s="34"/>
    <row r="212" customFormat="1" s="34"/>
    <row r="213" customFormat="1" s="34"/>
    <row r="214" customFormat="1" s="34"/>
    <row r="215" customFormat="1" s="34"/>
    <row r="216" customFormat="1" s="34"/>
    <row r="217" customFormat="1" s="34"/>
    <row r="218" customFormat="1" s="34"/>
    <row r="219" customFormat="1" s="34"/>
    <row r="220" customFormat="1" s="34"/>
    <row r="221" customFormat="1" s="34"/>
    <row r="222" customFormat="1" s="34"/>
    <row r="223" customFormat="1" s="34"/>
    <row r="224" customFormat="1" s="34"/>
    <row r="225" customFormat="1" s="34"/>
    <row r="226" customFormat="1" s="34"/>
    <row r="227" customFormat="1" s="34"/>
    <row r="228" customFormat="1" s="34"/>
    <row r="229" customFormat="1" s="34"/>
    <row r="230" customFormat="1" s="34"/>
    <row r="231" customFormat="1" s="34"/>
    <row r="232" customFormat="1" s="34"/>
    <row r="233" customFormat="1" s="34"/>
    <row r="234" customFormat="1" s="34"/>
    <row r="235" customFormat="1" s="34"/>
    <row r="236" customFormat="1" s="34"/>
    <row r="237" customFormat="1" s="34"/>
    <row r="238" customFormat="1" s="34"/>
    <row r="239" customFormat="1" s="34"/>
    <row r="240" customFormat="1" s="34"/>
    <row r="241" customFormat="1" s="34"/>
    <row r="242" customFormat="1" s="34"/>
    <row r="243" customFormat="1" s="34"/>
    <row r="244" customFormat="1" s="34"/>
    <row r="245" customFormat="1" s="34"/>
    <row r="246" customFormat="1" s="34"/>
    <row r="247" customFormat="1" s="34"/>
    <row r="248" customFormat="1" s="34"/>
    <row r="249" customFormat="1" s="34"/>
    <row r="250" customFormat="1" s="34"/>
    <row r="251" customFormat="1" s="34"/>
    <row r="252" customFormat="1" s="34"/>
    <row r="253" customFormat="1" s="34"/>
    <row r="254" customFormat="1" s="34"/>
    <row r="255" customFormat="1" s="34"/>
    <row r="256" customFormat="1" s="34"/>
    <row r="257" customFormat="1" s="34"/>
    <row r="258" customFormat="1" s="34"/>
    <row r="259" customFormat="1" s="34"/>
    <row r="260" customFormat="1" s="34"/>
    <row r="261" customFormat="1" s="34"/>
    <row r="262" customFormat="1" s="34"/>
    <row r="263" customFormat="1" s="34"/>
    <row r="264" customFormat="1" s="34"/>
    <row r="265" customFormat="1" s="34"/>
    <row r="266" customFormat="1" s="34"/>
    <row r="267" customFormat="1" s="34"/>
    <row r="268" customFormat="1" s="34"/>
    <row r="269" customFormat="1" s="34"/>
    <row r="270" customFormat="1" s="34"/>
    <row r="271" customFormat="1" s="34"/>
    <row r="272" customFormat="1" s="34"/>
    <row r="273" customFormat="1" s="34"/>
    <row r="274" customFormat="1" s="34"/>
    <row r="275" customFormat="1" s="34"/>
    <row r="276" customFormat="1" s="34"/>
    <row r="277" customFormat="1" s="34"/>
    <row r="278" customFormat="1" s="34"/>
    <row r="279" customFormat="1" s="34"/>
    <row r="280" customFormat="1" s="34"/>
    <row r="281" customFormat="1" s="34"/>
    <row r="282" customFormat="1" s="34"/>
    <row r="283" customFormat="1" s="34"/>
    <row r="284" customFormat="1" s="34"/>
    <row r="285" customFormat="1" s="34"/>
    <row r="286" customFormat="1" s="34"/>
    <row r="287" customFormat="1" s="34"/>
    <row r="288" customFormat="1" s="34"/>
    <row r="289" customFormat="1" s="34"/>
    <row r="290" customFormat="1" s="34"/>
    <row r="291" customFormat="1" s="34"/>
    <row r="292" customFormat="1" s="34"/>
    <row r="293" customFormat="1" s="34"/>
    <row r="294" customFormat="1" s="34"/>
    <row r="295" customFormat="1" s="34"/>
    <row r="296" customFormat="1" s="34"/>
    <row r="297" customFormat="1" s="34"/>
    <row r="298" customFormat="1" s="34"/>
    <row r="299" customFormat="1" s="34"/>
    <row r="300" customFormat="1" s="34"/>
    <row r="301" customFormat="1" s="34"/>
    <row r="302" customFormat="1" s="34"/>
    <row r="303" customFormat="1" s="34"/>
    <row r="304" customFormat="1" s="34"/>
    <row r="305" customFormat="1" s="34"/>
    <row r="306" customFormat="1" s="34"/>
    <row r="307" customFormat="1" s="34"/>
    <row r="308" customFormat="1" s="34"/>
    <row r="309" customFormat="1" s="34"/>
    <row r="310" customFormat="1" s="34"/>
    <row r="311" customFormat="1" s="34"/>
    <row r="312" customFormat="1" s="34"/>
    <row r="313" customFormat="1" s="34"/>
    <row r="314" customFormat="1" s="34"/>
    <row r="315" customFormat="1" s="34"/>
    <row r="316" customFormat="1" s="34"/>
    <row r="317" customFormat="1" s="34"/>
    <row r="318" customFormat="1" s="34"/>
    <row r="319" customFormat="1" s="34"/>
    <row r="320" customFormat="1" s="34"/>
    <row r="321" customFormat="1" s="34"/>
    <row r="322" customFormat="1" s="34"/>
    <row r="323" customFormat="1" s="34"/>
    <row r="324" customFormat="1" s="34"/>
    <row r="325" customFormat="1" s="34"/>
    <row r="326" customFormat="1" s="34"/>
    <row r="327" customFormat="1" s="34"/>
    <row r="328" customFormat="1" s="34"/>
    <row r="329" customFormat="1" s="34"/>
    <row r="330" customFormat="1" s="34"/>
    <row r="331" customFormat="1" s="34"/>
    <row r="332" customFormat="1" s="34"/>
    <row r="333" customFormat="1" s="34"/>
    <row r="334" customFormat="1" s="34"/>
    <row r="335" customFormat="1" s="34"/>
    <row r="336" customFormat="1" s="34"/>
    <row r="337" customFormat="1" s="34"/>
    <row r="338" customFormat="1" s="34"/>
    <row r="339" customFormat="1" s="34"/>
    <row r="340" customFormat="1" s="34"/>
    <row r="341" customFormat="1" s="34"/>
    <row r="342" customFormat="1" s="34"/>
    <row r="343" customFormat="1" s="34"/>
    <row r="344" customFormat="1" s="34"/>
    <row r="345" customFormat="1" s="34"/>
    <row r="346" customFormat="1" s="34"/>
    <row r="347" customFormat="1" s="34"/>
    <row r="348" customFormat="1" s="34"/>
    <row r="349" customFormat="1" s="34"/>
    <row r="350" customFormat="1" s="34"/>
    <row r="351" customFormat="1" s="34"/>
    <row r="352" customFormat="1" s="34"/>
    <row r="353" customFormat="1" s="34"/>
    <row r="354" customFormat="1" s="34"/>
    <row r="355" customFormat="1" s="34"/>
    <row r="356" customFormat="1" s="34"/>
    <row r="357" customFormat="1" s="34"/>
    <row r="358" customFormat="1" s="34"/>
    <row r="359" customFormat="1" s="34"/>
    <row r="360" customFormat="1" s="34"/>
    <row r="361" customFormat="1" s="34"/>
    <row r="362" customFormat="1" s="34"/>
    <row r="363" customFormat="1" s="34"/>
    <row r="364" customFormat="1" s="34"/>
    <row r="365" customFormat="1" s="34"/>
    <row r="366" customFormat="1" s="34"/>
    <row r="367" customFormat="1" s="34"/>
    <row r="368" customFormat="1" s="34"/>
    <row r="369" customFormat="1" s="34"/>
    <row r="370" customFormat="1" s="34"/>
    <row r="371" customFormat="1" s="34"/>
    <row r="372" customFormat="1" s="34"/>
    <row r="373" customFormat="1" s="34"/>
    <row r="374" customFormat="1" s="34"/>
    <row r="375" customFormat="1" s="34"/>
    <row r="376" customFormat="1" s="34"/>
    <row r="377" customFormat="1" s="34"/>
    <row r="378" customFormat="1" s="34"/>
    <row r="379" customFormat="1" s="34"/>
    <row r="380" customFormat="1" s="34"/>
    <row r="381" customFormat="1" s="34"/>
    <row r="382" customFormat="1" s="34"/>
    <row r="383" customFormat="1" s="34"/>
    <row r="384" customFormat="1" s="34"/>
    <row r="385" customFormat="1" s="34"/>
    <row r="386" customFormat="1" s="34"/>
    <row r="387" customFormat="1" s="34"/>
    <row r="388" customFormat="1" s="34"/>
    <row r="389" customFormat="1" s="34"/>
    <row r="390" customFormat="1" s="34"/>
    <row r="391" customFormat="1" s="34"/>
    <row r="392" customFormat="1" s="34"/>
    <row r="393" customFormat="1" s="34"/>
    <row r="394" customFormat="1" s="34"/>
    <row r="395" customFormat="1" s="34"/>
    <row r="396" customFormat="1" s="34"/>
    <row r="397" customFormat="1" s="34"/>
    <row r="398" customFormat="1" s="34"/>
    <row r="399" customFormat="1" s="34"/>
    <row r="400" customFormat="1" s="34"/>
    <row r="401" customFormat="1" s="34"/>
    <row r="402" customFormat="1" s="34"/>
    <row r="403" customFormat="1" s="34"/>
    <row r="404" customFormat="1" s="34"/>
    <row r="405" customFormat="1" s="34"/>
    <row r="406" customFormat="1" s="34"/>
    <row r="407" customFormat="1" s="34"/>
    <row r="408" customFormat="1" s="34"/>
    <row r="409" customFormat="1" s="34"/>
    <row r="410" customFormat="1" s="34"/>
    <row r="411" customFormat="1" s="34"/>
    <row r="412" customFormat="1" s="34"/>
    <row r="413" customFormat="1" s="34"/>
    <row r="414" customFormat="1" s="34"/>
    <row r="415" customFormat="1" s="34"/>
    <row r="416" customFormat="1" s="34"/>
    <row r="417" customFormat="1" s="34"/>
    <row r="418" customFormat="1" s="34"/>
    <row r="419" customFormat="1" s="34"/>
    <row r="420" customFormat="1" s="34"/>
    <row r="421" customFormat="1" s="34"/>
    <row r="422" customFormat="1" s="34"/>
    <row r="423" customFormat="1" s="34"/>
    <row r="424" customFormat="1" s="34"/>
    <row r="425" customFormat="1" s="34"/>
    <row r="426" customFormat="1" s="34"/>
    <row r="427" customFormat="1" s="34"/>
    <row r="428" customFormat="1" s="34"/>
    <row r="429" customFormat="1" s="34"/>
    <row r="430" customFormat="1" s="34"/>
    <row r="431" customFormat="1" s="34"/>
    <row r="432" customFormat="1" s="34"/>
    <row r="433" customFormat="1" s="34"/>
    <row r="434" customFormat="1" s="34"/>
    <row r="435" customFormat="1" s="34"/>
    <row r="436" customFormat="1" s="34"/>
    <row r="437" customFormat="1" s="34"/>
    <row r="438" customFormat="1" s="34"/>
    <row r="439" customFormat="1" s="34"/>
    <row r="440" customFormat="1" s="34"/>
    <row r="441" customFormat="1" s="34"/>
    <row r="442" customFormat="1" s="34"/>
    <row r="443" customFormat="1" s="34"/>
    <row r="444" customFormat="1" s="34"/>
    <row r="445" customFormat="1" s="34"/>
    <row r="446" customFormat="1" s="34"/>
    <row r="447" customFormat="1" s="34"/>
    <row r="448" customFormat="1" s="34"/>
    <row r="449" customFormat="1" s="34"/>
    <row r="450" customFormat="1" s="34"/>
    <row r="451" customFormat="1" s="34"/>
    <row r="452" customFormat="1" s="34"/>
    <row r="453" customFormat="1" s="34"/>
    <row r="454" customFormat="1" s="34"/>
    <row r="455" customFormat="1" s="34"/>
    <row r="456" customFormat="1" s="34"/>
    <row r="457" customFormat="1" s="34"/>
    <row r="458" customFormat="1" s="34"/>
    <row r="459" customFormat="1" s="34"/>
    <row r="460" customFormat="1" s="34"/>
    <row r="461" customFormat="1" s="34"/>
    <row r="462" customFormat="1" s="34"/>
    <row r="463" customFormat="1" s="34"/>
    <row r="464" customFormat="1" s="34"/>
    <row r="465" customFormat="1" s="34"/>
    <row r="466" customFormat="1" s="34"/>
    <row r="467" customFormat="1" s="34"/>
    <row r="468" customFormat="1" s="34"/>
    <row r="469" customFormat="1" s="34"/>
    <row r="470" customFormat="1" s="34"/>
    <row r="471" customFormat="1" s="34"/>
    <row r="472" customFormat="1" s="34"/>
    <row r="473" customFormat="1" s="34"/>
    <row r="474" customFormat="1" s="34"/>
    <row r="475" customFormat="1" s="34"/>
    <row r="476" customFormat="1" s="34"/>
    <row r="477" customFormat="1" s="34"/>
    <row r="478" customFormat="1" s="34"/>
    <row r="479" customFormat="1" s="34"/>
    <row r="480" customFormat="1" s="34"/>
    <row r="481" customFormat="1" s="34"/>
    <row r="482" customFormat="1" s="34"/>
    <row r="483" customFormat="1" s="34"/>
    <row r="484" customFormat="1" s="34"/>
    <row r="485" customFormat="1" s="34"/>
    <row r="486" customFormat="1" s="34"/>
    <row r="487" customFormat="1" s="34"/>
    <row r="488" customFormat="1" s="34"/>
    <row r="489" customFormat="1" s="34"/>
    <row r="490" customFormat="1" s="34"/>
    <row r="491" customFormat="1" s="34"/>
    <row r="492" customFormat="1" s="34"/>
    <row r="493" customFormat="1" s="34"/>
    <row r="494" customFormat="1" s="34"/>
    <row r="495" customFormat="1" s="34"/>
    <row r="496" customFormat="1" s="34"/>
    <row r="497" customFormat="1" s="34"/>
    <row r="498" customFormat="1" s="34"/>
    <row r="499" customFormat="1" s="34"/>
    <row r="500" customFormat="1" s="34"/>
    <row r="501" customFormat="1" s="34"/>
    <row r="502" customFormat="1" s="34"/>
    <row r="503" customFormat="1" s="34"/>
    <row r="504" customFormat="1" s="34"/>
    <row r="505" customFormat="1" s="34"/>
    <row r="506" customFormat="1" s="34"/>
    <row r="507" customFormat="1" s="34"/>
    <row r="508" customFormat="1" s="34"/>
    <row r="509" customFormat="1" s="34"/>
    <row r="510" customFormat="1" s="34"/>
    <row r="511" customFormat="1" s="34"/>
    <row r="512" customFormat="1" s="34"/>
    <row r="513" customFormat="1" s="34"/>
    <row r="514" customFormat="1" s="34"/>
    <row r="515" customFormat="1" s="34"/>
    <row r="516" customFormat="1" s="34"/>
    <row r="517" customFormat="1" s="34"/>
    <row r="518" customFormat="1" s="34"/>
    <row r="519" customFormat="1" s="34"/>
    <row r="520" customFormat="1" s="34"/>
    <row r="521" customFormat="1" s="34"/>
    <row r="522" customFormat="1" s="34"/>
    <row r="523" customFormat="1" s="34"/>
    <row r="524" customFormat="1" s="34"/>
    <row r="525" customFormat="1" s="34"/>
    <row r="526" customFormat="1" s="34"/>
    <row r="527" customFormat="1" s="34"/>
    <row r="528" customFormat="1" s="34"/>
    <row r="529" customFormat="1" s="34"/>
    <row r="530" customFormat="1" s="34"/>
    <row r="531" customFormat="1" s="34"/>
    <row r="532" customFormat="1" s="34"/>
    <row r="533" customFormat="1" s="34"/>
    <row r="534" customFormat="1" s="34"/>
    <row r="535" customFormat="1" s="34"/>
    <row r="536" customFormat="1" s="34"/>
    <row r="537" customFormat="1" s="34"/>
    <row r="538" customFormat="1" s="34"/>
    <row r="539" customFormat="1" s="34"/>
    <row r="540" customFormat="1" s="34"/>
    <row r="541" customFormat="1" s="34"/>
    <row r="542" customFormat="1" s="34"/>
    <row r="543" customFormat="1" s="34"/>
    <row r="544" customFormat="1" s="34"/>
    <row r="545" customFormat="1" s="34"/>
    <row r="546" customFormat="1" s="34"/>
    <row r="547" customFormat="1" s="34"/>
    <row r="548" customFormat="1" s="34"/>
    <row r="549" customFormat="1" s="34"/>
    <row r="550" customFormat="1" s="34"/>
    <row r="551" customFormat="1" s="34"/>
    <row r="552" customFormat="1" s="34"/>
    <row r="553" customFormat="1" s="34"/>
    <row r="554" customFormat="1" s="34"/>
    <row r="555" customFormat="1" s="34"/>
    <row r="556" customFormat="1" s="34"/>
    <row r="557" customFormat="1" s="34"/>
    <row r="558" customFormat="1" s="34"/>
    <row r="559" customFormat="1" s="34"/>
    <row r="560" customFormat="1" s="34"/>
    <row r="561" customFormat="1" s="34"/>
    <row r="562" customFormat="1" s="34"/>
    <row r="563" customFormat="1" s="34"/>
    <row r="564" customFormat="1" s="34"/>
    <row r="565" customFormat="1" s="34"/>
    <row r="566" customFormat="1" s="34"/>
    <row r="567" customFormat="1" s="34"/>
    <row r="568" customFormat="1" s="34"/>
    <row r="569" customFormat="1" s="34"/>
    <row r="570" customFormat="1" s="34"/>
    <row r="571" customFormat="1" s="34"/>
    <row r="572" customFormat="1" s="34"/>
    <row r="573" customFormat="1" s="34"/>
    <row r="574" customFormat="1" s="34"/>
    <row r="575" customFormat="1" s="34"/>
    <row r="576" customFormat="1" s="34"/>
    <row r="577" customFormat="1" s="34"/>
    <row r="578" customFormat="1" s="34"/>
    <row r="579" customFormat="1" s="34"/>
    <row r="580" customFormat="1" s="34"/>
    <row r="581" customFormat="1" s="34"/>
    <row r="582" customFormat="1" s="34"/>
    <row r="583" customFormat="1" s="34"/>
    <row r="584" customFormat="1" s="34"/>
    <row r="585" customFormat="1" s="34"/>
    <row r="586" customFormat="1" s="34"/>
    <row r="587" customFormat="1" s="34"/>
    <row r="588" customFormat="1" s="34"/>
    <row r="589" customFormat="1" s="34"/>
    <row r="590" customFormat="1" s="34"/>
    <row r="591" customFormat="1" s="34"/>
    <row r="592" customFormat="1" s="34"/>
    <row r="593" customFormat="1" s="34"/>
    <row r="594" customFormat="1" s="34"/>
    <row r="595" customFormat="1" s="34"/>
    <row r="596" customFormat="1" s="34"/>
    <row r="597" customFormat="1" s="34"/>
    <row r="598" customFormat="1" s="34"/>
    <row r="599" customFormat="1" s="34"/>
    <row r="600" customFormat="1" s="34"/>
    <row r="601" customFormat="1" s="34"/>
    <row r="602" customFormat="1" s="34"/>
    <row r="603" customFormat="1" s="34"/>
    <row r="604" customFormat="1" s="34"/>
    <row r="605" customFormat="1" s="34"/>
    <row r="606" customFormat="1" s="34"/>
    <row r="607" customFormat="1" s="34"/>
    <row r="608" customFormat="1" s="34"/>
    <row r="609" customFormat="1" s="34"/>
    <row r="610" customFormat="1" s="34"/>
    <row r="611" customFormat="1" s="34"/>
    <row r="612" customFormat="1" s="34"/>
    <row r="613" customFormat="1" s="34"/>
    <row r="614" customFormat="1" s="34"/>
    <row r="615" customFormat="1" s="34"/>
    <row r="616" customFormat="1" s="34"/>
    <row r="617" customFormat="1" s="34"/>
    <row r="618" customFormat="1" s="34"/>
    <row r="619" customFormat="1" s="34"/>
    <row r="620" customFormat="1" s="34"/>
    <row r="621" customFormat="1" s="34"/>
    <row r="622" customFormat="1" s="34"/>
    <row r="623" customFormat="1" s="34"/>
    <row r="624" customFormat="1" s="34"/>
    <row r="625" customFormat="1" s="34"/>
    <row r="626" customFormat="1" s="34"/>
    <row r="627" customFormat="1" s="34"/>
    <row r="628" customFormat="1" s="34"/>
    <row r="629" customFormat="1" s="34"/>
    <row r="630" customFormat="1" s="34"/>
    <row r="631" customFormat="1" s="34"/>
    <row r="632" customFormat="1" s="34"/>
    <row r="633" customFormat="1" s="34"/>
    <row r="634" customFormat="1" s="34"/>
    <row r="635" customFormat="1" s="34"/>
    <row r="636" customFormat="1" s="34"/>
    <row r="637" customFormat="1" s="34"/>
    <row r="638" customFormat="1" s="34"/>
    <row r="639" customFormat="1" s="34"/>
    <row r="640" customFormat="1" s="34"/>
    <row r="641" customFormat="1" s="34"/>
    <row r="642" customFormat="1" s="34"/>
    <row r="643" customFormat="1" s="34"/>
    <row r="644" customFormat="1" s="34"/>
    <row r="645" customFormat="1" s="34"/>
    <row r="646" customFormat="1" s="34"/>
    <row r="647" customFormat="1" s="34"/>
    <row r="648" customFormat="1" s="34"/>
    <row r="649" customFormat="1" s="34"/>
    <row r="650" customFormat="1" s="34"/>
    <row r="651" customFormat="1" s="34"/>
    <row r="652" customFormat="1" s="34"/>
    <row r="653" customFormat="1" s="34"/>
    <row r="654" customFormat="1" s="34"/>
    <row r="655" customFormat="1" s="34"/>
    <row r="656" customFormat="1" s="34"/>
    <row r="657" customFormat="1" s="34"/>
    <row r="658" customFormat="1" s="34"/>
    <row r="659" customFormat="1" s="34"/>
    <row r="660" customFormat="1" s="34"/>
    <row r="661" customFormat="1" s="34"/>
    <row r="662" customFormat="1" s="34"/>
    <row r="663" customFormat="1" s="34"/>
    <row r="664" customFormat="1" s="34"/>
    <row r="665" customFormat="1" s="34"/>
    <row r="666" customFormat="1" s="34"/>
    <row r="667" customFormat="1" s="34"/>
    <row r="668" customFormat="1" s="34"/>
    <row r="669" customFormat="1" s="34"/>
    <row r="670" customFormat="1" s="34"/>
    <row r="671" customFormat="1" s="34"/>
    <row r="672" customFormat="1" s="34"/>
    <row r="673" customFormat="1" s="34"/>
    <row r="674" customFormat="1" s="34"/>
    <row r="675" customFormat="1" s="34"/>
    <row r="676" customFormat="1" s="34"/>
    <row r="677" customFormat="1" s="34"/>
    <row r="678" customFormat="1" s="34"/>
    <row r="679" customFormat="1" s="34"/>
    <row r="680" customFormat="1" s="34"/>
    <row r="681" customFormat="1" s="34"/>
    <row r="682" customFormat="1" s="34"/>
    <row r="683" customFormat="1" s="34"/>
    <row r="684" customFormat="1" s="34"/>
    <row r="685" customFormat="1" s="34"/>
    <row r="686" customFormat="1" s="34"/>
    <row r="687" customFormat="1" s="34"/>
    <row r="688" customFormat="1" s="34"/>
    <row r="689" customFormat="1" s="34"/>
    <row r="690" customFormat="1" s="34"/>
    <row r="691" customFormat="1" s="34"/>
    <row r="692" customFormat="1" s="34"/>
    <row r="693" customFormat="1" s="34"/>
    <row r="694" customFormat="1" s="34"/>
    <row r="695" customFormat="1" s="34"/>
    <row r="696" customFormat="1" s="34"/>
    <row r="697" customFormat="1" s="34"/>
    <row r="698" customFormat="1" s="34"/>
    <row r="699" customFormat="1" s="34"/>
    <row r="700" customFormat="1" s="34"/>
    <row r="701" customFormat="1" s="34"/>
    <row r="702" customFormat="1" s="34"/>
    <row r="703" customFormat="1" s="34"/>
    <row r="704" customFormat="1" s="34"/>
    <row r="705" customFormat="1" s="34"/>
    <row r="706" customFormat="1" s="34"/>
    <row r="707" customFormat="1" s="34"/>
    <row r="708" customFormat="1" s="34"/>
    <row r="709" customFormat="1" s="34"/>
    <row r="710" customFormat="1" s="34"/>
    <row r="711" customFormat="1" s="34"/>
    <row r="712" customFormat="1" s="34"/>
    <row r="713" customFormat="1" s="34"/>
    <row r="714" customFormat="1" s="34"/>
    <row r="715" customFormat="1" s="34"/>
    <row r="716" customFormat="1" s="34"/>
    <row r="717" customFormat="1" s="34"/>
    <row r="718" customFormat="1" s="34"/>
    <row r="719" customFormat="1" s="34"/>
    <row r="720" customFormat="1" s="34"/>
    <row r="721" customFormat="1" s="34"/>
    <row r="722" customFormat="1" s="34"/>
    <row r="723" customFormat="1" s="34"/>
    <row r="724" customFormat="1" s="34"/>
    <row r="725" customFormat="1" s="34"/>
    <row r="726" customFormat="1" s="34"/>
    <row r="727" customFormat="1" s="34"/>
    <row r="728" customFormat="1" s="34"/>
    <row r="729" customFormat="1" s="34"/>
    <row r="730" customFormat="1" s="34"/>
    <row r="731" customFormat="1" s="34"/>
    <row r="732" customFormat="1" s="34"/>
    <row r="733" customFormat="1" s="34"/>
    <row r="734" customFormat="1" s="34"/>
    <row r="735" customFormat="1" s="34"/>
    <row r="736" customFormat="1" s="34"/>
    <row r="737" customFormat="1" s="34"/>
    <row r="738" customFormat="1" s="34"/>
    <row r="739" customFormat="1" s="34"/>
    <row r="740" customFormat="1" s="34"/>
    <row r="741" customFormat="1" s="34"/>
    <row r="742" customFormat="1" s="34"/>
    <row r="743" customFormat="1" s="34"/>
    <row r="744" customFormat="1" s="34"/>
    <row r="745" customFormat="1" s="34"/>
    <row r="746" customFormat="1" s="34"/>
    <row r="747" customFormat="1" s="34"/>
    <row r="748" customFormat="1" s="34"/>
    <row r="749" customFormat="1" s="34"/>
    <row r="750" customFormat="1" s="34"/>
    <row r="751" customFormat="1" s="34"/>
    <row r="752" customFormat="1" s="34"/>
    <row r="753" customFormat="1" s="34"/>
    <row r="754" customFormat="1" s="34"/>
    <row r="755" customFormat="1" s="34"/>
    <row r="756" customFormat="1" s="34"/>
    <row r="757" customFormat="1" s="34"/>
    <row r="758" customFormat="1" s="34"/>
    <row r="759" customFormat="1" s="34"/>
    <row r="760" customFormat="1" s="34"/>
    <row r="761" customFormat="1" s="34"/>
    <row r="762" customFormat="1" s="34"/>
    <row r="763" customFormat="1" s="34"/>
    <row r="764" customFormat="1" s="34"/>
    <row r="765" customFormat="1" s="34"/>
    <row r="766" customFormat="1" s="34"/>
    <row r="767" customFormat="1" s="34"/>
    <row r="768" customFormat="1" s="34"/>
    <row r="769" customFormat="1" s="34"/>
    <row r="770" customFormat="1" s="34"/>
    <row r="771" customFormat="1" s="34"/>
    <row r="772" customFormat="1" s="34"/>
    <row r="773" customFormat="1" s="34"/>
    <row r="774" customFormat="1" s="34"/>
    <row r="775" customFormat="1" s="34"/>
    <row r="776" customFormat="1" s="34"/>
    <row r="777" customFormat="1" s="34"/>
    <row r="778" customFormat="1" s="34"/>
    <row r="779" customFormat="1" s="34"/>
    <row r="780" customFormat="1" s="34"/>
    <row r="781" customFormat="1" s="34"/>
    <row r="782" customFormat="1" s="34"/>
    <row r="783" customFormat="1" s="34"/>
    <row r="784" customFormat="1" s="34"/>
    <row r="785" customFormat="1" s="34"/>
    <row r="786" customFormat="1" s="34"/>
    <row r="787" customFormat="1" s="34"/>
    <row r="788" customFormat="1" s="34"/>
    <row r="789" customFormat="1" s="34"/>
    <row r="790" customFormat="1" s="34"/>
    <row r="791" customFormat="1" s="34"/>
    <row r="792" customFormat="1" s="34"/>
    <row r="793" customFormat="1" s="34"/>
    <row r="794" customFormat="1" s="34"/>
    <row r="795" customFormat="1" s="34"/>
    <row r="796" customFormat="1" s="34"/>
    <row r="797" customFormat="1" s="34"/>
    <row r="798" customFormat="1" s="34"/>
    <row r="799" customFormat="1" s="34"/>
    <row r="800" customFormat="1" s="34"/>
    <row r="801" customFormat="1" s="34"/>
    <row r="802" customFormat="1" s="34"/>
    <row r="803" customFormat="1" s="34"/>
    <row r="804" customFormat="1" s="34"/>
    <row r="805" customFormat="1" s="34"/>
    <row r="806" customFormat="1" s="34"/>
    <row r="807" customFormat="1" s="34"/>
    <row r="808" customFormat="1" s="34"/>
    <row r="809" customFormat="1" s="34"/>
    <row r="810" customFormat="1" s="34"/>
    <row r="811" customFormat="1" s="34"/>
    <row r="812" customFormat="1" s="34"/>
    <row r="813" customFormat="1" s="34"/>
    <row r="814" customFormat="1" s="34"/>
    <row r="815" customFormat="1" s="34"/>
    <row r="816" customFormat="1" s="34"/>
    <row r="817" customFormat="1" s="34"/>
    <row r="818" customFormat="1" s="34"/>
    <row r="819" customFormat="1" s="34"/>
    <row r="820" customFormat="1" s="34"/>
    <row r="821" customFormat="1" s="34"/>
    <row r="822" customFormat="1" s="34"/>
    <row r="823" customFormat="1" s="34"/>
    <row r="824" customFormat="1" s="34"/>
    <row r="825" customFormat="1" s="34"/>
    <row r="826" customFormat="1" s="34"/>
    <row r="827" customFormat="1" s="34"/>
    <row r="828" customFormat="1" s="34"/>
    <row r="829" customFormat="1" s="34"/>
    <row r="830" customFormat="1" s="34"/>
    <row r="831" customFormat="1" s="34"/>
    <row r="832" customFormat="1" s="34"/>
    <row r="833" customFormat="1" s="34"/>
    <row r="834" customFormat="1" s="34"/>
    <row r="835" customFormat="1" s="34"/>
    <row r="836" customFormat="1" s="34"/>
    <row r="837" customFormat="1" s="34"/>
    <row r="838" customFormat="1" s="34"/>
    <row r="839" customFormat="1" s="34"/>
    <row r="840" customFormat="1" s="34"/>
    <row r="841" customFormat="1" s="34"/>
    <row r="842" customFormat="1" s="34"/>
    <row r="843" customFormat="1" s="34"/>
    <row r="844" customFormat="1" s="34"/>
    <row r="845" customFormat="1" s="34"/>
    <row r="846" customFormat="1" s="34"/>
    <row r="847" customFormat="1" s="34"/>
    <row r="848" customFormat="1" s="34"/>
    <row r="849" customFormat="1" s="34"/>
    <row r="850" customFormat="1" s="34"/>
    <row r="851" customFormat="1" s="34"/>
    <row r="852" customFormat="1" s="34"/>
    <row r="853" customFormat="1" s="34"/>
    <row r="854" customFormat="1" s="34"/>
    <row r="855" customFormat="1" s="34"/>
    <row r="856" customFormat="1" s="34"/>
    <row r="857" customFormat="1" s="34"/>
    <row r="858" customFormat="1" s="34"/>
    <row r="859" customFormat="1" s="34"/>
    <row r="860" customFormat="1" s="34"/>
    <row r="861" customFormat="1" s="34"/>
    <row r="862" customFormat="1" s="34"/>
    <row r="863" customFormat="1" s="34"/>
    <row r="864" customFormat="1" s="34"/>
    <row r="865" customFormat="1" s="34"/>
    <row r="866" customFormat="1" s="34"/>
    <row r="867" customFormat="1" s="34"/>
    <row r="868" customFormat="1" s="34"/>
    <row r="869" customFormat="1" s="34"/>
    <row r="870" customFormat="1" s="34"/>
    <row r="871" customFormat="1" s="34"/>
    <row r="872" customFormat="1" s="34"/>
    <row r="873" customFormat="1" s="34"/>
    <row r="874" customFormat="1" s="34"/>
    <row r="875" customFormat="1" s="34"/>
    <row r="876" customFormat="1" s="34"/>
    <row r="877" customFormat="1" s="34"/>
    <row r="878" customFormat="1" s="34"/>
    <row r="879" customFormat="1" s="34"/>
    <row r="880" customFormat="1" s="34"/>
    <row r="881" customFormat="1" s="34"/>
    <row r="882" customFormat="1" s="34"/>
    <row r="883" customFormat="1" s="34"/>
    <row r="884" customFormat="1" s="34"/>
    <row r="885" customFormat="1" s="34"/>
    <row r="886" customFormat="1" s="34"/>
    <row r="887" customFormat="1" s="34"/>
    <row r="888" customFormat="1" s="34"/>
    <row r="889" customFormat="1" s="34"/>
    <row r="890" customFormat="1" s="34"/>
    <row r="891" customFormat="1" s="34"/>
    <row r="892" customFormat="1" s="34"/>
    <row r="893" customFormat="1" s="34"/>
    <row r="894" customFormat="1" s="34"/>
    <row r="895" customFormat="1" s="34"/>
    <row r="896" customFormat="1" s="34"/>
    <row r="897" customFormat="1" s="34"/>
    <row r="898" customFormat="1" s="34"/>
    <row r="899" customFormat="1" s="34"/>
    <row r="900" customFormat="1" s="34"/>
    <row r="901" customFormat="1" s="34"/>
    <row r="902" customFormat="1" s="34"/>
    <row r="903" customFormat="1" s="34"/>
    <row r="904" customFormat="1" s="34"/>
    <row r="905" customFormat="1" s="34"/>
    <row r="906" customFormat="1" s="34"/>
    <row r="907" customFormat="1" s="34"/>
    <row r="908" customFormat="1" s="34"/>
    <row r="909" customFormat="1" s="34"/>
    <row r="910" customFormat="1" s="34"/>
    <row r="911" customFormat="1" s="34"/>
    <row r="912" customFormat="1" s="34"/>
    <row r="913" customFormat="1" s="34"/>
    <row r="914" customFormat="1" s="34"/>
    <row r="915" customFormat="1" s="34"/>
    <row r="916" customFormat="1" s="34"/>
    <row r="917" customFormat="1" s="34"/>
    <row r="918" customFormat="1" s="34"/>
    <row r="919" customFormat="1" s="34"/>
    <row r="920" customFormat="1" s="34"/>
    <row r="921" customFormat="1" s="34"/>
    <row r="922" customFormat="1" s="34"/>
    <row r="923" customFormat="1" s="34"/>
    <row r="924" customFormat="1" s="34"/>
    <row r="925" customFormat="1" s="34"/>
    <row r="926" customFormat="1" s="34"/>
    <row r="927" customFormat="1" s="34"/>
    <row r="928" customFormat="1" s="34"/>
    <row r="929" customFormat="1" s="34"/>
    <row r="930" customFormat="1" s="34"/>
    <row r="931" customFormat="1" s="34"/>
    <row r="932" customFormat="1" s="34"/>
    <row r="933" customFormat="1" s="34"/>
    <row r="934" customFormat="1" s="34"/>
    <row r="935" customFormat="1" s="34"/>
    <row r="936" customFormat="1" s="34"/>
    <row r="937" customFormat="1" s="34"/>
    <row r="938" customFormat="1" s="34"/>
    <row r="939" customFormat="1" s="34"/>
    <row r="940" customFormat="1" s="34"/>
    <row r="941" customFormat="1" s="34"/>
    <row r="942" customFormat="1" s="34"/>
    <row r="943" customFormat="1" s="34"/>
    <row r="944" customFormat="1" s="34"/>
    <row r="945" customFormat="1" s="34"/>
    <row r="946" customFormat="1" s="34"/>
    <row r="947" customFormat="1" s="34"/>
    <row r="948" customFormat="1" s="34"/>
    <row r="949" customFormat="1" s="34"/>
    <row r="950" customFormat="1" s="34"/>
    <row r="951" customFormat="1" s="34"/>
    <row r="952" customFormat="1" s="34"/>
    <row r="953" customFormat="1" s="34"/>
    <row r="954" customFormat="1" s="34"/>
    <row r="955" customFormat="1" s="34"/>
    <row r="956" customFormat="1" s="34"/>
    <row r="957" customFormat="1" s="34"/>
    <row r="958" customFormat="1" s="34"/>
    <row r="959" customFormat="1" s="34"/>
    <row r="960" customFormat="1" s="34"/>
    <row r="961" customFormat="1" s="34"/>
    <row r="962" customFormat="1" s="34"/>
    <row r="963" customFormat="1" s="34"/>
    <row r="964" customFormat="1" s="34"/>
    <row r="965" customFormat="1" s="34"/>
    <row r="966" customFormat="1" s="34"/>
    <row r="967" customFormat="1" s="34"/>
    <row r="968" customFormat="1" s="34"/>
    <row r="969" customFormat="1" s="34"/>
    <row r="970" customFormat="1" s="34"/>
    <row r="971" customFormat="1" s="34"/>
    <row r="972" customFormat="1" s="34"/>
    <row r="973" customFormat="1" s="34"/>
    <row r="974" customFormat="1" s="34"/>
    <row r="975" customFormat="1" s="34"/>
    <row r="976" customFormat="1" s="34"/>
    <row r="977" customFormat="1" s="34"/>
    <row r="978" customFormat="1" s="34"/>
    <row r="979" customFormat="1" s="34"/>
    <row r="980" customFormat="1" s="34"/>
    <row r="981" customFormat="1" s="34"/>
    <row r="982" customFormat="1" s="34"/>
    <row r="983" customFormat="1" s="34"/>
    <row r="984" customFormat="1" s="34"/>
    <row r="985" customFormat="1" s="34"/>
    <row r="986" customFormat="1" s="34"/>
    <row r="987" customFormat="1" s="34"/>
    <row r="988" customFormat="1" s="34"/>
    <row r="989" customFormat="1" s="34"/>
    <row r="990" customFormat="1" s="34"/>
    <row r="991" customFormat="1" s="34"/>
    <row r="992" customFormat="1" s="34"/>
    <row r="993" customFormat="1" s="34"/>
    <row r="994" customFormat="1" s="34"/>
    <row r="995" customFormat="1" s="34"/>
    <row r="996" customFormat="1" s="34"/>
    <row r="997" customFormat="1" s="34"/>
    <row r="998" customFormat="1" s="34"/>
    <row r="999" customFormat="1" s="34"/>
    <row r="1000" customFormat="1" s="34"/>
    <row r="1001" customFormat="1" s="34"/>
    <row r="1002" customFormat="1" s="34"/>
    <row r="1003" customFormat="1" s="34"/>
    <row r="1004" customFormat="1" s="34"/>
    <row r="1005" customFormat="1" s="34"/>
    <row r="1006" customFormat="1" s="34"/>
    <row r="1007" customFormat="1" s="34"/>
    <row r="1008" customFormat="1" s="34"/>
    <row r="1009" customFormat="1" s="34"/>
    <row r="1010" customFormat="1" s="34"/>
    <row r="1011" customFormat="1" s="34"/>
    <row r="1012" customFormat="1" s="34"/>
    <row r="1013" customFormat="1" s="34"/>
    <row r="1014" customFormat="1" s="34"/>
    <row r="1015" customFormat="1" s="34"/>
    <row r="1016" customFormat="1" s="34"/>
    <row r="1017" customFormat="1" s="34"/>
    <row r="1018" customFormat="1" s="34"/>
    <row r="1019" customFormat="1" s="34"/>
    <row r="1020" customFormat="1" s="34"/>
    <row r="1021" customFormat="1" s="34"/>
    <row r="1022" customFormat="1" s="34"/>
    <row r="1023" customFormat="1" s="34"/>
    <row r="1024" customFormat="1" s="34"/>
    <row r="1025" customFormat="1" s="34"/>
    <row r="1026" customFormat="1" s="34"/>
    <row r="1027" customFormat="1" s="34"/>
    <row r="1028" customFormat="1" s="34"/>
    <row r="1029" customFormat="1" s="34"/>
    <row r="1030" customFormat="1" s="34"/>
    <row r="1031" customFormat="1" s="34"/>
    <row r="1032" customFormat="1" s="34"/>
    <row r="1033" customFormat="1" s="34"/>
    <row r="1034" customFormat="1" s="34"/>
    <row r="1035" customFormat="1" s="34"/>
    <row r="1036" customFormat="1" s="34"/>
    <row r="1037" customFormat="1" s="34"/>
    <row r="1038" customFormat="1" s="34"/>
    <row r="1039" customFormat="1" s="34"/>
    <row r="1040" customFormat="1" s="34"/>
    <row r="1041" customFormat="1" s="34"/>
    <row r="1042" customFormat="1" s="34"/>
    <row r="1043" customFormat="1" s="34"/>
    <row r="1044" customFormat="1" s="34"/>
    <row r="1045" customFormat="1" s="34"/>
    <row r="1046" customFormat="1" s="34"/>
    <row r="1047" customFormat="1" s="34"/>
    <row r="1048" customFormat="1" s="34"/>
    <row r="1049" customFormat="1" s="34"/>
    <row r="1050" customFormat="1" s="34"/>
    <row r="1051" customFormat="1" s="34"/>
    <row r="1052" customFormat="1" s="34"/>
    <row r="1053" customFormat="1" s="34"/>
    <row r="1054" customFormat="1" s="34"/>
    <row r="1055" customFormat="1" s="34"/>
    <row r="1056" customFormat="1" s="34"/>
    <row r="1057" customFormat="1" s="34"/>
    <row r="1058" customFormat="1" s="34"/>
    <row r="1059" customFormat="1" s="34"/>
    <row r="1060" customFormat="1" s="34"/>
    <row r="1061" customFormat="1" s="34"/>
    <row r="1062" customFormat="1" s="34"/>
    <row r="1063" customFormat="1" s="34"/>
    <row r="1064" customFormat="1" s="34"/>
    <row r="1065" customFormat="1" s="34"/>
    <row r="1066" customFormat="1" s="34"/>
    <row r="1067" customFormat="1" s="34"/>
    <row r="1068" customFormat="1" s="34"/>
    <row r="1069" customFormat="1" s="34"/>
    <row r="1070" customFormat="1" s="34"/>
    <row r="1071" customFormat="1" s="34"/>
    <row r="1072" customFormat="1" s="34"/>
    <row r="1073" customFormat="1" s="34"/>
    <row r="1074" customFormat="1" s="34"/>
    <row r="1075" customFormat="1" s="34"/>
    <row r="1076" customFormat="1" s="34"/>
    <row r="1077" customFormat="1" s="34"/>
    <row r="1078" customFormat="1" s="34"/>
    <row r="1079" customFormat="1" s="34"/>
    <row r="1080" customFormat="1" s="34"/>
    <row r="1081" customFormat="1" s="34"/>
    <row r="1082" customFormat="1" s="34"/>
    <row r="1083" customFormat="1" s="34"/>
    <row r="1084" customFormat="1" s="34"/>
    <row r="1085" customFormat="1" s="34"/>
    <row r="1086" customFormat="1" s="34"/>
    <row r="1087" customFormat="1" s="34"/>
    <row r="1088" customFormat="1" s="34"/>
    <row r="1089" customFormat="1" s="34"/>
    <row r="1090" customFormat="1" s="34"/>
    <row r="1091" customFormat="1" s="34"/>
    <row r="1092" customFormat="1" s="34"/>
    <row r="1093" customFormat="1" s="34"/>
    <row r="1094" customFormat="1" s="34"/>
    <row r="1095" customFormat="1" s="34"/>
    <row r="1096" customFormat="1" s="34"/>
    <row r="1097" customFormat="1" s="34"/>
    <row r="1098" customFormat="1" s="34"/>
    <row r="1099" customFormat="1" s="34"/>
    <row r="1100" customFormat="1" s="34"/>
    <row r="1101" customFormat="1" s="34"/>
    <row r="1102" customFormat="1" s="34"/>
    <row r="1103" customFormat="1" s="34"/>
    <row r="1104" customFormat="1" s="34"/>
    <row r="1105" customFormat="1" s="34"/>
    <row r="1106" customFormat="1" s="34"/>
    <row r="1107" customFormat="1" s="34"/>
    <row r="1108" customFormat="1" s="34"/>
    <row r="1109" customFormat="1" s="34"/>
    <row r="1110" customFormat="1" s="34"/>
    <row r="1111" customFormat="1" s="34"/>
    <row r="1112" customFormat="1" s="34"/>
    <row r="1113" customFormat="1" s="34"/>
    <row r="1114" customFormat="1" s="34"/>
    <row r="1115" customFormat="1" s="34"/>
    <row r="1116" customFormat="1" s="34"/>
    <row r="1117" customFormat="1" s="34"/>
    <row r="1118" customFormat="1" s="34"/>
    <row r="1119" customFormat="1" s="34"/>
    <row r="1120" customFormat="1" s="34"/>
    <row r="1121" customFormat="1" s="34"/>
    <row r="1122" customFormat="1" s="34"/>
    <row r="1123" customFormat="1" s="34"/>
    <row r="1124" customFormat="1" s="34"/>
    <row r="1125" customFormat="1" s="34"/>
    <row r="1126" customFormat="1" s="34"/>
    <row r="1127" customFormat="1" s="34"/>
    <row r="1128" customFormat="1" s="34"/>
    <row r="1129" customFormat="1" s="34"/>
    <row r="1130" customFormat="1" s="34"/>
    <row r="1131" customFormat="1" s="34"/>
    <row r="1132" customFormat="1" s="34"/>
    <row r="1133" customFormat="1" s="34"/>
    <row r="1134" customFormat="1" s="34"/>
    <row r="1135" customFormat="1" s="34"/>
    <row r="1136" customFormat="1" s="34"/>
    <row r="1137" customFormat="1" s="34"/>
    <row r="1138" customFormat="1" s="34"/>
    <row r="1139" customFormat="1" s="34"/>
    <row r="1140" customFormat="1" s="34"/>
    <row r="1141" customFormat="1" s="34"/>
    <row r="1142" customFormat="1" s="34"/>
    <row r="1143" customFormat="1" s="34"/>
    <row r="1144" customFormat="1" s="34"/>
    <row r="1145" customFormat="1" s="34"/>
    <row r="1146" customFormat="1" s="34"/>
    <row r="1147" customFormat="1" s="34"/>
    <row r="1148" customFormat="1" s="34"/>
    <row r="1149" customFormat="1" s="34"/>
    <row r="1150" customFormat="1" s="34"/>
    <row r="1151" customFormat="1" s="34"/>
    <row r="1152" customFormat="1" s="34"/>
    <row r="1153" customFormat="1" s="34"/>
    <row r="1154" customFormat="1" s="34"/>
    <row r="1155" customFormat="1" s="34"/>
    <row r="1156" customFormat="1" s="34"/>
    <row r="1157" customFormat="1" s="34"/>
    <row r="1158" customFormat="1" s="34"/>
    <row r="1159" customFormat="1" s="34"/>
    <row r="1160" customFormat="1" s="34"/>
    <row r="1161" customFormat="1" s="34"/>
    <row r="1162" customFormat="1" s="34"/>
    <row r="1163" customFormat="1" s="34"/>
    <row r="1164" customFormat="1" s="34"/>
    <row r="1165" customFormat="1" s="34"/>
    <row r="1166" customFormat="1" s="34"/>
    <row r="1167" customFormat="1" s="34"/>
    <row r="1168" customFormat="1" s="34"/>
    <row r="1169" customFormat="1" s="34"/>
    <row r="1170" customFormat="1" s="34"/>
    <row r="1171" customFormat="1" s="34"/>
    <row r="1172" customFormat="1" s="34"/>
    <row r="1173" customFormat="1" s="34"/>
    <row r="1174" customFormat="1" s="34"/>
    <row r="1175" customFormat="1" s="34"/>
    <row r="1176" customFormat="1" s="34"/>
    <row r="1177" customFormat="1" s="34"/>
    <row r="1178" customFormat="1" s="34"/>
    <row r="1179" customFormat="1" s="34"/>
    <row r="1180" customFormat="1" s="34"/>
    <row r="1181" customFormat="1" s="34"/>
    <row r="1182" customFormat="1" s="34"/>
    <row r="1183" customFormat="1" s="34"/>
    <row r="1184" customFormat="1" s="34"/>
    <row r="1185" customFormat="1" s="34"/>
    <row r="1186" customFormat="1" s="34"/>
    <row r="1187" customFormat="1" s="34"/>
    <row r="1188" customFormat="1" s="34"/>
    <row r="1189" customFormat="1" s="34"/>
    <row r="1190" customFormat="1" s="34"/>
    <row r="1191" customFormat="1" s="34"/>
    <row r="1192" customFormat="1" s="34"/>
    <row r="1193" customFormat="1" s="34"/>
    <row r="1194" customFormat="1" s="34"/>
    <row r="1195" customFormat="1" s="34"/>
    <row r="1196" customFormat="1" s="34"/>
    <row r="1197" customFormat="1" s="34"/>
    <row r="1198" customFormat="1" s="34"/>
    <row r="1199" customFormat="1" s="34"/>
    <row r="1200" customFormat="1" s="34"/>
    <row r="1201" customFormat="1" s="34"/>
    <row r="1202" customFormat="1" s="34"/>
    <row r="1203" customFormat="1" s="34"/>
    <row r="1204" customFormat="1" s="34"/>
    <row r="1205" customFormat="1" s="34"/>
    <row r="1206" customFormat="1" s="34"/>
    <row r="1207" customFormat="1" s="34"/>
    <row r="1208" customFormat="1" s="34"/>
    <row r="1209" customFormat="1" s="34"/>
    <row r="1210" customFormat="1" s="34"/>
    <row r="1211" customFormat="1" s="34"/>
    <row r="1212" customFormat="1" s="34"/>
    <row r="1213" customFormat="1" s="34"/>
    <row r="1214" customFormat="1" s="34"/>
    <row r="1215" customFormat="1" s="34"/>
    <row r="1216" customFormat="1" s="34"/>
    <row r="1217" customFormat="1" s="34"/>
    <row r="1218" customFormat="1" s="34"/>
    <row r="1219" customFormat="1" s="34"/>
    <row r="1220" customFormat="1" s="34"/>
    <row r="1221" customFormat="1" s="34"/>
    <row r="1222" customFormat="1" s="34"/>
    <row r="1223" customFormat="1" s="34"/>
    <row r="1224" customFormat="1" s="34"/>
    <row r="1225" customFormat="1" s="34"/>
    <row r="1226" customFormat="1" s="34"/>
    <row r="1227" customFormat="1" s="34"/>
    <row r="1228" customFormat="1" s="34"/>
    <row r="1229" customFormat="1" s="34"/>
    <row r="1230" customFormat="1" s="34"/>
    <row r="1231" customFormat="1" s="34"/>
    <row r="1232" customFormat="1" s="34"/>
    <row r="1233" customFormat="1" s="34"/>
    <row r="1234" customFormat="1" s="34"/>
    <row r="1235" customFormat="1" s="34"/>
    <row r="1236" customFormat="1" s="34"/>
    <row r="1237" customFormat="1" s="34"/>
    <row r="1238" customFormat="1" s="34"/>
    <row r="1239" customFormat="1" s="34"/>
    <row r="1240" customFormat="1" s="34"/>
    <row r="1241" customFormat="1" s="34"/>
    <row r="1242" customFormat="1" s="34"/>
    <row r="1243" customFormat="1" s="34"/>
    <row r="1244" customFormat="1" s="34"/>
    <row r="1245" customFormat="1" s="34"/>
    <row r="1246" customFormat="1" s="34"/>
    <row r="1247" customFormat="1" s="34"/>
    <row r="1248" customFormat="1" s="34"/>
    <row r="1249" customFormat="1" s="34"/>
    <row r="1250" customFormat="1" s="34"/>
    <row r="1251" customFormat="1" s="34"/>
    <row r="1252" customFormat="1" s="34"/>
    <row r="1253" customFormat="1" s="34"/>
    <row r="1254" customFormat="1" s="34"/>
    <row r="1255" customFormat="1" s="34"/>
    <row r="1256" customFormat="1" s="34"/>
    <row r="1257" customFormat="1" s="34"/>
    <row r="1258" customFormat="1" s="34"/>
    <row r="1259" customFormat="1" s="34"/>
    <row r="1260" customFormat="1" s="34"/>
    <row r="1261" customFormat="1" s="34"/>
    <row r="1262" customFormat="1" s="34"/>
    <row r="1263" customFormat="1" s="34"/>
    <row r="1264" customFormat="1" s="34"/>
    <row r="1265" customFormat="1" s="34"/>
    <row r="1266" customFormat="1" s="34"/>
    <row r="1267" customFormat="1" s="34"/>
    <row r="1268" customFormat="1" s="34"/>
    <row r="1269" customFormat="1" s="34"/>
    <row r="1270" customFormat="1" s="34"/>
    <row r="1271" customFormat="1" s="34"/>
    <row r="1272" customFormat="1" s="34"/>
    <row r="1273" customFormat="1" s="34"/>
    <row r="1274" customFormat="1" s="34"/>
    <row r="1275" customFormat="1" s="34"/>
    <row r="1276" customFormat="1" s="34"/>
    <row r="1277" customFormat="1" s="34"/>
    <row r="1278" customFormat="1" s="34"/>
    <row r="1279" customFormat="1" s="34"/>
    <row r="1280" customFormat="1" s="34"/>
    <row r="1281" customFormat="1" s="34"/>
    <row r="1282" customFormat="1" s="34"/>
    <row r="1283" customFormat="1" s="34"/>
    <row r="1284" customFormat="1" s="34"/>
    <row r="1285" customFormat="1" s="34"/>
    <row r="1286" customFormat="1" s="34"/>
    <row r="1287" customFormat="1" s="34"/>
    <row r="1288" customFormat="1" s="34"/>
    <row r="1289" customFormat="1" s="34"/>
    <row r="1290" customFormat="1" s="34"/>
    <row r="1291" customFormat="1" s="34"/>
    <row r="1292" customFormat="1" s="34"/>
    <row r="1293" customFormat="1" s="34"/>
    <row r="1294" customFormat="1" s="34"/>
    <row r="1295" customFormat="1" s="34"/>
    <row r="1296" customFormat="1" s="34"/>
    <row r="1297" customFormat="1" s="34"/>
    <row r="1298" customFormat="1" s="34"/>
    <row r="1299" customFormat="1" s="34"/>
    <row r="1300" customFormat="1" s="34"/>
    <row r="1301" customFormat="1" s="34"/>
    <row r="1302" customFormat="1" s="34"/>
    <row r="1303" customFormat="1" s="34"/>
    <row r="1304" customFormat="1" s="34"/>
    <row r="1305" customFormat="1" s="34"/>
    <row r="1306" customFormat="1" s="34"/>
    <row r="1307" customFormat="1" s="34"/>
    <row r="1308" customFormat="1" s="34"/>
    <row r="1309" customFormat="1" s="34"/>
    <row r="1310" customFormat="1" s="34"/>
    <row r="1311" customFormat="1" s="34"/>
    <row r="1312" customFormat="1" s="34"/>
    <row r="1313" customFormat="1" s="34"/>
    <row r="1314" customFormat="1" s="34"/>
    <row r="1315" customFormat="1" s="34"/>
    <row r="1316" customFormat="1" s="34"/>
    <row r="1317" customFormat="1" s="34"/>
    <row r="1318" customFormat="1" s="34"/>
    <row r="1319" customFormat="1" s="34"/>
    <row r="1320" customFormat="1" s="34"/>
    <row r="1321" customFormat="1" s="34"/>
    <row r="1322" customFormat="1" s="34"/>
    <row r="1323" customFormat="1" s="34"/>
    <row r="1324" customFormat="1" s="34"/>
    <row r="1325" customFormat="1" s="34"/>
    <row r="1326" customFormat="1" s="34"/>
    <row r="1327" customFormat="1" s="34"/>
    <row r="1328" customFormat="1" s="34"/>
    <row r="1329" customFormat="1" s="34"/>
    <row r="1330" customFormat="1" s="34"/>
    <row r="1331" customFormat="1" s="34"/>
    <row r="1332" customFormat="1" s="34"/>
    <row r="1333" customFormat="1" s="34"/>
    <row r="1334" customFormat="1" s="34"/>
    <row r="1335" customFormat="1" s="34"/>
    <row r="1336" customFormat="1" s="34"/>
    <row r="1337" customFormat="1" s="34"/>
    <row r="1338" customFormat="1" s="34"/>
    <row r="1339" customFormat="1" s="34"/>
    <row r="1340" customFormat="1" s="34"/>
    <row r="1341" customFormat="1" s="34"/>
    <row r="1342" customFormat="1" s="34"/>
    <row r="1343" customFormat="1" s="34"/>
    <row r="1344" customFormat="1" s="34"/>
    <row r="1345" customFormat="1" s="34"/>
    <row r="1346" customFormat="1" s="34"/>
    <row r="1347" customFormat="1" s="34"/>
    <row r="1348" customFormat="1" s="34"/>
    <row r="1349" customFormat="1" s="34"/>
    <row r="1350" customFormat="1" s="34"/>
    <row r="1351" customFormat="1" s="34"/>
    <row r="1352" customFormat="1" s="34"/>
    <row r="1353" customFormat="1" s="34"/>
    <row r="1354" customFormat="1" s="34"/>
    <row r="1355" customFormat="1" s="34"/>
    <row r="1356" customFormat="1" s="34"/>
    <row r="1357" customFormat="1" s="34"/>
    <row r="1358" customFormat="1" s="34"/>
    <row r="1359" customFormat="1" s="34"/>
    <row r="1360" customFormat="1" s="34"/>
    <row r="1361" customFormat="1" s="34"/>
    <row r="1362" customFormat="1" s="34"/>
    <row r="1363" customFormat="1" s="34"/>
    <row r="1364" customFormat="1" s="34"/>
    <row r="1365" customFormat="1" s="34"/>
    <row r="1366" customFormat="1" s="34"/>
    <row r="1367" customFormat="1" s="34"/>
    <row r="1368" customFormat="1" s="34"/>
    <row r="1369" customFormat="1" s="34"/>
    <row r="1370" customFormat="1" s="34"/>
    <row r="1371" customFormat="1" s="34"/>
    <row r="1372" customFormat="1" s="34"/>
    <row r="1373" customFormat="1" s="34"/>
    <row r="1374" customFormat="1" s="34"/>
    <row r="1375" customFormat="1" s="34"/>
    <row r="1376" customFormat="1" s="34"/>
    <row r="1377" customFormat="1" s="34"/>
    <row r="1378" customFormat="1" s="34"/>
    <row r="1379" customFormat="1" s="34"/>
    <row r="1380" customFormat="1" s="34"/>
    <row r="1381" customFormat="1" s="34"/>
    <row r="1382" customFormat="1" s="34"/>
    <row r="1383" customFormat="1" s="34"/>
    <row r="1384" customFormat="1" s="34"/>
    <row r="1385" customFormat="1" s="34"/>
    <row r="1386" customFormat="1" s="34"/>
    <row r="1387" customFormat="1" s="34"/>
    <row r="1388" customFormat="1" s="34"/>
    <row r="1389" customFormat="1" s="34"/>
    <row r="1390" customFormat="1" s="34"/>
    <row r="1391" customFormat="1" s="34"/>
    <row r="1392" customFormat="1" s="34"/>
    <row r="1393" customFormat="1" s="34"/>
    <row r="1394" customFormat="1" s="34"/>
    <row r="1395" customFormat="1" s="34"/>
    <row r="1396" customFormat="1" s="34"/>
    <row r="1397" customFormat="1" s="34"/>
    <row r="1398" customFormat="1" s="34"/>
    <row r="1399" customFormat="1" s="34"/>
    <row r="1400" customFormat="1" s="34"/>
    <row r="1401" customFormat="1" s="34"/>
    <row r="1402" customFormat="1" s="34"/>
    <row r="1403" customFormat="1" s="34"/>
    <row r="1404" customFormat="1" s="34"/>
    <row r="1405" customFormat="1" s="34"/>
    <row r="1406" customFormat="1" s="34"/>
    <row r="1407" customFormat="1" s="34"/>
    <row r="1408" customFormat="1" s="34"/>
    <row r="1409" customFormat="1" s="34"/>
    <row r="1410" customFormat="1" s="34"/>
    <row r="1411" customFormat="1" s="34"/>
    <row r="1412" customFormat="1" s="34"/>
    <row r="1413" customFormat="1" s="34"/>
    <row r="1414" customFormat="1" s="34"/>
    <row r="1415" customFormat="1" s="34"/>
    <row r="1416" customFormat="1" s="34"/>
    <row r="1417" customFormat="1" s="34"/>
    <row r="1418" customFormat="1" s="34"/>
    <row r="1419" customFormat="1" s="34"/>
    <row r="1420" customFormat="1" s="34"/>
    <row r="1421" customFormat="1" s="34"/>
    <row r="1422" customFormat="1" s="34"/>
    <row r="1423" customFormat="1" s="34"/>
    <row r="1424" customFormat="1" s="34"/>
    <row r="1425" customFormat="1" s="34"/>
    <row r="1426" customFormat="1" s="34"/>
    <row r="1427" customFormat="1" s="34"/>
    <row r="1428" customFormat="1" s="34"/>
    <row r="1429" customFormat="1" s="34"/>
    <row r="1430" customFormat="1" s="34"/>
    <row r="1431" customFormat="1" s="34"/>
    <row r="1432" customFormat="1" s="34"/>
    <row r="1433" customFormat="1" s="34"/>
    <row r="1434" customFormat="1" s="34"/>
    <row r="1435" customFormat="1" s="34"/>
    <row r="1436" customFormat="1" s="34"/>
    <row r="1437" customFormat="1" s="34"/>
    <row r="1438" customFormat="1" s="34"/>
    <row r="1439" customFormat="1" s="34"/>
    <row r="1440" customFormat="1" s="34"/>
    <row r="1441" customFormat="1" s="34"/>
    <row r="1442" customFormat="1" s="34"/>
    <row r="1443" customFormat="1" s="34"/>
    <row r="1444" customFormat="1" s="34"/>
    <row r="1445" customFormat="1" s="34"/>
    <row r="1446" customFormat="1" s="34"/>
    <row r="1447" customFormat="1" s="34"/>
    <row r="1448" customFormat="1" s="34"/>
    <row r="1449" customFormat="1" s="34"/>
    <row r="1450" customFormat="1" s="34"/>
    <row r="1451" customFormat="1" s="34"/>
    <row r="1452" customFormat="1" s="34"/>
    <row r="1453" customFormat="1" s="34"/>
    <row r="1454" customFormat="1" s="34"/>
    <row r="1455" customFormat="1" s="34"/>
    <row r="1456" customFormat="1" s="34"/>
    <row r="1457" customFormat="1" s="34"/>
    <row r="1458" customFormat="1" s="34"/>
    <row r="1459" customFormat="1" s="34"/>
    <row r="1460" customFormat="1" s="34"/>
    <row r="1461" customFormat="1" s="34"/>
    <row r="1462" customFormat="1" s="34"/>
    <row r="1463" customFormat="1" s="34"/>
    <row r="1464" customFormat="1" s="34"/>
    <row r="1465" customFormat="1" s="34"/>
    <row r="1466" customFormat="1" s="34"/>
    <row r="1467" customFormat="1" s="34"/>
    <row r="1468" customFormat="1" s="34"/>
    <row r="1469" customFormat="1" s="34"/>
    <row r="1470" customFormat="1" s="34"/>
    <row r="1471" customFormat="1" s="34"/>
    <row r="1472" customFormat="1" s="34"/>
    <row r="1473" customFormat="1" s="34"/>
    <row r="1474" customFormat="1" s="34"/>
    <row r="1475" customFormat="1" s="34"/>
    <row r="1476" customFormat="1" s="34"/>
    <row r="1477" customFormat="1" s="34"/>
    <row r="1478" customFormat="1" s="34"/>
    <row r="1479" customFormat="1" s="34"/>
    <row r="1480" customFormat="1" s="34"/>
    <row r="1481" customFormat="1" s="34"/>
    <row r="1482" customFormat="1" s="34"/>
    <row r="1483" customFormat="1" s="34"/>
    <row r="1484" customFormat="1" s="34"/>
    <row r="1485" customFormat="1" s="34"/>
    <row r="1486" customFormat="1" s="34"/>
    <row r="1487" customFormat="1" s="34"/>
    <row r="1488" customFormat="1" s="34"/>
    <row r="1489" customFormat="1" s="34"/>
    <row r="1490" customFormat="1" s="34"/>
    <row r="1491" customFormat="1" s="34"/>
    <row r="1492" customFormat="1" s="34"/>
    <row r="1493" customFormat="1" s="34"/>
    <row r="1494" customFormat="1" s="34"/>
    <row r="1495" customFormat="1" s="34"/>
    <row r="1496" customFormat="1" s="34"/>
    <row r="1497" customFormat="1" s="34"/>
    <row r="1498" customFormat="1" s="34"/>
    <row r="1499" customFormat="1" s="34"/>
    <row r="1500" customFormat="1" s="34"/>
    <row r="1501" customFormat="1" s="34"/>
    <row r="1502" customFormat="1" s="34"/>
    <row r="1503" customFormat="1" s="34"/>
    <row r="1504" customFormat="1" s="34"/>
    <row r="1505" customFormat="1" s="34"/>
    <row r="1506" customFormat="1" s="34"/>
    <row r="1507" customFormat="1" s="34"/>
    <row r="1508" customFormat="1" s="34"/>
    <row r="1509" customFormat="1" s="34"/>
    <row r="1510" customFormat="1" s="34"/>
    <row r="1511" customFormat="1" s="34"/>
    <row r="1512" customFormat="1" s="34"/>
    <row r="1513" customFormat="1" s="34"/>
    <row r="1514" customFormat="1" s="34"/>
    <row r="1515" customFormat="1" s="34"/>
    <row r="1516" customFormat="1" s="34"/>
    <row r="1517" customFormat="1" s="34"/>
    <row r="1518" customFormat="1" s="34"/>
    <row r="1519" customFormat="1" s="34"/>
    <row r="1520" customFormat="1" s="34"/>
    <row r="1521" customFormat="1" s="34"/>
    <row r="1522" customFormat="1" s="34"/>
    <row r="1523" customFormat="1" s="34"/>
    <row r="1524" customFormat="1" s="34"/>
    <row r="1525" customFormat="1" s="34"/>
    <row r="1526" customFormat="1" s="34"/>
    <row r="1527" customFormat="1" s="34"/>
    <row r="1528" customFormat="1" s="34"/>
    <row r="1529" customFormat="1" s="34"/>
    <row r="1530" customFormat="1" s="34"/>
    <row r="1531" customFormat="1" s="34"/>
    <row r="1532" customFormat="1" s="34"/>
    <row r="1533" customFormat="1" s="34"/>
    <row r="1534" customFormat="1" s="34"/>
    <row r="1535" customFormat="1" s="34"/>
    <row r="1536" customFormat="1" s="34"/>
    <row r="1537" customFormat="1" s="34"/>
    <row r="1538" customFormat="1" s="34"/>
    <row r="1539" customFormat="1" s="34"/>
    <row r="1540" customFormat="1" s="34"/>
    <row r="1541" customFormat="1" s="34"/>
    <row r="1542" customFormat="1" s="34"/>
    <row r="1543" customFormat="1" s="34"/>
    <row r="1544" customFormat="1" s="34"/>
    <row r="1545" customFormat="1" s="34"/>
    <row r="1546" customFormat="1" s="34"/>
    <row r="1547" customFormat="1" s="34"/>
    <row r="1548" customFormat="1" s="34"/>
    <row r="1549" customFormat="1" s="34"/>
    <row r="1550" customFormat="1" s="34"/>
    <row r="1551" customFormat="1" s="34"/>
    <row r="1552" customFormat="1" s="34"/>
    <row r="1553" customFormat="1" s="34"/>
    <row r="1554" customFormat="1" s="34"/>
    <row r="1555" customFormat="1" s="34"/>
    <row r="1556" customFormat="1" s="34"/>
    <row r="1557" customFormat="1" s="34"/>
    <row r="1558" customFormat="1" s="34"/>
    <row r="1559" customFormat="1" s="34"/>
    <row r="1560" customFormat="1" s="34"/>
    <row r="1561" customFormat="1" s="34"/>
    <row r="1562" customFormat="1" s="34"/>
    <row r="1563" customFormat="1" s="34"/>
    <row r="1564" customFormat="1" s="34"/>
    <row r="1565" customFormat="1" s="34"/>
    <row r="1566" customFormat="1" s="34"/>
    <row r="1567" customFormat="1" s="34"/>
    <row r="1568" customFormat="1" s="34"/>
    <row r="1569" customFormat="1" s="34"/>
    <row r="1570" customFormat="1" s="34"/>
    <row r="1571" customFormat="1" s="34"/>
    <row r="1572" customFormat="1" s="34"/>
    <row r="1573" customFormat="1" s="34"/>
    <row r="1574" customFormat="1" s="34"/>
    <row r="1575" customFormat="1" s="34"/>
    <row r="1576" customFormat="1" s="34"/>
    <row r="1577" customFormat="1" s="34"/>
    <row r="1578" customFormat="1" s="34"/>
    <row r="1579" customFormat="1" s="34"/>
    <row r="1580" customFormat="1" s="34"/>
    <row r="1581" customFormat="1" s="34"/>
    <row r="1582" customFormat="1" s="34"/>
    <row r="1583" customFormat="1" s="34"/>
    <row r="1584" customFormat="1" s="34"/>
    <row r="1585" customFormat="1" s="34"/>
    <row r="1586" customFormat="1" s="34"/>
    <row r="1587" customFormat="1" s="34"/>
    <row r="1588" customFormat="1" s="34"/>
    <row r="1589" customFormat="1" s="34"/>
    <row r="1590" customFormat="1" s="34"/>
    <row r="1591" customFormat="1" s="34"/>
    <row r="1592" customFormat="1" s="34"/>
    <row r="1593" customFormat="1" s="34"/>
    <row r="1594" customFormat="1" s="34"/>
    <row r="1595" customFormat="1" s="34"/>
    <row r="1596" customFormat="1" s="34"/>
    <row r="1597" customFormat="1" s="34"/>
    <row r="1598" customFormat="1" s="34"/>
    <row r="1599" customFormat="1" s="34"/>
    <row r="1600" customFormat="1" s="34"/>
    <row r="1601" customFormat="1" s="34"/>
    <row r="1602" customFormat="1" s="34"/>
    <row r="1603" customFormat="1" s="34"/>
    <row r="1604" customFormat="1" s="34"/>
    <row r="1605" customFormat="1" s="34"/>
    <row r="1606" customFormat="1" s="34"/>
    <row r="1607" customFormat="1" s="34"/>
    <row r="1608" customFormat="1" s="34"/>
    <row r="1609" customFormat="1" s="34"/>
    <row r="1610" customFormat="1" s="34"/>
    <row r="1611" customFormat="1" s="34"/>
    <row r="1612" customFormat="1" s="34"/>
    <row r="1613" customFormat="1" s="34"/>
    <row r="1614" customFormat="1" s="34"/>
    <row r="1615" customFormat="1" s="34"/>
    <row r="1616" customFormat="1" s="34"/>
    <row r="1617" customFormat="1" s="34"/>
    <row r="1618" customFormat="1" s="34"/>
    <row r="1619" customFormat="1" s="34"/>
    <row r="1620" customFormat="1" s="34"/>
    <row r="1621" customFormat="1" s="34"/>
    <row r="1622" customFormat="1" s="34"/>
    <row r="1623" customFormat="1" s="34"/>
    <row r="1624" customFormat="1" s="34"/>
    <row r="1625" customFormat="1" s="34"/>
    <row r="1626" customFormat="1" s="34"/>
    <row r="1627" customFormat="1" s="34"/>
    <row r="1628" customFormat="1" s="34"/>
    <row r="1629" customFormat="1" s="34"/>
    <row r="1630" customFormat="1" s="34"/>
    <row r="1631" customFormat="1" s="34"/>
    <row r="1632" customFormat="1" s="34"/>
    <row r="1633" customFormat="1" s="34"/>
    <row r="1634" customFormat="1" s="34"/>
    <row r="1635" customFormat="1" s="34"/>
    <row r="1636" customFormat="1" s="34"/>
    <row r="1637" customFormat="1" s="34"/>
    <row r="1638" customFormat="1" s="34"/>
    <row r="1639" customFormat="1" s="34"/>
    <row r="1640" customFormat="1" s="34"/>
    <row r="1641" customFormat="1" s="34"/>
    <row r="1642" customFormat="1" s="34"/>
    <row r="1643" customFormat="1" s="34"/>
    <row r="1644" customFormat="1" s="34"/>
    <row r="1645" customFormat="1" s="34"/>
    <row r="1646" customFormat="1" s="34"/>
    <row r="1647" customFormat="1" s="34"/>
    <row r="1648" customFormat="1" s="34"/>
    <row r="1649" customFormat="1" s="34"/>
    <row r="1650" customFormat="1" s="34"/>
    <row r="1651" customFormat="1" s="34"/>
    <row r="1652" customFormat="1" s="34"/>
    <row r="1653" customFormat="1" s="34"/>
    <row r="1654" customFormat="1" s="34"/>
    <row r="1655" customFormat="1" s="34"/>
    <row r="1656" customFormat="1" s="34"/>
    <row r="1657" customFormat="1" s="34"/>
    <row r="1658" customFormat="1" s="34"/>
    <row r="1659" customFormat="1" s="34"/>
    <row r="1660" customFormat="1" s="34"/>
    <row r="1661" customFormat="1" s="34"/>
    <row r="1662" customFormat="1" s="34"/>
    <row r="1663" customFormat="1" s="34"/>
    <row r="1664" customFormat="1" s="34"/>
    <row r="1665" customFormat="1" s="34"/>
    <row r="1666" customFormat="1" s="34"/>
    <row r="1667" customFormat="1" s="34"/>
    <row r="1668" customFormat="1" s="34"/>
    <row r="1669" customFormat="1" s="34"/>
    <row r="1670" customFormat="1" s="34"/>
    <row r="1671" customFormat="1" s="34"/>
    <row r="1672" customFormat="1" s="34"/>
    <row r="1673" customFormat="1" s="34"/>
    <row r="1674" customFormat="1" s="34"/>
    <row r="1675" customFormat="1" s="34"/>
    <row r="1676" customFormat="1" s="34"/>
    <row r="1677" customFormat="1" s="34"/>
    <row r="1678" customFormat="1" s="34"/>
    <row r="1679" customFormat="1" s="34"/>
    <row r="1680" customFormat="1" s="34"/>
    <row r="1681" customFormat="1" s="34"/>
    <row r="1682" customFormat="1" s="34"/>
    <row r="1683" customFormat="1" s="34"/>
    <row r="1684" customFormat="1" s="34"/>
    <row r="1685" customFormat="1" s="34"/>
    <row r="1686" customFormat="1" s="34"/>
    <row r="1687" customFormat="1" s="34"/>
    <row r="1688" customFormat="1" s="34"/>
    <row r="1689" customFormat="1" s="34"/>
    <row r="1690" customFormat="1" s="34"/>
    <row r="1691" customFormat="1" s="34"/>
    <row r="1692" customFormat="1" s="34"/>
    <row r="1693" customFormat="1" s="34"/>
    <row r="1694" customFormat="1" s="34"/>
    <row r="1695" customFormat="1" s="34"/>
    <row r="1696" customFormat="1" s="34"/>
    <row r="1697" customFormat="1" s="34"/>
    <row r="1698" customFormat="1" s="34"/>
    <row r="1699" customFormat="1" s="34"/>
    <row r="1700" customFormat="1" s="34"/>
    <row r="1701" customFormat="1" s="34"/>
    <row r="1702" customFormat="1" s="34"/>
    <row r="1703" customFormat="1" s="34"/>
    <row r="1704" customFormat="1" s="34"/>
    <row r="1705" customFormat="1" s="34"/>
    <row r="1706" customFormat="1" s="34"/>
    <row r="1707" customFormat="1" s="34"/>
    <row r="1708" customFormat="1" s="34"/>
    <row r="1709" customFormat="1" s="34"/>
    <row r="1710" customFormat="1" s="34"/>
    <row r="1711" customFormat="1" s="34"/>
    <row r="1712" customFormat="1" s="34"/>
    <row r="1713" customFormat="1" s="34"/>
    <row r="1714" customFormat="1" s="34"/>
    <row r="1715" customFormat="1" s="34"/>
    <row r="1716" customFormat="1" s="34"/>
    <row r="1717" customFormat="1" s="34"/>
    <row r="1718" customFormat="1" s="34"/>
    <row r="1719" customFormat="1" s="34"/>
    <row r="1720" customFormat="1" s="34"/>
    <row r="1721" customFormat="1" s="34"/>
    <row r="1722" customFormat="1" s="34"/>
    <row r="1723" customFormat="1" s="34"/>
    <row r="1724" customFormat="1" s="34"/>
    <row r="1725" customFormat="1" s="34"/>
    <row r="1726" customFormat="1" s="34"/>
    <row r="1727" customFormat="1" s="34"/>
    <row r="1728" customFormat="1" s="34"/>
    <row r="1729" customFormat="1" s="34"/>
    <row r="1730" customFormat="1" s="34"/>
    <row r="1731" customFormat="1" s="34"/>
    <row r="1732" customFormat="1" s="34"/>
    <row r="1733" customFormat="1" s="34"/>
    <row r="1734" customFormat="1" s="34"/>
    <row r="1735" customFormat="1" s="34"/>
    <row r="1736" customFormat="1" s="34"/>
    <row r="1737" customFormat="1" s="34"/>
    <row r="1738" customFormat="1" s="34"/>
    <row r="1739" customFormat="1" s="34"/>
    <row r="1740" customFormat="1" s="34"/>
    <row r="1741" customFormat="1" s="34"/>
    <row r="1742" customFormat="1" s="34"/>
    <row r="1743" customFormat="1" s="34"/>
    <row r="1744" customFormat="1" s="34"/>
    <row r="1745" customFormat="1" s="34"/>
    <row r="1746" customFormat="1" s="34"/>
    <row r="1747" customFormat="1" s="34"/>
    <row r="1748" customFormat="1" s="34"/>
    <row r="1749" customFormat="1" s="34"/>
    <row r="1750" customFormat="1" s="34"/>
    <row r="1751" customFormat="1" s="34"/>
    <row r="1752" customFormat="1" s="34"/>
    <row r="1753" customFormat="1" s="34"/>
    <row r="1754" customFormat="1" s="34"/>
    <row r="1755" customFormat="1" s="34"/>
    <row r="1756" customFormat="1" s="34"/>
    <row r="1757" customFormat="1" s="34"/>
    <row r="1758" customFormat="1" s="34"/>
    <row r="1759" customFormat="1" s="34"/>
    <row r="1760" customFormat="1" s="34"/>
    <row r="1761" customFormat="1" s="34"/>
    <row r="1762" customFormat="1" s="34"/>
    <row r="1763" customFormat="1" s="34"/>
    <row r="1764" customFormat="1" s="34"/>
    <row r="1765" customFormat="1" s="34"/>
    <row r="1766" customFormat="1" s="34"/>
    <row r="1767" customFormat="1" s="34"/>
    <row r="1768" customFormat="1" s="34"/>
    <row r="1769" customFormat="1" s="34"/>
    <row r="1770" customFormat="1" s="34"/>
    <row r="1771" customFormat="1" s="34"/>
    <row r="1772" customFormat="1" s="34"/>
    <row r="1773" customFormat="1" s="34"/>
    <row r="1774" customFormat="1" s="34"/>
    <row r="1775" customFormat="1" s="34"/>
    <row r="1776" customFormat="1" s="34"/>
    <row r="1777" customFormat="1" s="34"/>
    <row r="1778" customFormat="1" s="34"/>
    <row r="1779" customFormat="1" s="34"/>
    <row r="1780" customFormat="1" s="34"/>
    <row r="1781" customFormat="1" s="34"/>
    <row r="1782" customFormat="1" s="34"/>
    <row r="1783" customFormat="1" s="34"/>
    <row r="1784" customFormat="1" s="34"/>
    <row r="1785" customFormat="1" s="34"/>
    <row r="1786" customFormat="1" s="34"/>
    <row r="1787" customFormat="1" s="34"/>
    <row r="1788" customFormat="1" s="34"/>
    <row r="1789" customFormat="1" s="34"/>
    <row r="1790" customFormat="1" s="34"/>
    <row r="1791" customFormat="1" s="34"/>
    <row r="1792" customFormat="1" s="34"/>
    <row r="1793" customFormat="1" s="34"/>
    <row r="1794" customFormat="1" s="34"/>
    <row r="1795" customFormat="1" s="34"/>
    <row r="1796" customFormat="1" s="34"/>
    <row r="1797" customFormat="1" s="34"/>
    <row r="1798" customFormat="1" s="34"/>
    <row r="1799" customFormat="1" s="34"/>
    <row r="1800" customFormat="1" s="34"/>
    <row r="1801" customFormat="1" s="34"/>
    <row r="1802" customFormat="1" s="34"/>
    <row r="1803" customFormat="1" s="34"/>
    <row r="1804" customFormat="1" s="34"/>
    <row r="1805" customFormat="1" s="34"/>
    <row r="1806" customFormat="1" s="34"/>
    <row r="1807" customFormat="1" s="34"/>
    <row r="1808" customFormat="1" s="34"/>
    <row r="1809" customFormat="1" s="34"/>
    <row r="1810" customFormat="1" s="34"/>
    <row r="1811" customFormat="1" s="34"/>
    <row r="1812" customFormat="1" s="34"/>
    <row r="1813" customFormat="1" s="34"/>
    <row r="1814" customFormat="1" s="34"/>
    <row r="1815" customFormat="1" s="34"/>
    <row r="1816" customFormat="1" s="34"/>
    <row r="1817" customFormat="1" s="34"/>
    <row r="1818" customFormat="1" s="34"/>
    <row r="1819" customFormat="1" s="34"/>
    <row r="1820" customFormat="1" s="34"/>
    <row r="1821" customFormat="1" s="34"/>
    <row r="1822" customFormat="1" s="34"/>
    <row r="1823" customFormat="1" s="34"/>
    <row r="1824" customFormat="1" s="34"/>
    <row r="1825" customFormat="1" s="34"/>
    <row r="1826" customFormat="1" s="34"/>
    <row r="1827" customFormat="1" s="34"/>
    <row r="1828" customFormat="1" s="34"/>
    <row r="1829" customFormat="1" s="34"/>
    <row r="1830" customFormat="1" s="34"/>
    <row r="1831" customFormat="1" s="34"/>
    <row r="1832" customFormat="1" s="34"/>
    <row r="1833" customFormat="1" s="34"/>
    <row r="1834" customFormat="1" s="34"/>
    <row r="1835" customFormat="1" s="34"/>
    <row r="1836" customFormat="1" s="34"/>
    <row r="1837" customFormat="1" s="34"/>
    <row r="1838" customFormat="1" s="34"/>
    <row r="1839" customFormat="1" s="34"/>
    <row r="1840" customFormat="1" s="34"/>
    <row r="1841" customFormat="1" s="34"/>
    <row r="1842" customFormat="1" s="34"/>
    <row r="1843" customFormat="1" s="34"/>
    <row r="1844" customFormat="1" s="34"/>
    <row r="1845" customFormat="1" s="34"/>
    <row r="1846" customFormat="1" s="34"/>
    <row r="1847" customFormat="1" s="34"/>
    <row r="1848" customFormat="1" s="34"/>
    <row r="1849" customFormat="1" s="34"/>
    <row r="1850" customFormat="1" s="34"/>
    <row r="1851" customFormat="1" s="34"/>
    <row r="1852" customFormat="1" s="34"/>
    <row r="1853" customFormat="1" s="34"/>
    <row r="1854" customFormat="1" s="34"/>
    <row r="1855" customFormat="1" s="34"/>
    <row r="1856" customFormat="1" s="34"/>
    <row r="1857" customFormat="1" s="34"/>
    <row r="1858" customFormat="1" s="34"/>
    <row r="1859" customFormat="1" s="34"/>
    <row r="1860" customFormat="1" s="34"/>
    <row r="1861" customFormat="1" s="34"/>
    <row r="1862" customFormat="1" s="34"/>
    <row r="1863" customFormat="1" s="34"/>
    <row r="1864" customFormat="1" s="34"/>
    <row r="1865" customFormat="1" s="34"/>
    <row r="1866" customFormat="1" s="34"/>
    <row r="1867" customFormat="1" s="34"/>
    <row r="1868" customFormat="1" s="34"/>
    <row r="1869" customFormat="1" s="34"/>
    <row r="1870" customFormat="1" s="34"/>
    <row r="1871" customFormat="1" s="34"/>
    <row r="1872" customFormat="1" s="34"/>
    <row r="1873" customFormat="1" s="34"/>
    <row r="1874" customFormat="1" s="34"/>
    <row r="1875" customFormat="1" s="34"/>
    <row r="1876" customFormat="1" s="34"/>
    <row r="1877" customFormat="1" s="34"/>
    <row r="1878" customFormat="1" s="34"/>
    <row r="1879" customFormat="1" s="34"/>
    <row r="1880" customFormat="1" s="34"/>
    <row r="1881" customFormat="1" s="34"/>
    <row r="1882" customFormat="1" s="34"/>
    <row r="1883" customFormat="1" s="34"/>
    <row r="1884" customFormat="1" s="34"/>
    <row r="1885" customFormat="1" s="34"/>
    <row r="1886" customFormat="1" s="34"/>
    <row r="1887" customFormat="1" s="34"/>
    <row r="1888" customFormat="1" s="34"/>
    <row r="1889" customFormat="1" s="34"/>
    <row r="1890" customFormat="1" s="34"/>
    <row r="1891" customFormat="1" s="34"/>
    <row r="1892" customFormat="1" s="34"/>
    <row r="1893" customFormat="1" s="34"/>
    <row r="1894" customFormat="1" s="34"/>
    <row r="1895" customFormat="1" s="34"/>
    <row r="1896" customFormat="1" s="34"/>
    <row r="1897" customFormat="1" s="34"/>
    <row r="1898" customFormat="1" s="34"/>
    <row r="1899" customFormat="1" s="34"/>
    <row r="1900" customFormat="1" s="34"/>
    <row r="1901" customFormat="1" s="34"/>
    <row r="1902" customFormat="1" s="34"/>
    <row r="1903" customFormat="1" s="34"/>
    <row r="1904" customFormat="1" s="34"/>
    <row r="1905" customFormat="1" s="34"/>
    <row r="1906" customFormat="1" s="34"/>
    <row r="1907" customFormat="1" s="34"/>
    <row r="1908" customFormat="1" s="34"/>
    <row r="1909" customFormat="1" s="34"/>
    <row r="1910" customFormat="1" s="34"/>
    <row r="1911" customFormat="1" s="34"/>
    <row r="1912" customFormat="1" s="34"/>
    <row r="1913" customFormat="1" s="34"/>
    <row r="1914" customFormat="1" s="34"/>
    <row r="1915" customFormat="1" s="34"/>
    <row r="1916" customFormat="1" s="34"/>
    <row r="1917" customFormat="1" s="34"/>
    <row r="1918" customFormat="1" s="34"/>
    <row r="1919" customFormat="1" s="34"/>
    <row r="1920" customFormat="1" s="34"/>
    <row r="1921" customFormat="1" s="34"/>
    <row r="1922" customFormat="1" s="34"/>
    <row r="1923" customFormat="1" s="34"/>
    <row r="1924" customFormat="1" s="34"/>
    <row r="1925" customFormat="1" s="34"/>
    <row r="1926" customFormat="1" s="34"/>
    <row r="1927" customFormat="1" s="34"/>
    <row r="1928" customFormat="1" s="34"/>
    <row r="1929" customFormat="1" s="34"/>
    <row r="1930" customFormat="1" s="34"/>
    <row r="1931" customFormat="1" s="34"/>
    <row r="1932" customFormat="1" s="34"/>
    <row r="1933" customFormat="1" s="34"/>
    <row r="1934" customFormat="1" s="34"/>
    <row r="1935" customFormat="1" s="34"/>
    <row r="1936" customFormat="1" s="34"/>
    <row r="1937" customFormat="1" s="34"/>
    <row r="1938" customFormat="1" s="34"/>
    <row r="1939" customFormat="1" s="34"/>
    <row r="1940" customFormat="1" s="34"/>
    <row r="1941" customFormat="1" s="34"/>
    <row r="1942" customFormat="1" s="34"/>
    <row r="1943" customFormat="1" s="34"/>
    <row r="1944" customFormat="1" s="34"/>
    <row r="1945" customFormat="1" s="34"/>
    <row r="1946" customFormat="1" s="34"/>
    <row r="1947" customFormat="1" s="34"/>
    <row r="1948" customFormat="1" s="34"/>
    <row r="1949" customFormat="1" s="34"/>
    <row r="1950" customFormat="1" s="34"/>
    <row r="1951" customFormat="1" s="34"/>
    <row r="1952" customFormat="1" s="34"/>
    <row r="1953" customFormat="1" s="34"/>
    <row r="1954" customFormat="1" s="34"/>
    <row r="1955" customFormat="1" s="34"/>
    <row r="1956" customFormat="1" s="34"/>
    <row r="1957" customFormat="1" s="34"/>
    <row r="1958" customFormat="1" s="34"/>
    <row r="1959" customFormat="1" s="34"/>
    <row r="1960" customFormat="1" s="34"/>
    <row r="1961" customFormat="1" s="34"/>
    <row r="1962" customFormat="1" s="34"/>
    <row r="1963" customFormat="1" s="34"/>
    <row r="1964" customFormat="1" s="34"/>
    <row r="1965" customFormat="1" s="34"/>
    <row r="1966" customFormat="1" s="34"/>
    <row r="1967" customFormat="1" s="34"/>
    <row r="1968" customFormat="1" s="34"/>
    <row r="1969" customFormat="1" s="34"/>
    <row r="1970" customFormat="1" s="34"/>
    <row r="1971" customFormat="1" s="34"/>
    <row r="1972" customFormat="1" s="34"/>
    <row r="1973" customFormat="1" s="34"/>
    <row r="1974" customFormat="1" s="34"/>
    <row r="1975" customFormat="1" s="34"/>
    <row r="1976" customFormat="1" s="34"/>
    <row r="1977" customFormat="1" s="34"/>
    <row r="1978" customFormat="1" s="34"/>
    <row r="1979" customFormat="1" s="34"/>
    <row r="1980" customFormat="1" s="34"/>
    <row r="1981" customFormat="1" s="34"/>
    <row r="1982" customFormat="1" s="34"/>
    <row r="1983" customFormat="1" s="34"/>
    <row r="1984" customFormat="1" s="34"/>
    <row r="1985" customFormat="1" s="34"/>
    <row r="1986" customFormat="1" s="34"/>
    <row r="1987" customFormat="1" s="34"/>
    <row r="1988" customFormat="1" s="34"/>
    <row r="1989" customFormat="1" s="34"/>
    <row r="1990" customFormat="1" s="34"/>
    <row r="1991" customFormat="1" s="34"/>
    <row r="1992" customFormat="1" s="34"/>
    <row r="1993" customFormat="1" s="34"/>
    <row r="1994" customFormat="1" s="34"/>
    <row r="1995" customFormat="1" s="34"/>
    <row r="1996" customFormat="1" s="34"/>
    <row r="1997" customFormat="1" s="34"/>
    <row r="1998" customFormat="1" s="34"/>
    <row r="1999" customFormat="1" s="34"/>
    <row r="2000" customFormat="1" s="34"/>
    <row r="262114">
      <c r="B262114" s="66"/>
      <c r="G262114" s="66"/>
    </row>
    <row r="262115">
      <c r="B262115" s="66"/>
      <c r="G262115" s="66"/>
    </row>
  </sheetData>
  <autoFilter ref="A1:V118">
    <filterColumn colId="13">
      <filters>
        <filter val="New Prospect"/>
        <filter val="Partners"/>
      </filters>
    </filterColumn>
  </autoFilter>
  <hyperlinks>
    <hyperlink ref="D2" r:id="rId1"/>
    <hyperlink ref="F2" r:id="rId2"/>
    <hyperlink ref="G2" r:id="rId3"/>
    <hyperlink ref="W2" r:id="rId4"/>
    <hyperlink ref="D3" r:id="rId5"/>
    <hyperlink ref="F3" r:id="rId6"/>
    <hyperlink ref="U3" r:id="rId7"/>
    <hyperlink ref="D4" r:id="rId8"/>
    <hyperlink ref="F4" r:id="rId9"/>
    <hyperlink ref="U4" r:id="rId10"/>
    <hyperlink ref="D5" r:id="rId11"/>
    <hyperlink ref="F5" r:id="rId12"/>
    <hyperlink ref="D6" r:id="rId13"/>
    <hyperlink ref="F6" r:id="rId14"/>
    <hyperlink ref="U6" r:id="rId15"/>
    <hyperlink ref="D7" r:id="rId16"/>
    <hyperlink ref="F7" r:id="rId17"/>
    <hyperlink ref="U7" r:id="rId18"/>
    <hyperlink ref="D8" r:id="rId19"/>
    <hyperlink ref="F8" r:id="rId20"/>
    <hyperlink ref="U8" r:id="rId21"/>
    <hyperlink ref="D9" r:id="rId22"/>
    <hyperlink ref="F9" r:id="rId23"/>
    <hyperlink ref="U9" r:id="rId24"/>
    <hyperlink ref="D10" r:id="rId25"/>
    <hyperlink ref="F10" r:id="rId26"/>
    <hyperlink ref="D11" r:id="rId27"/>
    <hyperlink ref="F11" r:id="rId28"/>
    <hyperlink ref="D12" r:id="rId29"/>
    <hyperlink ref="F12" r:id="rId30"/>
    <hyperlink ref="L12" r:id="rId31"/>
    <hyperlink ref="D13" r:id="rId32"/>
    <hyperlink ref="F13" r:id="rId33"/>
    <hyperlink ref="D14" r:id="rId34"/>
    <hyperlink ref="F14" r:id="rId35"/>
    <hyperlink ref="U14" r:id="rId36"/>
    <hyperlink ref="D15" r:id="rId37"/>
    <hyperlink ref="F15" r:id="rId38"/>
    <hyperlink ref="V15" r:id="rId39"/>
    <hyperlink ref="W15" r:id="rId40"/>
    <hyperlink ref="D16" r:id="rId41"/>
    <hyperlink ref="F16" r:id="rId42"/>
    <hyperlink ref="D17" r:id="rId43"/>
    <hyperlink ref="F17" r:id="rId44"/>
    <hyperlink ref="U17" r:id="rId45"/>
    <hyperlink ref="D18" r:id="rId46"/>
    <hyperlink ref="F18" r:id="rId47"/>
    <hyperlink ref="U18" r:id="rId48"/>
    <hyperlink ref="D19" r:id="rId49"/>
    <hyperlink ref="F19" r:id="rId50"/>
    <hyperlink ref="U19" r:id="rId51"/>
    <hyperlink ref="D20" r:id="rId52"/>
    <hyperlink ref="F20" r:id="rId53"/>
    <hyperlink ref="D21" r:id="rId54"/>
    <hyperlink ref="F21" r:id="rId55"/>
    <hyperlink ref="D22" r:id="rId56"/>
    <hyperlink ref="F22" r:id="rId57"/>
    <hyperlink ref="L22" r:id="rId58"/>
    <hyperlink ref="U22" r:id="rId59"/>
    <hyperlink ref="D23" r:id="rId60"/>
    <hyperlink ref="F23" r:id="rId61"/>
    <hyperlink ref="U23" r:id="rId62"/>
    <hyperlink ref="D24" r:id="rId63"/>
    <hyperlink ref="F24" r:id="rId64"/>
    <hyperlink ref="U24" r:id="rId65"/>
    <hyperlink ref="D25" r:id="rId66"/>
    <hyperlink ref="F25" r:id="rId67"/>
    <hyperlink ref="D26" r:id="rId68"/>
    <hyperlink ref="F26" r:id="rId69"/>
    <hyperlink ref="U26" r:id="rId70"/>
    <hyperlink ref="D27" r:id="rId71"/>
    <hyperlink ref="F27" r:id="rId72"/>
    <hyperlink ref="U27" r:id="rId73"/>
    <hyperlink ref="D28" r:id="rId74"/>
    <hyperlink ref="F28" r:id="rId75"/>
    <hyperlink ref="U28" r:id="rId76"/>
    <hyperlink ref="D29" r:id="rId77"/>
    <hyperlink ref="F29" r:id="rId78"/>
    <hyperlink ref="U29" r:id="rId79"/>
    <hyperlink ref="D30" r:id="rId80"/>
    <hyperlink ref="F30" r:id="rId81"/>
    <hyperlink ref="D31" r:id="rId82"/>
    <hyperlink ref="F31" r:id="rId83"/>
    <hyperlink ref="U31" r:id="rId84"/>
    <hyperlink ref="W31" r:id="rId85"/>
    <hyperlink ref="D32" r:id="rId86"/>
    <hyperlink ref="F32" r:id="rId87"/>
    <hyperlink ref="L32" r:id="rId88"/>
    <hyperlink ref="U32" r:id="rId89"/>
    <hyperlink ref="D33" r:id="rId90"/>
    <hyperlink ref="F33" r:id="rId91"/>
    <hyperlink ref="U33" r:id="rId92"/>
    <hyperlink ref="D34" r:id="rId93"/>
    <hyperlink ref="F34" r:id="rId94"/>
    <hyperlink ref="U34" r:id="rId95"/>
    <hyperlink ref="D35" r:id="rId96"/>
    <hyperlink ref="F35" r:id="rId97"/>
    <hyperlink ref="U35" r:id="rId98"/>
    <hyperlink ref="D36" r:id="rId99"/>
    <hyperlink ref="F36" r:id="rId100"/>
    <hyperlink ref="L36" r:id="rId101"/>
    <hyperlink ref="U36" r:id="rId102"/>
    <hyperlink ref="D37" r:id="rId103"/>
    <hyperlink ref="F37" r:id="rId104"/>
    <hyperlink ref="U37" r:id="rId105"/>
    <hyperlink ref="D38" r:id="rId106"/>
    <hyperlink ref="F38" r:id="rId107"/>
    <hyperlink ref="D39" r:id="rId108"/>
    <hyperlink ref="F39" r:id="rId109"/>
    <hyperlink ref="U39" r:id="rId110"/>
    <hyperlink ref="D40" r:id="rId111"/>
    <hyperlink ref="F40" r:id="rId112"/>
    <hyperlink ref="D41" r:id="rId113"/>
    <hyperlink ref="F41" r:id="rId114"/>
    <hyperlink ref="U41" r:id="rId115"/>
    <hyperlink ref="D42" r:id="rId116"/>
    <hyperlink ref="F42" r:id="rId117"/>
    <hyperlink ref="U42" r:id="rId118"/>
    <hyperlink ref="W42" r:id="rId119"/>
    <hyperlink ref="D43" r:id="rId120"/>
    <hyperlink ref="F43" r:id="rId121"/>
    <hyperlink ref="D44" r:id="rId122"/>
    <hyperlink ref="F44" r:id="rId123"/>
    <hyperlink ref="D45" r:id="rId124"/>
    <hyperlink ref="F45" r:id="rId125"/>
    <hyperlink ref="U45" r:id="rId126"/>
    <hyperlink ref="D46" r:id="rId127"/>
    <hyperlink ref="U46" r:id="rId128"/>
    <hyperlink ref="D47" r:id="rId129"/>
    <hyperlink ref="F47" r:id="rId130"/>
    <hyperlink ref="U47" r:id="rId131"/>
    <hyperlink ref="D48" r:id="rId132"/>
    <hyperlink ref="F48" r:id="rId133"/>
    <hyperlink ref="U48" r:id="rId134"/>
    <hyperlink ref="D49" r:id="rId135"/>
    <hyperlink ref="F49" r:id="rId136"/>
    <hyperlink ref="U49" r:id="rId137"/>
    <hyperlink ref="D50" r:id="rId138"/>
    <hyperlink ref="F50" r:id="rId139"/>
    <hyperlink ref="U50" r:id="rId140"/>
    <hyperlink ref="D51" r:id="rId141"/>
    <hyperlink ref="F51" r:id="rId142"/>
    <hyperlink ref="L51" r:id="rId143"/>
    <hyperlink ref="U51" r:id="rId144"/>
    <hyperlink ref="D52" r:id="rId145"/>
    <hyperlink ref="F52" r:id="rId146"/>
    <hyperlink ref="U52" r:id="rId147"/>
    <hyperlink ref="D53" r:id="rId148"/>
    <hyperlink ref="F53" r:id="rId149"/>
    <hyperlink ref="D54" r:id="rId150"/>
    <hyperlink ref="F54" r:id="rId151"/>
    <hyperlink ref="L54" r:id="rId152"/>
    <hyperlink ref="U54" r:id="rId153"/>
    <hyperlink ref="D55" r:id="rId154"/>
    <hyperlink ref="F55" r:id="rId155"/>
    <hyperlink ref="D56" r:id="rId156"/>
    <hyperlink ref="F56" r:id="rId157"/>
    <hyperlink ref="D57" r:id="rId158"/>
    <hyperlink ref="F57" r:id="rId159"/>
    <hyperlink ref="U57" r:id="rId160"/>
    <hyperlink ref="D58" r:id="rId161"/>
    <hyperlink ref="F58" r:id="rId162"/>
    <hyperlink ref="D59" r:id="rId163"/>
    <hyperlink ref="F59" r:id="rId164"/>
    <hyperlink ref="W59" r:id="rId165"/>
    <hyperlink ref="D60" r:id="rId166"/>
    <hyperlink ref="F60" r:id="rId167"/>
    <hyperlink ref="D61" r:id="rId168"/>
    <hyperlink ref="F61" r:id="rId169"/>
    <hyperlink ref="D62" r:id="rId170"/>
    <hyperlink ref="F62" r:id="rId171"/>
    <hyperlink ref="L62" r:id="rId172"/>
    <hyperlink ref="U62" r:id="rId173"/>
    <hyperlink ref="D63" r:id="rId174"/>
    <hyperlink ref="F63" r:id="rId175"/>
    <hyperlink ref="U63" r:id="rId176"/>
    <hyperlink ref="D64" r:id="rId177"/>
    <hyperlink ref="F64" r:id="rId178"/>
    <hyperlink ref="L64" r:id="rId179"/>
    <hyperlink ref="U64" r:id="rId180"/>
    <hyperlink ref="D65" r:id="rId181"/>
    <hyperlink ref="F65" r:id="rId182"/>
    <hyperlink ref="U65" r:id="rId183"/>
    <hyperlink ref="W65" r:id="rId184"/>
    <hyperlink ref="D66" r:id="rId185"/>
    <hyperlink ref="F66" r:id="rId186"/>
    <hyperlink ref="L66" r:id="rId187"/>
    <hyperlink ref="U66" r:id="rId188"/>
    <hyperlink ref="D67" r:id="rId189"/>
    <hyperlink ref="F67" r:id="rId190"/>
    <hyperlink ref="U67" r:id="rId191"/>
    <hyperlink ref="D68" r:id="rId192"/>
    <hyperlink ref="F68" r:id="rId193"/>
    <hyperlink ref="U68" r:id="rId194"/>
    <hyperlink ref="D69" r:id="rId195"/>
    <hyperlink ref="F69" r:id="rId196"/>
    <hyperlink ref="L69" r:id="rId197"/>
    <hyperlink ref="D70" r:id="rId198"/>
    <hyperlink ref="F70" r:id="rId199"/>
    <hyperlink ref="U70" r:id="rId200"/>
    <hyperlink ref="D71" r:id="rId201"/>
    <hyperlink ref="F71" r:id="rId202"/>
    <hyperlink ref="D72" r:id="rId203"/>
    <hyperlink ref="F72" r:id="rId204"/>
    <hyperlink ref="L72" r:id="rId205"/>
    <hyperlink ref="U72" r:id="rId206"/>
    <hyperlink ref="D73" r:id="rId207"/>
    <hyperlink ref="F73" r:id="rId208"/>
    <hyperlink ref="U73" r:id="rId209"/>
    <hyperlink ref="D74" r:id="rId210"/>
    <hyperlink ref="F74" r:id="rId211"/>
    <hyperlink ref="U74" r:id="rId212"/>
    <hyperlink ref="D75" r:id="rId213"/>
    <hyperlink ref="F75" r:id="rId214"/>
    <hyperlink ref="D76" r:id="rId215"/>
    <hyperlink ref="F76" r:id="rId216"/>
    <hyperlink ref="L76" r:id="rId217"/>
    <hyperlink ref="T76" r:id="rId218"/>
    <hyperlink ref="U76" r:id="rId219"/>
    <hyperlink ref="D77" r:id="rId220"/>
    <hyperlink ref="F77" r:id="rId221"/>
    <hyperlink ref="L77" r:id="rId222"/>
    <hyperlink ref="U77" r:id="rId223"/>
    <hyperlink ref="D78" r:id="rId224"/>
    <hyperlink ref="F78" r:id="rId225"/>
    <hyperlink ref="D79" r:id="rId226"/>
    <hyperlink ref="F79" r:id="rId227"/>
    <hyperlink ref="D80" r:id="rId228"/>
    <hyperlink ref="F80" r:id="rId229"/>
    <hyperlink ref="D81" r:id="rId230"/>
    <hyperlink ref="F81" r:id="rId231"/>
    <hyperlink ref="L81" r:id="rId232"/>
    <hyperlink ref="U81" r:id="rId233"/>
    <hyperlink ref="D82" r:id="rId234"/>
    <hyperlink ref="F82" r:id="rId235"/>
    <hyperlink ref="D83" r:id="rId236"/>
    <hyperlink ref="F83" r:id="rId237"/>
    <hyperlink ref="D84" r:id="rId238"/>
    <hyperlink ref="F84" r:id="rId239"/>
    <hyperlink ref="U84" r:id="rId240"/>
    <hyperlink ref="D85" r:id="rId241"/>
    <hyperlink ref="F85" r:id="rId242"/>
    <hyperlink ref="D86" r:id="rId243"/>
    <hyperlink ref="F86" r:id="rId244"/>
    <hyperlink ref="D87" r:id="rId245"/>
    <hyperlink ref="F87" r:id="rId246"/>
    <hyperlink ref="D88" r:id="rId247"/>
    <hyperlink ref="F88" r:id="rId248"/>
    <hyperlink ref="U88" r:id="rId249"/>
    <hyperlink ref="D89" r:id="rId250"/>
    <hyperlink ref="F89" r:id="rId251"/>
    <hyperlink ref="D90" r:id="rId252"/>
    <hyperlink ref="F90" r:id="rId253"/>
    <hyperlink ref="D91" r:id="rId254"/>
    <hyperlink ref="F91" r:id="rId255"/>
    <hyperlink ref="U91" r:id="rId256"/>
    <hyperlink ref="D92" r:id="rId257"/>
    <hyperlink ref="F92" r:id="rId258"/>
    <hyperlink ref="L92" r:id="rId259"/>
    <hyperlink ref="U92" r:id="rId260"/>
    <hyperlink ref="D93" r:id="rId261"/>
    <hyperlink ref="D94" r:id="rId262"/>
    <hyperlink ref="F94" r:id="rId263"/>
    <hyperlink ref="U94" r:id="rId264"/>
    <hyperlink ref="D95" r:id="rId265"/>
    <hyperlink ref="F95" r:id="rId266"/>
    <hyperlink ref="L95" r:id="rId267"/>
    <hyperlink ref="U95" r:id="rId268"/>
    <hyperlink ref="D96" r:id="rId269"/>
    <hyperlink ref="F96" r:id="rId270"/>
    <hyperlink ref="U96" r:id="rId271"/>
    <hyperlink ref="D97" r:id="rId272"/>
    <hyperlink ref="F97" r:id="rId273"/>
    <hyperlink ref="U97" r:id="rId274"/>
    <hyperlink ref="D98" r:id="rId275"/>
    <hyperlink ref="F98" r:id="rId276"/>
    <hyperlink ref="L98" r:id="rId277"/>
    <hyperlink ref="W98" r:id="rId278"/>
    <hyperlink ref="D99" r:id="rId279"/>
    <hyperlink ref="F99" r:id="rId280"/>
    <hyperlink ref="U99" r:id="rId281"/>
    <hyperlink ref="D100" r:id="rId282"/>
    <hyperlink ref="F100" r:id="rId283"/>
    <hyperlink ref="D101" r:id="rId284"/>
    <hyperlink ref="F101" r:id="rId285"/>
    <hyperlink ref="U101" r:id="rId286"/>
    <hyperlink ref="D102" r:id="rId287"/>
    <hyperlink ref="F102" r:id="rId288"/>
    <hyperlink ref="D103" r:id="rId289"/>
    <hyperlink ref="F103" r:id="rId290"/>
    <hyperlink ref="U103" r:id="rId291"/>
    <hyperlink ref="D104" r:id="rId292"/>
    <hyperlink ref="F104" r:id="rId293"/>
    <hyperlink ref="U104" r:id="rId294"/>
    <hyperlink ref="D105" r:id="rId295"/>
    <hyperlink ref="F105" r:id="rId296"/>
    <hyperlink ref="W105" r:id="rId297"/>
    <hyperlink ref="D106" r:id="rId298"/>
    <hyperlink ref="F106" r:id="rId299"/>
    <hyperlink ref="L106" r:id="rId300"/>
    <hyperlink ref="D107" r:id="rId301"/>
    <hyperlink ref="F107" r:id="rId302"/>
    <hyperlink ref="L107" r:id="rId303"/>
    <hyperlink ref="U107" r:id="rId304"/>
    <hyperlink ref="D108" r:id="rId305"/>
    <hyperlink ref="F108" r:id="rId306"/>
    <hyperlink ref="L108" r:id="rId307"/>
    <hyperlink ref="U108" r:id="rId308"/>
    <hyperlink ref="D109" r:id="rId309"/>
    <hyperlink ref="F109" r:id="rId310"/>
    <hyperlink ref="L109" r:id="rId311"/>
    <hyperlink ref="U109" r:id="rId312"/>
    <hyperlink ref="D110" r:id="rId313"/>
    <hyperlink ref="F110" r:id="rId314"/>
    <hyperlink ref="L110" r:id="rId315"/>
    <hyperlink ref="D111" r:id="rId316"/>
    <hyperlink ref="F111" r:id="rId317"/>
    <hyperlink ref="L111" r:id="rId318"/>
    <hyperlink ref="D112" r:id="rId319"/>
    <hyperlink ref="F112" r:id="rId320"/>
    <hyperlink ref="D113" r:id="rId321"/>
    <hyperlink ref="F113" r:id="rId322"/>
    <hyperlink ref="L113" r:id="rId323"/>
    <hyperlink ref="U113" r:id="rId324"/>
    <hyperlink ref="D114" r:id="rId325"/>
    <hyperlink ref="F114" r:id="rId326"/>
    <hyperlink ref="U114" r:id="rId327"/>
    <hyperlink ref="D115" r:id="rId328"/>
    <hyperlink ref="F115" r:id="rId329"/>
    <hyperlink ref="U115" r:id="rId330"/>
    <hyperlink ref="D116" r:id="rId331"/>
    <hyperlink ref="F116" r:id="rId332"/>
    <hyperlink ref="L116" r:id="rId333"/>
    <hyperlink ref="D117" r:id="rId334"/>
    <hyperlink ref="F117" r:id="rId335"/>
    <hyperlink ref="U117" r:id="rId336"/>
    <hyperlink ref="D118" r:id="rId337"/>
    <hyperlink ref="F118" r:id="rId338"/>
  </hyperlinks>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W106"/>
  <sheetViews>
    <sheetView workbookViewId="0"/>
  </sheetViews>
  <sheetFormatPr defaultRowHeight="14.0" customHeight="1"/>
  <cols>
    <col min="1" max="1" style="34" width="10.2"/>
    <col min="2" max="2" style="34" width="9.0"/>
    <col min="3" max="3" style="34" width="12.18"/>
    <col min="4" max="4" style="34" width="38.82"/>
    <col min="5" max="5" style="34" width="16.42"/>
    <col min="6" max="6" style="34" width="13.24"/>
    <col min="7" max="7" style="34" width="62.14"/>
    <col min="8" max="8" style="34" width="53.92"/>
    <col min="9" max="10" style="34" width="13.24"/>
    <col min="11" max="11" style="34" width="16.42"/>
    <col min="12" max="12" style="34" width="13.64"/>
    <col min="13" max="13" style="34" width="27.82"/>
    <col min="14" max="14" style="34" width="21.33"/>
    <col min="15" max="15" style="34" width="16.69"/>
    <col min="16" max="19" style="34" width="13.24"/>
    <col min="20" max="20" style="34" width="49.42"/>
    <col min="21" max="21" style="34" width="51.8"/>
    <col min="22" max="22" style="34" width="36.3"/>
    <col min="23" max="23" style="34" width="47.83"/>
    <col min="24" max="2048" style="34" width="13.24"/>
  </cols>
  <sheetData>
    <row r="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62</v>
      </c>
    </row>
    <row r="2" ht="55.0">
      <c r="A2" s="36">
        <v>46113</v>
      </c>
      <c r="B2" s="34" t="s">
        <v>34</v>
      </c>
      <c r="C2" s="34" t="s">
        <v>88</v>
      </c>
      <c r="D2" s="67" t="s">
        <v>1826</v>
      </c>
      <c r="E2" s="34" t="s">
        <v>1827</v>
      </c>
      <c r="F2" s="38" t="s">
        <v>1828</v>
      </c>
      <c r="G2" s="34" t="s">
        <v>1829</v>
      </c>
      <c r="I2" s="34" t="s">
        <v>1830</v>
      </c>
      <c r="J2" s="34" t="s">
        <v>607</v>
      </c>
      <c r="K2" s="34" t="s">
        <v>95</v>
      </c>
      <c r="L2" s="38" t="s">
        <v>1831</v>
      </c>
      <c r="M2" s="34" t="s">
        <v>117</v>
      </c>
      <c r="N2" s="34" t="s">
        <v>71</v>
      </c>
      <c r="O2" s="34" t="s">
        <v>84</v>
      </c>
      <c r="P2" s="34" t="s">
        <v>10</v>
      </c>
      <c r="Q2" s="34" t="s">
        <v>716</v>
      </c>
      <c r="S2" s="40"/>
      <c r="U2" s="38" t="s">
        <v>1832</v>
      </c>
      <c r="V2" s="34" t="s">
        <v>1833</v>
      </c>
    </row>
    <row hidden="1" r="3" ht="41.0">
      <c r="A3" s="36">
        <v>46113</v>
      </c>
      <c r="B3" s="34" t="s">
        <v>34</v>
      </c>
      <c r="C3" s="34" t="s">
        <v>88</v>
      </c>
      <c r="D3" s="37" t="s">
        <v>1834</v>
      </c>
      <c r="E3" s="34" t="s">
        <v>1827</v>
      </c>
      <c r="F3" s="38" t="s">
        <v>1835</v>
      </c>
      <c r="G3" s="34" t="s">
        <v>1836</v>
      </c>
      <c r="I3" s="34" t="s">
        <v>1837</v>
      </c>
      <c r="K3" s="34" t="s">
        <v>69</v>
      </c>
      <c r="L3" s="34" t="s">
        <v>681</v>
      </c>
      <c r="M3" s="34" t="s">
        <v>117</v>
      </c>
      <c r="N3" s="34" t="s">
        <v>71</v>
      </c>
      <c r="O3" s="34" t="s">
        <v>98</v>
      </c>
      <c r="P3" s="34" t="s">
        <v>395</v>
      </c>
      <c r="Q3" s="34">
        <v>15.0</v>
      </c>
      <c r="S3" s="40"/>
      <c r="T3" s="34" t="s">
        <v>1838</v>
      </c>
      <c r="U3" s="34" t="s">
        <v>456</v>
      </c>
    </row>
    <row hidden="1" r="4" ht="41.0">
      <c r="A4" s="36">
        <v>46113</v>
      </c>
      <c r="B4" s="34" t="s">
        <v>34</v>
      </c>
      <c r="C4" s="34" t="s">
        <v>88</v>
      </c>
      <c r="D4" s="37" t="s">
        <v>1839</v>
      </c>
      <c r="E4" s="34" t="s">
        <v>1746</v>
      </c>
      <c r="F4" s="38" t="s">
        <v>1840</v>
      </c>
      <c r="G4" s="34" t="s">
        <v>1841</v>
      </c>
      <c r="I4" s="34" t="s">
        <v>277</v>
      </c>
      <c r="J4" s="34" t="s">
        <v>1842</v>
      </c>
      <c r="K4" s="34" t="s">
        <v>689</v>
      </c>
      <c r="L4" s="38" t="s">
        <v>1843</v>
      </c>
      <c r="M4" s="34" t="s">
        <v>117</v>
      </c>
      <c r="N4" s="34" t="s">
        <v>71</v>
      </c>
      <c r="O4" s="34" t="s">
        <v>84</v>
      </c>
      <c r="P4" s="34" t="s">
        <v>9</v>
      </c>
      <c r="Q4" s="34">
        <v>3.0</v>
      </c>
      <c r="R4" s="44">
        <v>5040.0</v>
      </c>
      <c r="S4" s="40" t="s">
        <v>134</v>
      </c>
      <c r="T4" s="34" t="s">
        <v>1844</v>
      </c>
      <c r="U4" s="38" t="s">
        <v>1845</v>
      </c>
    </row>
    <row hidden="1" r="5" ht="55.0">
      <c r="A5" s="36">
        <v>46113</v>
      </c>
      <c r="B5" s="34" t="s">
        <v>34</v>
      </c>
      <c r="C5" s="34" t="s">
        <v>108</v>
      </c>
      <c r="D5" s="37" t="s">
        <v>1846</v>
      </c>
      <c r="E5" s="34" t="s">
        <v>1847</v>
      </c>
      <c r="F5" s="38" t="s">
        <v>1848</v>
      </c>
      <c r="G5" s="34" t="s">
        <v>1849</v>
      </c>
      <c r="H5" s="34" t="s">
        <v>163</v>
      </c>
      <c r="I5" s="34" t="s">
        <v>1850</v>
      </c>
      <c r="J5" s="34" t="s">
        <v>1015</v>
      </c>
      <c r="K5" s="34" t="s">
        <v>125</v>
      </c>
      <c r="L5" s="38" t="s">
        <v>1851</v>
      </c>
      <c r="M5" s="34" t="s">
        <v>117</v>
      </c>
      <c r="N5" s="34" t="s">
        <v>71</v>
      </c>
      <c r="O5" s="34" t="s">
        <v>84</v>
      </c>
      <c r="P5" s="34" t="s">
        <v>9</v>
      </c>
      <c r="Q5" s="34">
        <v>15.0</v>
      </c>
      <c r="R5" s="39">
        <v>1054.29</v>
      </c>
      <c r="S5" s="40" t="s">
        <v>127</v>
      </c>
      <c r="U5" s="38" t="s">
        <v>1852</v>
      </c>
      <c r="V5" s="38" t="s">
        <v>1853</v>
      </c>
    </row>
    <row r="6" ht="41.0">
      <c r="A6" s="36">
        <v>46113</v>
      </c>
      <c r="B6" s="34" t="s">
        <v>35</v>
      </c>
      <c r="C6" s="34" t="s">
        <v>76</v>
      </c>
      <c r="D6" s="37" t="s">
        <v>1854</v>
      </c>
      <c r="E6" s="34" t="s">
        <v>78</v>
      </c>
      <c r="F6" s="38" t="s">
        <v>1855</v>
      </c>
      <c r="G6" s="34" t="s">
        <v>1856</v>
      </c>
      <c r="I6" s="34" t="s">
        <v>93</v>
      </c>
      <c r="J6" s="34" t="s">
        <v>1666</v>
      </c>
      <c r="K6" s="34" t="s">
        <v>95</v>
      </c>
      <c r="M6" s="34" t="s">
        <v>97</v>
      </c>
      <c r="N6" s="34" t="s">
        <v>71</v>
      </c>
      <c r="O6" s="34" t="s">
        <v>98</v>
      </c>
      <c r="P6" s="34" t="s">
        <v>10</v>
      </c>
      <c r="Q6" s="34">
        <v>6.0</v>
      </c>
      <c r="S6" s="40" t="s">
        <v>127</v>
      </c>
      <c r="U6" s="38" t="s">
        <v>1857</v>
      </c>
      <c r="V6" s="34" t="s">
        <v>1858</v>
      </c>
    </row>
    <row r="7" ht="58.0">
      <c r="A7" s="36">
        <v>46114</v>
      </c>
      <c r="B7" s="34" t="s">
        <v>34</v>
      </c>
      <c r="C7" s="34" t="s">
        <v>88</v>
      </c>
      <c r="D7" s="37" t="s">
        <v>1859</v>
      </c>
      <c r="E7" s="34" t="s">
        <v>1746</v>
      </c>
      <c r="F7" s="38" t="s">
        <v>1860</v>
      </c>
      <c r="G7" s="42" t="s">
        <v>1861</v>
      </c>
      <c r="I7" s="34" t="s">
        <v>1862</v>
      </c>
      <c r="K7" s="34" t="s">
        <v>95</v>
      </c>
      <c r="L7" s="34" t="s">
        <v>681</v>
      </c>
      <c r="M7" s="34" t="s">
        <v>97</v>
      </c>
      <c r="N7" s="34" t="s">
        <v>71</v>
      </c>
      <c r="O7" s="34" t="s">
        <v>98</v>
      </c>
      <c r="P7" s="34" t="s">
        <v>10</v>
      </c>
      <c r="Q7" s="34">
        <v>7.0</v>
      </c>
      <c r="S7" s="40" t="s">
        <v>134</v>
      </c>
      <c r="U7" s="38" t="s">
        <v>1863</v>
      </c>
      <c r="V7" s="34" t="s">
        <v>1833</v>
      </c>
    </row>
    <row r="8" ht="58.0">
      <c r="A8" s="36">
        <v>46114</v>
      </c>
      <c r="B8" s="34" t="s">
        <v>34</v>
      </c>
      <c r="C8" s="34" t="s">
        <v>88</v>
      </c>
      <c r="D8" s="37" t="s">
        <v>1864</v>
      </c>
      <c r="E8" s="34" t="s">
        <v>110</v>
      </c>
      <c r="F8" s="38" t="s">
        <v>1865</v>
      </c>
      <c r="G8" s="42" t="s">
        <v>1866</v>
      </c>
      <c r="I8" s="34" t="s">
        <v>345</v>
      </c>
      <c r="K8" s="34" t="s">
        <v>125</v>
      </c>
      <c r="L8" s="38" t="s">
        <v>1867</v>
      </c>
      <c r="M8" s="34" t="s">
        <v>117</v>
      </c>
      <c r="N8" s="34" t="s">
        <v>71</v>
      </c>
      <c r="O8" s="34" t="s">
        <v>133</v>
      </c>
      <c r="P8" s="34" t="s">
        <v>10</v>
      </c>
      <c r="Q8" s="34">
        <v>3.0</v>
      </c>
      <c r="S8" s="40"/>
      <c r="T8" s="34" t="s">
        <v>1868</v>
      </c>
      <c r="V8" s="34" t="s">
        <v>1869</v>
      </c>
    </row>
    <row hidden="1" r="9" ht="17.0">
      <c r="A9" s="36">
        <v>46114</v>
      </c>
      <c r="B9" s="34" t="s">
        <v>34</v>
      </c>
      <c r="C9" s="34" t="s">
        <v>88</v>
      </c>
      <c r="D9" s="37" t="s">
        <v>756</v>
      </c>
      <c r="E9" s="34" t="s">
        <v>1870</v>
      </c>
      <c r="F9" s="38" t="s">
        <v>758</v>
      </c>
      <c r="G9" s="42" t="s">
        <v>1871</v>
      </c>
      <c r="I9" s="34" t="s">
        <v>277</v>
      </c>
      <c r="K9" s="34" t="s">
        <v>689</v>
      </c>
      <c r="L9" s="68" t="s">
        <v>761</v>
      </c>
      <c r="M9" s="34" t="s">
        <v>117</v>
      </c>
      <c r="N9" s="34" t="s">
        <v>309</v>
      </c>
      <c r="O9" s="34" t="s">
        <v>84</v>
      </c>
      <c r="P9" s="34" t="s">
        <v>9</v>
      </c>
      <c r="Q9" s="34">
        <v>1.0</v>
      </c>
      <c r="R9" s="44">
        <v>3888.0</v>
      </c>
      <c r="S9" s="40" t="s">
        <v>294</v>
      </c>
      <c r="T9" s="34" t="s">
        <v>1872</v>
      </c>
    </row>
    <row hidden="1" r="10" ht="43.0">
      <c r="A10" s="36">
        <v>46114</v>
      </c>
      <c r="B10" s="34" t="s">
        <v>34</v>
      </c>
      <c r="C10" s="34" t="s">
        <v>108</v>
      </c>
      <c r="D10" s="37" t="s">
        <v>1873</v>
      </c>
      <c r="E10" s="34" t="s">
        <v>1874</v>
      </c>
      <c r="F10" s="38" t="s">
        <v>1875</v>
      </c>
      <c r="G10" s="42" t="s">
        <v>1876</v>
      </c>
      <c r="H10" s="34" t="s">
        <v>163</v>
      </c>
      <c r="I10" s="34" t="s">
        <v>140</v>
      </c>
      <c r="K10" s="34" t="s">
        <v>69</v>
      </c>
      <c r="L10" s="38" t="s">
        <v>1877</v>
      </c>
      <c r="M10" s="34" t="s">
        <v>97</v>
      </c>
      <c r="N10" s="34" t="s">
        <v>156</v>
      </c>
      <c r="O10" s="34" t="s">
        <v>157</v>
      </c>
      <c r="P10" s="34" t="s">
        <v>158</v>
      </c>
      <c r="Q10" s="34">
        <v>6.0</v>
      </c>
      <c r="S10" s="40" t="s">
        <v>294</v>
      </c>
      <c r="U10" s="38" t="s">
        <v>1878</v>
      </c>
    </row>
    <row hidden="1" r="11" customHeight="1" ht="44.0">
      <c r="A11" s="36">
        <v>46114</v>
      </c>
      <c r="B11" s="34" t="s">
        <v>34</v>
      </c>
      <c r="C11" s="34" t="s">
        <v>63</v>
      </c>
      <c r="D11" s="37" t="s">
        <v>1719</v>
      </c>
      <c r="E11" s="34" t="s">
        <v>1720</v>
      </c>
      <c r="F11" s="38" t="s">
        <v>1721</v>
      </c>
      <c r="G11" s="34" t="s">
        <v>1879</v>
      </c>
      <c r="K11" s="34" t="s">
        <v>173</v>
      </c>
      <c r="M11" s="34" t="s">
        <v>97</v>
      </c>
      <c r="N11" s="34" t="s">
        <v>309</v>
      </c>
      <c r="O11" s="34" t="s">
        <v>72</v>
      </c>
      <c r="P11" s="34" t="s">
        <v>9</v>
      </c>
      <c r="Q11" s="34">
        <v>2594.0</v>
      </c>
      <c r="S11" s="40" t="s">
        <v>294</v>
      </c>
      <c r="U11" s="38" t="s">
        <v>1880</v>
      </c>
    </row>
    <row hidden="1" r="12" ht="29.0">
      <c r="A12" s="36">
        <v>46114</v>
      </c>
      <c r="B12" s="34" t="s">
        <v>34</v>
      </c>
      <c r="C12" s="34" t="s">
        <v>63</v>
      </c>
      <c r="D12" s="37" t="s">
        <v>1881</v>
      </c>
      <c r="E12" s="34" t="s">
        <v>1746</v>
      </c>
      <c r="F12" s="38" t="s">
        <v>1882</v>
      </c>
      <c r="G12" s="42" t="s">
        <v>1883</v>
      </c>
      <c r="H12" s="34" t="s">
        <v>163</v>
      </c>
      <c r="I12" s="34" t="s">
        <v>860</v>
      </c>
      <c r="J12" s="34" t="s">
        <v>1884</v>
      </c>
      <c r="K12" s="34" t="s">
        <v>95</v>
      </c>
      <c r="M12" s="34" t="s">
        <v>117</v>
      </c>
      <c r="N12" s="34" t="s">
        <v>71</v>
      </c>
      <c r="O12" s="34" t="s">
        <v>84</v>
      </c>
      <c r="P12" s="34" t="s">
        <v>9</v>
      </c>
      <c r="Q12" s="34">
        <v>8.0</v>
      </c>
      <c r="R12" s="39">
        <v>22.19</v>
      </c>
      <c r="S12" s="40" t="s">
        <v>294</v>
      </c>
      <c r="U12" s="38" t="s">
        <v>1885</v>
      </c>
    </row>
    <row r="13" ht="68.0">
      <c r="A13" s="36">
        <v>46114</v>
      </c>
      <c r="B13" s="34" t="s">
        <v>34</v>
      </c>
      <c r="C13" s="34" t="s">
        <v>108</v>
      </c>
      <c r="D13" s="37" t="s">
        <v>1886</v>
      </c>
      <c r="E13" s="34" t="s">
        <v>885</v>
      </c>
      <c r="F13" s="38" t="s">
        <v>1887</v>
      </c>
      <c r="G13" s="34" t="s">
        <v>1888</v>
      </c>
      <c r="H13" s="34" t="s">
        <v>1889</v>
      </c>
      <c r="I13" s="34" t="s">
        <v>266</v>
      </c>
      <c r="K13" s="34" t="s">
        <v>95</v>
      </c>
      <c r="L13" s="34" t="s">
        <v>681</v>
      </c>
      <c r="M13" s="34" t="s">
        <v>97</v>
      </c>
      <c r="N13" s="34" t="s">
        <v>71</v>
      </c>
      <c r="O13" s="34" t="s">
        <v>98</v>
      </c>
      <c r="P13" s="34" t="s">
        <v>10</v>
      </c>
      <c r="Q13" s="34" t="s">
        <v>248</v>
      </c>
      <c r="S13" s="40" t="s">
        <v>99</v>
      </c>
      <c r="V13" s="34" t="s">
        <v>1890</v>
      </c>
    </row>
    <row r="14" ht="41.0">
      <c r="A14" s="36">
        <v>46114</v>
      </c>
      <c r="B14" s="34" t="s">
        <v>35</v>
      </c>
      <c r="C14" s="34" t="s">
        <v>108</v>
      </c>
      <c r="D14" s="37" t="s">
        <v>1891</v>
      </c>
      <c r="E14" s="34" t="s">
        <v>1159</v>
      </c>
      <c r="F14" s="38" t="s">
        <v>1892</v>
      </c>
      <c r="G14" s="34" t="s">
        <v>1893</v>
      </c>
      <c r="H14" s="34" t="s">
        <v>837</v>
      </c>
      <c r="J14" s="34" t="s">
        <v>1894</v>
      </c>
      <c r="K14" s="34" t="s">
        <v>95</v>
      </c>
      <c r="L14" s="34" t="s">
        <v>681</v>
      </c>
      <c r="M14" s="34" t="s">
        <v>83</v>
      </c>
      <c r="N14" s="34" t="s">
        <v>71</v>
      </c>
      <c r="O14" s="34" t="s">
        <v>84</v>
      </c>
      <c r="P14" s="34" t="s">
        <v>10</v>
      </c>
      <c r="Q14" s="34">
        <v>3.0</v>
      </c>
      <c r="S14" s="40" t="s">
        <v>99</v>
      </c>
      <c r="U14" s="38" t="s">
        <v>1895</v>
      </c>
      <c r="V14" s="34" t="s">
        <v>1896</v>
      </c>
    </row>
    <row hidden="1" r="15" ht="27.0" customFormat="1" s="34">
      <c r="A15" s="36">
        <v>46114</v>
      </c>
      <c r="B15" s="34" t="s">
        <v>37</v>
      </c>
      <c r="C15" s="34" t="s">
        <v>108</v>
      </c>
      <c r="D15" s="41" t="s">
        <v>1610</v>
      </c>
      <c r="E15" s="34" t="s">
        <v>377</v>
      </c>
      <c r="F15" s="38" t="s">
        <v>1611</v>
      </c>
      <c r="G15" s="34" t="s">
        <v>1897</v>
      </c>
      <c r="H15" s="34" t="s">
        <v>837</v>
      </c>
      <c r="I15" s="34" t="s">
        <v>266</v>
      </c>
      <c r="K15" s="34" t="s">
        <v>125</v>
      </c>
      <c r="L15" s="38" t="s">
        <v>1898</v>
      </c>
      <c r="M15" s="34" t="s">
        <v>83</v>
      </c>
      <c r="N15" s="34" t="s">
        <v>309</v>
      </c>
      <c r="O15" s="34" t="s">
        <v>84</v>
      </c>
      <c r="P15" s="34" t="s">
        <v>9</v>
      </c>
      <c r="Q15" s="34">
        <v>3.0</v>
      </c>
      <c r="S15" s="40" t="s">
        <v>127</v>
      </c>
      <c r="U15" s="34" t="s">
        <v>456</v>
      </c>
    </row>
    <row r="16" ht="96.0">
      <c r="A16" s="36">
        <v>46115</v>
      </c>
      <c r="B16" s="34" t="s">
        <v>34</v>
      </c>
      <c r="C16" s="34" t="s">
        <v>108</v>
      </c>
      <c r="D16" s="37" t="s">
        <v>1899</v>
      </c>
      <c r="E16" s="34" t="s">
        <v>1900</v>
      </c>
      <c r="F16" s="38" t="s">
        <v>1901</v>
      </c>
      <c r="G16" s="34" t="s">
        <v>1902</v>
      </c>
      <c r="H16" s="34" t="s">
        <v>163</v>
      </c>
      <c r="I16" s="34" t="s">
        <v>140</v>
      </c>
      <c r="K16" s="34" t="s">
        <v>95</v>
      </c>
      <c r="L16" s="34" t="s">
        <v>681</v>
      </c>
      <c r="M16" s="34" t="s">
        <v>83</v>
      </c>
      <c r="N16" s="34" t="s">
        <v>71</v>
      </c>
      <c r="O16" s="34" t="s">
        <v>84</v>
      </c>
      <c r="P16" s="34" t="s">
        <v>10</v>
      </c>
      <c r="Q16" s="34">
        <v>25.0</v>
      </c>
      <c r="S16" s="40" t="s">
        <v>127</v>
      </c>
      <c r="U16" s="38" t="s">
        <v>1903</v>
      </c>
      <c r="V16" s="69" t="s">
        <v>1904</v>
      </c>
    </row>
    <row hidden="1" r="17" ht="27.0" customFormat="1" s="34">
      <c r="A17" s="36">
        <v>46115</v>
      </c>
      <c r="B17" s="34" t="s">
        <v>36</v>
      </c>
      <c r="C17" s="34" t="s">
        <v>108</v>
      </c>
      <c r="D17" s="37" t="s">
        <v>1905</v>
      </c>
      <c r="E17" s="34" t="s">
        <v>110</v>
      </c>
      <c r="F17" s="38" t="s">
        <v>1906</v>
      </c>
      <c r="G17" s="34" t="s">
        <v>1907</v>
      </c>
      <c r="H17" s="34" t="s">
        <v>163</v>
      </c>
      <c r="K17" s="34" t="s">
        <v>69</v>
      </c>
      <c r="L17" s="38" t="s">
        <v>1908</v>
      </c>
      <c r="M17" s="34" t="s">
        <v>117</v>
      </c>
      <c r="N17" s="34" t="s">
        <v>71</v>
      </c>
      <c r="O17" s="34" t="s">
        <v>84</v>
      </c>
      <c r="P17" s="34" t="s">
        <v>9</v>
      </c>
      <c r="Q17" s="34">
        <v>3.0</v>
      </c>
      <c r="S17" s="40" t="s">
        <v>127</v>
      </c>
      <c r="U17" s="38" t="s">
        <v>1909</v>
      </c>
    </row>
    <row r="18" ht="55.0" customFormat="1" s="34">
      <c r="A18" s="36">
        <v>46115</v>
      </c>
      <c r="B18" s="34" t="s">
        <v>34</v>
      </c>
      <c r="C18" s="34" t="s">
        <v>108</v>
      </c>
      <c r="D18" s="37" t="s">
        <v>1445</v>
      </c>
      <c r="E18" s="34" t="s">
        <v>1910</v>
      </c>
      <c r="F18" s="38" t="s">
        <v>1447</v>
      </c>
      <c r="G18" s="34" t="s">
        <v>1757</v>
      </c>
      <c r="K18" s="34" t="s">
        <v>125</v>
      </c>
      <c r="M18" s="34" t="s">
        <v>83</v>
      </c>
      <c r="N18" s="34" t="s">
        <v>309</v>
      </c>
      <c r="O18" s="34" t="s">
        <v>84</v>
      </c>
      <c r="P18" s="34" t="s">
        <v>10</v>
      </c>
      <c r="S18" s="40" t="s">
        <v>127</v>
      </c>
      <c r="U18" s="34" t="s">
        <v>456</v>
      </c>
      <c r="V18" s="34" t="s">
        <v>1911</v>
      </c>
    </row>
    <row r="19" ht="27.0">
      <c r="A19" s="36">
        <v>46115</v>
      </c>
      <c r="B19" s="34" t="s">
        <v>34</v>
      </c>
      <c r="C19" s="34" t="s">
        <v>76</v>
      </c>
      <c r="D19" s="37" t="s">
        <v>1912</v>
      </c>
      <c r="E19" s="34" t="s">
        <v>1913</v>
      </c>
      <c r="F19" s="38" t="s">
        <v>1914</v>
      </c>
      <c r="G19" s="34" t="s">
        <v>1915</v>
      </c>
      <c r="H19" s="34" t="s">
        <v>163</v>
      </c>
      <c r="I19" s="34" t="s">
        <v>715</v>
      </c>
      <c r="K19" s="34" t="s">
        <v>95</v>
      </c>
      <c r="M19" s="34" t="s">
        <v>97</v>
      </c>
      <c r="N19" s="34" t="s">
        <v>71</v>
      </c>
      <c r="O19" s="34" t="s">
        <v>98</v>
      </c>
      <c r="P19" s="34" t="s">
        <v>10</v>
      </c>
      <c r="Q19" s="34">
        <v>3.0</v>
      </c>
      <c r="S19" s="40" t="s">
        <v>134</v>
      </c>
      <c r="U19" s="38" t="s">
        <v>1916</v>
      </c>
      <c r="V19" s="34" t="s">
        <v>1917</v>
      </c>
    </row>
    <row r="20" ht="27.0">
      <c r="A20" s="36">
        <v>46118</v>
      </c>
      <c r="B20" s="34" t="s">
        <v>34</v>
      </c>
      <c r="C20" s="34" t="s">
        <v>88</v>
      </c>
      <c r="D20" s="37" t="s">
        <v>1445</v>
      </c>
      <c r="E20" s="34" t="s">
        <v>1910</v>
      </c>
      <c r="F20" s="38" t="s">
        <v>1447</v>
      </c>
      <c r="G20" s="34" t="s">
        <v>1757</v>
      </c>
      <c r="K20" s="34" t="s">
        <v>95</v>
      </c>
      <c r="M20" s="34" t="s">
        <v>83</v>
      </c>
      <c r="N20" s="34" t="s">
        <v>309</v>
      </c>
      <c r="O20" s="34" t="s">
        <v>84</v>
      </c>
      <c r="P20" s="34" t="s">
        <v>10</v>
      </c>
      <c r="S20" s="40" t="s">
        <v>127</v>
      </c>
      <c r="T20" s="34" t="s">
        <v>1918</v>
      </c>
      <c r="V20" s="34" t="s">
        <v>1919</v>
      </c>
    </row>
    <row hidden="1" r="21" ht="27.0" customFormat="1" s="34">
      <c r="A21" s="36">
        <v>46118</v>
      </c>
      <c r="B21" s="34" t="s">
        <v>34</v>
      </c>
      <c r="C21" s="34" t="s">
        <v>63</v>
      </c>
      <c r="D21" s="37" t="s">
        <v>1920</v>
      </c>
      <c r="E21" s="34" t="s">
        <v>1921</v>
      </c>
      <c r="F21" s="38" t="s">
        <v>1922</v>
      </c>
      <c r="G21" s="34" t="s">
        <v>1923</v>
      </c>
      <c r="K21" s="34" t="s">
        <v>69</v>
      </c>
      <c r="M21" s="34" t="s">
        <v>97</v>
      </c>
      <c r="N21" s="34" t="s">
        <v>156</v>
      </c>
      <c r="O21" s="34" t="s">
        <v>157</v>
      </c>
      <c r="P21" s="34" t="s">
        <v>158</v>
      </c>
      <c r="Q21" s="34">
        <v>10.0</v>
      </c>
      <c r="S21" s="40" t="s">
        <v>127</v>
      </c>
      <c r="U21" s="38" t="s">
        <v>1924</v>
      </c>
    </row>
    <row r="22" customHeight="1" ht="95.0" customFormat="1" s="34">
      <c r="A22" s="36">
        <v>46118</v>
      </c>
      <c r="B22" s="34" t="s">
        <v>34</v>
      </c>
      <c r="C22" s="34" t="s">
        <v>63</v>
      </c>
      <c r="D22" s="37" t="s">
        <v>1925</v>
      </c>
      <c r="E22" s="34" t="s">
        <v>1926</v>
      </c>
      <c r="F22" s="38" t="s">
        <v>1927</v>
      </c>
      <c r="G22" s="34" t="s">
        <v>1928</v>
      </c>
      <c r="H22" s="34" t="s">
        <v>1929</v>
      </c>
      <c r="K22" s="34" t="s">
        <v>69</v>
      </c>
      <c r="M22" s="34" t="s">
        <v>474</v>
      </c>
      <c r="N22" s="34" t="s">
        <v>71</v>
      </c>
      <c r="O22" s="34" t="s">
        <v>98</v>
      </c>
      <c r="P22" s="34" t="s">
        <v>11</v>
      </c>
      <c r="Q22" s="34">
        <v>50000.0</v>
      </c>
      <c r="S22" s="40" t="s">
        <v>73</v>
      </c>
      <c r="T22" s="34" t="s">
        <v>1930</v>
      </c>
      <c r="U22" s="34" t="s">
        <v>1931</v>
      </c>
      <c r="W22" s="34" t="s">
        <v>1932</v>
      </c>
    </row>
    <row hidden="1" r="23" ht="150.0">
      <c r="A23" s="36">
        <v>46118</v>
      </c>
      <c r="B23" s="34" t="s">
        <v>34</v>
      </c>
      <c r="C23" s="34" t="s">
        <v>108</v>
      </c>
      <c r="D23" s="37" t="s">
        <v>1933</v>
      </c>
      <c r="E23" s="34" t="s">
        <v>1934</v>
      </c>
      <c r="F23" s="38" t="s">
        <v>1935</v>
      </c>
      <c r="G23" s="34" t="s">
        <v>1936</v>
      </c>
      <c r="H23" s="34" t="s">
        <v>1937</v>
      </c>
      <c r="I23" s="34" t="s">
        <v>266</v>
      </c>
      <c r="K23" s="34" t="s">
        <v>125</v>
      </c>
      <c r="L23" s="34" t="s">
        <v>681</v>
      </c>
      <c r="M23" s="34" t="s">
        <v>97</v>
      </c>
      <c r="N23" s="34" t="s">
        <v>71</v>
      </c>
      <c r="O23" s="34" t="s">
        <v>84</v>
      </c>
      <c r="P23" s="34" t="s">
        <v>395</v>
      </c>
      <c r="Q23" s="34" t="s">
        <v>1938</v>
      </c>
      <c r="S23" s="40" t="s">
        <v>127</v>
      </c>
      <c r="T23" s="34" t="s">
        <v>1939</v>
      </c>
      <c r="U23" s="38" t="s">
        <v>1940</v>
      </c>
      <c r="W23" s="38" t="s">
        <v>1941</v>
      </c>
    </row>
    <row hidden="1" r="24" ht="55.0">
      <c r="A24" s="36">
        <v>46118</v>
      </c>
      <c r="B24" s="34" t="s">
        <v>34</v>
      </c>
      <c r="C24" s="34" t="s">
        <v>108</v>
      </c>
      <c r="D24" s="37" t="s">
        <v>1942</v>
      </c>
      <c r="E24" s="34" t="s">
        <v>1847</v>
      </c>
      <c r="F24" s="38" t="s">
        <v>1943</v>
      </c>
      <c r="G24" s="34" t="s">
        <v>1944</v>
      </c>
      <c r="H24" s="34" t="s">
        <v>163</v>
      </c>
      <c r="I24" s="34" t="s">
        <v>1850</v>
      </c>
      <c r="J24" s="34" t="s">
        <v>1945</v>
      </c>
      <c r="K24" s="34" t="s">
        <v>95</v>
      </c>
      <c r="L24" s="34" t="s">
        <v>681</v>
      </c>
      <c r="M24" s="34" t="s">
        <v>97</v>
      </c>
      <c r="N24" s="34" t="s">
        <v>71</v>
      </c>
      <c r="O24" s="34" t="s">
        <v>133</v>
      </c>
      <c r="P24" s="34" t="s">
        <v>9</v>
      </c>
      <c r="Q24" s="34">
        <v>8.0</v>
      </c>
      <c r="S24" s="40" t="s">
        <v>118</v>
      </c>
      <c r="T24" s="34" t="s">
        <v>1946</v>
      </c>
      <c r="U24" s="34" t="s">
        <v>1786</v>
      </c>
      <c r="V24" s="34" t="s">
        <v>1947</v>
      </c>
    </row>
    <row hidden="1" r="25" ht="41.0">
      <c r="A25" s="36">
        <v>46118</v>
      </c>
      <c r="B25" s="34" t="s">
        <v>34</v>
      </c>
      <c r="C25" s="34" t="s">
        <v>108</v>
      </c>
      <c r="D25" s="37" t="s">
        <v>1948</v>
      </c>
      <c r="E25" s="34" t="s">
        <v>530</v>
      </c>
      <c r="F25" s="38" t="s">
        <v>1949</v>
      </c>
      <c r="G25" s="34" t="s">
        <v>1950</v>
      </c>
      <c r="H25" s="34" t="s">
        <v>163</v>
      </c>
      <c r="I25" s="34" t="s">
        <v>351</v>
      </c>
      <c r="J25" s="34" t="s">
        <v>1951</v>
      </c>
      <c r="K25" s="34" t="s">
        <v>125</v>
      </c>
      <c r="L25" s="38" t="s">
        <v>1952</v>
      </c>
      <c r="M25" s="34" t="s">
        <v>117</v>
      </c>
      <c r="N25" s="34" t="s">
        <v>71</v>
      </c>
      <c r="O25" s="34" t="s">
        <v>84</v>
      </c>
      <c r="P25" s="34" t="s">
        <v>9</v>
      </c>
      <c r="Q25" s="34" t="s">
        <v>1953</v>
      </c>
      <c r="S25" s="40" t="s">
        <v>99</v>
      </c>
      <c r="U25" s="38" t="s">
        <v>1954</v>
      </c>
    </row>
    <row hidden="1" r="26" ht="27.0">
      <c r="A26" s="36">
        <v>46118</v>
      </c>
      <c r="B26" s="34" t="s">
        <v>35</v>
      </c>
      <c r="C26" s="34" t="s">
        <v>76</v>
      </c>
      <c r="D26" s="37" t="s">
        <v>1955</v>
      </c>
      <c r="E26" s="34" t="s">
        <v>130</v>
      </c>
      <c r="F26" s="38" t="s">
        <v>1956</v>
      </c>
      <c r="G26" s="34" t="s">
        <v>1957</v>
      </c>
      <c r="K26" s="34" t="s">
        <v>95</v>
      </c>
      <c r="M26" s="34" t="s">
        <v>97</v>
      </c>
      <c r="N26" s="34" t="s">
        <v>71</v>
      </c>
      <c r="O26" s="34" t="s">
        <v>84</v>
      </c>
      <c r="P26" s="34" t="s">
        <v>9</v>
      </c>
      <c r="Q26" s="34">
        <v>5.0</v>
      </c>
      <c r="S26" s="40" t="s">
        <v>294</v>
      </c>
      <c r="V26" s="34" t="s">
        <v>1958</v>
      </c>
    </row>
    <row hidden="1" r="27" ht="68.0">
      <c r="A27" s="36">
        <v>46119</v>
      </c>
      <c r="B27" s="34" t="s">
        <v>37</v>
      </c>
      <c r="C27" s="34" t="s">
        <v>88</v>
      </c>
      <c r="D27" s="37" t="s">
        <v>1227</v>
      </c>
      <c r="E27" s="34" t="s">
        <v>1727</v>
      </c>
      <c r="F27" s="38" t="s">
        <v>1229</v>
      </c>
      <c r="G27" s="34" t="s">
        <v>1959</v>
      </c>
      <c r="H27" s="34" t="s">
        <v>163</v>
      </c>
      <c r="I27" s="34" t="s">
        <v>140</v>
      </c>
      <c r="J27" s="34" t="s">
        <v>1960</v>
      </c>
      <c r="K27" s="34" t="s">
        <v>69</v>
      </c>
      <c r="L27" s="34" t="s">
        <v>681</v>
      </c>
      <c r="M27" s="34" t="s">
        <v>97</v>
      </c>
      <c r="N27" s="34" t="s">
        <v>71</v>
      </c>
      <c r="O27" s="34" t="s">
        <v>84</v>
      </c>
      <c r="P27" s="34" t="s">
        <v>9</v>
      </c>
      <c r="Q27" s="34">
        <v>4.0</v>
      </c>
      <c r="R27" s="34" t="s">
        <v>1961</v>
      </c>
      <c r="S27" s="40" t="s">
        <v>134</v>
      </c>
      <c r="U27" s="34" t="s">
        <v>456</v>
      </c>
    </row>
    <row r="28" ht="15.0">
      <c r="A28" s="36">
        <v>46119</v>
      </c>
      <c r="B28" s="34" t="s">
        <v>34</v>
      </c>
      <c r="C28" s="34" t="s">
        <v>88</v>
      </c>
      <c r="D28" s="33" t="s">
        <v>1962</v>
      </c>
      <c r="E28" s="34" t="s">
        <v>1746</v>
      </c>
      <c r="F28" s="38" t="s">
        <v>1860</v>
      </c>
      <c r="G28" s="42" t="s">
        <v>1963</v>
      </c>
      <c r="I28" s="34" t="s">
        <v>1862</v>
      </c>
      <c r="K28" s="34" t="s">
        <v>95</v>
      </c>
      <c r="L28" s="34" t="s">
        <v>681</v>
      </c>
      <c r="M28" s="34" t="s">
        <v>97</v>
      </c>
      <c r="N28" s="34" t="s">
        <v>309</v>
      </c>
      <c r="O28" s="34" t="s">
        <v>98</v>
      </c>
      <c r="P28" s="34" t="s">
        <v>10</v>
      </c>
      <c r="Q28" s="34">
        <v>7.0</v>
      </c>
      <c r="S28" s="40" t="s">
        <v>134</v>
      </c>
    </row>
    <row r="29" customHeight="1" ht="35.0" customFormat="1" s="34">
      <c r="A29" s="36">
        <v>46119</v>
      </c>
      <c r="B29" s="34" t="s">
        <v>34</v>
      </c>
      <c r="C29" s="34" t="s">
        <v>63</v>
      </c>
      <c r="D29" s="37" t="s">
        <v>1964</v>
      </c>
      <c r="E29" s="34" t="s">
        <v>1965</v>
      </c>
      <c r="F29" s="38" t="s">
        <v>1966</v>
      </c>
      <c r="G29" s="34" t="s">
        <v>1967</v>
      </c>
      <c r="H29" s="34" t="s">
        <v>1968</v>
      </c>
      <c r="K29" s="34" t="s">
        <v>69</v>
      </c>
      <c r="M29" s="34" t="s">
        <v>474</v>
      </c>
      <c r="N29" s="34" t="s">
        <v>71</v>
      </c>
      <c r="O29" s="34" t="s">
        <v>84</v>
      </c>
      <c r="P29" s="34" t="s">
        <v>11</v>
      </c>
      <c r="Q29" s="34">
        <v>2000.0</v>
      </c>
      <c r="S29" s="40" t="s">
        <v>1969</v>
      </c>
      <c r="U29" s="38" t="s">
        <v>1970</v>
      </c>
      <c r="V29" s="34" t="s">
        <v>1971</v>
      </c>
      <c r="W29" s="34" t="s">
        <v>1972</v>
      </c>
    </row>
    <row hidden="1" r="30" ht="82.0">
      <c r="A30" s="36">
        <v>46119</v>
      </c>
      <c r="B30" s="34" t="s">
        <v>34</v>
      </c>
      <c r="C30" s="34" t="s">
        <v>108</v>
      </c>
      <c r="D30" s="37" t="s">
        <v>1973</v>
      </c>
      <c r="E30" s="34" t="s">
        <v>1965</v>
      </c>
      <c r="F30" s="38" t="s">
        <v>1974</v>
      </c>
      <c r="G30" s="34" t="s">
        <v>1975</v>
      </c>
      <c r="H30" s="34" t="s">
        <v>163</v>
      </c>
      <c r="I30" s="34" t="s">
        <v>748</v>
      </c>
      <c r="K30" s="34" t="s">
        <v>95</v>
      </c>
      <c r="L30" s="38" t="s">
        <v>1976</v>
      </c>
      <c r="M30" s="34" t="s">
        <v>97</v>
      </c>
      <c r="N30" s="34" t="s">
        <v>71</v>
      </c>
      <c r="O30" s="34" t="s">
        <v>84</v>
      </c>
      <c r="P30" s="34" t="s">
        <v>9</v>
      </c>
      <c r="Q30" s="34">
        <v>4.0</v>
      </c>
      <c r="R30" s="44">
        <v>13200.0</v>
      </c>
      <c r="S30" s="40" t="s">
        <v>99</v>
      </c>
      <c r="U30" s="38" t="s">
        <v>1977</v>
      </c>
      <c r="V30" s="34" t="s">
        <v>1978</v>
      </c>
    </row>
    <row hidden="1" r="31" ht="27.0">
      <c r="A31" s="36">
        <v>46119</v>
      </c>
      <c r="B31" s="34" t="s">
        <v>34</v>
      </c>
      <c r="C31" s="34" t="s">
        <v>76</v>
      </c>
      <c r="D31" s="37" t="s">
        <v>1979</v>
      </c>
      <c r="E31" s="34" t="s">
        <v>78</v>
      </c>
      <c r="F31" s="38" t="s">
        <v>1980</v>
      </c>
      <c r="G31" s="34" t="s">
        <v>1981</v>
      </c>
      <c r="H31" s="34" t="s">
        <v>163</v>
      </c>
      <c r="K31" s="34" t="s">
        <v>125</v>
      </c>
      <c r="M31" s="34" t="s">
        <v>97</v>
      </c>
      <c r="N31" s="34" t="s">
        <v>71</v>
      </c>
      <c r="O31" s="34" t="s">
        <v>84</v>
      </c>
      <c r="P31" s="34" t="s">
        <v>9</v>
      </c>
      <c r="Q31" s="34">
        <v>3.0</v>
      </c>
      <c r="S31" s="40" t="s">
        <v>134</v>
      </c>
      <c r="U31" s="38" t="s">
        <v>1982</v>
      </c>
      <c r="V31" s="34" t="s">
        <v>1543</v>
      </c>
    </row>
    <row r="32" ht="43.0">
      <c r="A32" s="36">
        <v>46120</v>
      </c>
      <c r="B32" s="34" t="s">
        <v>34</v>
      </c>
      <c r="C32" s="34" t="s">
        <v>88</v>
      </c>
      <c r="D32" s="37" t="s">
        <v>1983</v>
      </c>
      <c r="E32" s="34" t="s">
        <v>302</v>
      </c>
      <c r="F32" s="38" t="s">
        <v>1984</v>
      </c>
      <c r="G32" s="34" t="s">
        <v>1985</v>
      </c>
      <c r="H32" s="34" t="s">
        <v>163</v>
      </c>
      <c r="I32" s="34" t="s">
        <v>1986</v>
      </c>
      <c r="J32" s="34" t="s">
        <v>1987</v>
      </c>
      <c r="K32" s="34" t="s">
        <v>95</v>
      </c>
      <c r="L32" s="38" t="s">
        <v>1988</v>
      </c>
      <c r="M32" s="34" t="s">
        <v>97</v>
      </c>
      <c r="N32" s="34" t="s">
        <v>71</v>
      </c>
      <c r="O32" s="34" t="s">
        <v>133</v>
      </c>
      <c r="P32" s="34" t="s">
        <v>10</v>
      </c>
      <c r="Q32" s="43">
        <v>46240</v>
      </c>
      <c r="S32" s="40" t="s">
        <v>134</v>
      </c>
      <c r="T32" s="34" t="s">
        <v>1989</v>
      </c>
      <c r="U32" s="38" t="s">
        <v>1990</v>
      </c>
      <c r="V32" s="64" t="s">
        <v>1991</v>
      </c>
    </row>
    <row hidden="1" r="33" ht="15.0" customFormat="1" s="34">
      <c r="A33" s="36">
        <v>46120</v>
      </c>
      <c r="B33" s="34" t="s">
        <v>34</v>
      </c>
      <c r="C33" s="34" t="s">
        <v>88</v>
      </c>
      <c r="D33" s="37" t="s">
        <v>1331</v>
      </c>
      <c r="E33" s="34" t="s">
        <v>663</v>
      </c>
      <c r="F33" s="38" t="s">
        <v>1332</v>
      </c>
      <c r="G33" s="34" t="s">
        <v>1992</v>
      </c>
      <c r="I33" s="34" t="s">
        <v>1335</v>
      </c>
      <c r="K33" s="34" t="s">
        <v>125</v>
      </c>
      <c r="M33" s="34" t="s">
        <v>97</v>
      </c>
      <c r="N33" s="34" t="s">
        <v>309</v>
      </c>
      <c r="O33" s="34" t="s">
        <v>609</v>
      </c>
      <c r="P33" s="34" t="s">
        <v>535</v>
      </c>
      <c r="Q33" s="34">
        <v>10.0</v>
      </c>
      <c r="S33" s="40" t="s">
        <v>127</v>
      </c>
    </row>
    <row hidden="1" r="34" ht="55.0">
      <c r="A34" s="36">
        <v>46120</v>
      </c>
      <c r="B34" s="34" t="s">
        <v>34</v>
      </c>
      <c r="C34" s="34" t="s">
        <v>108</v>
      </c>
      <c r="D34" s="37" t="s">
        <v>1993</v>
      </c>
      <c r="E34" s="34" t="s">
        <v>1827</v>
      </c>
      <c r="F34" s="38" t="s">
        <v>1994</v>
      </c>
      <c r="G34" s="34" t="s">
        <v>1995</v>
      </c>
      <c r="K34" s="34" t="s">
        <v>69</v>
      </c>
      <c r="L34" s="34" t="s">
        <v>681</v>
      </c>
      <c r="M34" s="34" t="s">
        <v>97</v>
      </c>
      <c r="N34" s="34" t="s">
        <v>71</v>
      </c>
      <c r="O34" s="34" t="s">
        <v>133</v>
      </c>
      <c r="P34" s="34" t="s">
        <v>395</v>
      </c>
      <c r="S34" s="40"/>
      <c r="T34" s="34" t="s">
        <v>1996</v>
      </c>
      <c r="U34" s="34" t="s">
        <v>164</v>
      </c>
    </row>
    <row hidden="1" r="35" ht="27.0" customFormat="1" s="34">
      <c r="A35" s="36">
        <v>46120</v>
      </c>
      <c r="B35" s="34" t="s">
        <v>35</v>
      </c>
      <c r="C35" s="34" t="s">
        <v>108</v>
      </c>
      <c r="D35" s="37" t="s">
        <v>1997</v>
      </c>
      <c r="E35" s="34" t="s">
        <v>1998</v>
      </c>
      <c r="F35" s="38" t="s">
        <v>1999</v>
      </c>
      <c r="G35" s="34" t="s">
        <v>2000</v>
      </c>
      <c r="H35" s="34" t="s">
        <v>163</v>
      </c>
      <c r="K35" s="34" t="s">
        <v>69</v>
      </c>
      <c r="M35" s="34" t="s">
        <v>97</v>
      </c>
      <c r="N35" s="34" t="s">
        <v>156</v>
      </c>
      <c r="O35" s="34" t="s">
        <v>157</v>
      </c>
      <c r="P35" s="34" t="s">
        <v>158</v>
      </c>
      <c r="Q35" s="34">
        <v>3.0</v>
      </c>
      <c r="S35" s="40" t="s">
        <v>127</v>
      </c>
    </row>
    <row hidden="1" r="36" ht="27.0" customFormat="1" s="34">
      <c r="A36" s="36">
        <v>46120</v>
      </c>
      <c r="B36" s="34" t="s">
        <v>35</v>
      </c>
      <c r="C36" s="34" t="s">
        <v>76</v>
      </c>
      <c r="D36" s="37" t="s">
        <v>2001</v>
      </c>
      <c r="E36" s="34" t="s">
        <v>1965</v>
      </c>
      <c r="F36" s="38" t="s">
        <v>2002</v>
      </c>
      <c r="G36" s="34" t="s">
        <v>2003</v>
      </c>
      <c r="K36" s="34" t="s">
        <v>69</v>
      </c>
      <c r="M36" s="34" t="s">
        <v>97</v>
      </c>
      <c r="N36" s="34" t="s">
        <v>156</v>
      </c>
      <c r="O36" s="34" t="s">
        <v>157</v>
      </c>
      <c r="P36" s="34" t="s">
        <v>158</v>
      </c>
      <c r="Q36" s="34">
        <v>5.0</v>
      </c>
      <c r="S36" s="40" t="s">
        <v>294</v>
      </c>
    </row>
    <row r="37" ht="41.0" customFormat="1" s="34">
      <c r="A37" s="36">
        <v>46120</v>
      </c>
      <c r="B37" s="34" t="s">
        <v>34</v>
      </c>
      <c r="C37" s="34" t="s">
        <v>76</v>
      </c>
      <c r="D37" s="37" t="s">
        <v>2004</v>
      </c>
      <c r="E37" s="34" t="s">
        <v>78</v>
      </c>
      <c r="F37" s="38" t="s">
        <v>2005</v>
      </c>
      <c r="G37" s="70" t="s">
        <v>2006</v>
      </c>
      <c r="H37" s="34" t="s">
        <v>2007</v>
      </c>
      <c r="K37" s="34" t="s">
        <v>95</v>
      </c>
      <c r="M37" s="34" t="s">
        <v>83</v>
      </c>
      <c r="N37" s="34" t="s">
        <v>71</v>
      </c>
      <c r="O37" s="34" t="s">
        <v>84</v>
      </c>
      <c r="P37" s="34" t="s">
        <v>10</v>
      </c>
      <c r="Q37" s="34">
        <v>30.0</v>
      </c>
      <c r="S37" s="40" t="s">
        <v>294</v>
      </c>
      <c r="V37" s="34" t="s">
        <v>2008</v>
      </c>
    </row>
    <row r="38" ht="55.0" customFormat="1" s="34">
      <c r="A38" s="36">
        <v>46121</v>
      </c>
      <c r="B38" s="34" t="s">
        <v>34</v>
      </c>
      <c r="C38" s="34" t="s">
        <v>88</v>
      </c>
      <c r="D38" s="37" t="s">
        <v>2009</v>
      </c>
      <c r="E38" s="34" t="s">
        <v>2010</v>
      </c>
      <c r="F38" s="38" t="s">
        <v>2011</v>
      </c>
      <c r="G38" s="34" t="s">
        <v>2012</v>
      </c>
      <c r="I38" s="34" t="s">
        <v>140</v>
      </c>
      <c r="K38" s="34" t="s">
        <v>95</v>
      </c>
      <c r="L38" s="38" t="s">
        <v>2013</v>
      </c>
      <c r="M38" s="34" t="s">
        <v>97</v>
      </c>
      <c r="N38" s="34" t="s">
        <v>71</v>
      </c>
      <c r="O38" s="34" t="s">
        <v>133</v>
      </c>
      <c r="P38" s="34" t="s">
        <v>11</v>
      </c>
      <c r="Q38" s="34" t="s">
        <v>762</v>
      </c>
      <c r="S38" s="40"/>
      <c r="U38" s="38" t="s">
        <v>2014</v>
      </c>
      <c r="V38" s="34" t="s">
        <v>2015</v>
      </c>
    </row>
    <row r="39" ht="41.0">
      <c r="A39" s="36">
        <v>46121</v>
      </c>
      <c r="B39" s="34" t="s">
        <v>34</v>
      </c>
      <c r="C39" s="34" t="s">
        <v>88</v>
      </c>
      <c r="D39" s="37" t="s">
        <v>2016</v>
      </c>
      <c r="E39" s="34" t="s">
        <v>2017</v>
      </c>
      <c r="F39" s="38" t="s">
        <v>2018</v>
      </c>
      <c r="G39" s="34" t="s">
        <v>2019</v>
      </c>
      <c r="I39" s="34" t="s">
        <v>351</v>
      </c>
      <c r="J39" s="34" t="s">
        <v>607</v>
      </c>
      <c r="K39" s="34" t="s">
        <v>420</v>
      </c>
      <c r="L39" s="38" t="s">
        <v>2020</v>
      </c>
      <c r="M39" s="34" t="s">
        <v>117</v>
      </c>
      <c r="N39" s="34" t="s">
        <v>71</v>
      </c>
      <c r="O39" s="34" t="s">
        <v>98</v>
      </c>
      <c r="P39" s="34" t="s">
        <v>11</v>
      </c>
      <c r="Q39" s="34">
        <v>6.0</v>
      </c>
      <c r="S39" s="40" t="s">
        <v>134</v>
      </c>
      <c r="U39" s="38" t="s">
        <v>2021</v>
      </c>
      <c r="V39" s="34" t="s">
        <v>2022</v>
      </c>
    </row>
    <row r="40" ht="55.0">
      <c r="A40" s="36">
        <v>46121</v>
      </c>
      <c r="B40" s="34" t="s">
        <v>34</v>
      </c>
      <c r="C40" s="34" t="s">
        <v>63</v>
      </c>
      <c r="D40" s="37" t="s">
        <v>2023</v>
      </c>
      <c r="E40" s="34" t="s">
        <v>1061</v>
      </c>
      <c r="F40" s="38" t="s">
        <v>2024</v>
      </c>
      <c r="G40" s="34" t="s">
        <v>2025</v>
      </c>
      <c r="I40" s="34" t="s">
        <v>107</v>
      </c>
      <c r="K40" s="34" t="s">
        <v>173</v>
      </c>
      <c r="M40" s="34" t="s">
        <v>97</v>
      </c>
      <c r="N40" s="34" t="s">
        <v>309</v>
      </c>
      <c r="O40" s="34" t="s">
        <v>84</v>
      </c>
      <c r="P40" s="34" t="s">
        <v>10</v>
      </c>
      <c r="Q40" s="34">
        <v>25.0</v>
      </c>
      <c r="S40" s="40" t="s">
        <v>127</v>
      </c>
      <c r="U40" s="34" t="s">
        <v>456</v>
      </c>
      <c r="V40" s="34" t="s">
        <v>2026</v>
      </c>
    </row>
    <row hidden="1" r="41" ht="55.0">
      <c r="A41" s="36">
        <v>46121</v>
      </c>
      <c r="B41" s="34" t="s">
        <v>36</v>
      </c>
      <c r="C41" s="34" t="s">
        <v>108</v>
      </c>
      <c r="D41" s="37" t="s">
        <v>2027</v>
      </c>
      <c r="E41" s="34" t="s">
        <v>2028</v>
      </c>
      <c r="F41" s="38" t="s">
        <v>2029</v>
      </c>
      <c r="G41" s="34" t="s">
        <v>2030</v>
      </c>
      <c r="H41" s="34" t="s">
        <v>163</v>
      </c>
      <c r="I41" s="34" t="s">
        <v>940</v>
      </c>
      <c r="K41" s="34" t="s">
        <v>184</v>
      </c>
      <c r="L41" s="38" t="s">
        <v>2031</v>
      </c>
      <c r="M41" s="34" t="s">
        <v>117</v>
      </c>
      <c r="N41" s="34" t="s">
        <v>71</v>
      </c>
      <c r="O41" s="34" t="s">
        <v>84</v>
      </c>
      <c r="P41" s="34" t="s">
        <v>9</v>
      </c>
      <c r="Q41" s="34">
        <v>10.0</v>
      </c>
      <c r="S41" s="40" t="s">
        <v>134</v>
      </c>
      <c r="U41" s="38" t="s">
        <v>2032</v>
      </c>
    </row>
    <row r="42" ht="82.0">
      <c r="A42" s="36">
        <v>46121</v>
      </c>
      <c r="B42" s="34" t="s">
        <v>34</v>
      </c>
      <c r="C42" s="34" t="s">
        <v>108</v>
      </c>
      <c r="D42" s="37" t="s">
        <v>2033</v>
      </c>
      <c r="E42" s="34" t="s">
        <v>2034</v>
      </c>
      <c r="F42" s="38" t="s">
        <v>2035</v>
      </c>
      <c r="G42" s="34" t="s">
        <v>2036</v>
      </c>
      <c r="H42" s="34" t="s">
        <v>163</v>
      </c>
      <c r="I42" s="34" t="s">
        <v>266</v>
      </c>
      <c r="J42" s="34" t="s">
        <v>2037</v>
      </c>
      <c r="K42" s="34" t="s">
        <v>95</v>
      </c>
      <c r="L42" s="34" t="s">
        <v>681</v>
      </c>
      <c r="M42" s="34" t="s">
        <v>97</v>
      </c>
      <c r="N42" s="34" t="s">
        <v>71</v>
      </c>
      <c r="O42" s="34" t="s">
        <v>98</v>
      </c>
      <c r="P42" s="34" t="s">
        <v>10</v>
      </c>
      <c r="Q42" s="34" t="s">
        <v>2038</v>
      </c>
      <c r="S42" s="40" t="s">
        <v>134</v>
      </c>
      <c r="U42" s="38" t="s">
        <v>2039</v>
      </c>
      <c r="V42" s="34" t="s">
        <v>2040</v>
      </c>
    </row>
    <row hidden="1" r="43" ht="41.0">
      <c r="A43" s="36">
        <v>46121</v>
      </c>
      <c r="B43" s="34" t="s">
        <v>34</v>
      </c>
      <c r="C43" s="34" t="s">
        <v>108</v>
      </c>
      <c r="D43" s="37" t="s">
        <v>2041</v>
      </c>
      <c r="E43" s="34" t="s">
        <v>2042</v>
      </c>
      <c r="F43" s="38" t="s">
        <v>2043</v>
      </c>
      <c r="G43" s="34" t="s">
        <v>2044</v>
      </c>
      <c r="H43" s="34" t="s">
        <v>163</v>
      </c>
      <c r="I43" s="34" t="s">
        <v>266</v>
      </c>
      <c r="K43" s="34" t="s">
        <v>95</v>
      </c>
      <c r="L43" s="34" t="s">
        <v>681</v>
      </c>
      <c r="M43" s="34" t="s">
        <v>97</v>
      </c>
      <c r="N43" s="34" t="s">
        <v>534</v>
      </c>
      <c r="O43" s="34" t="s">
        <v>207</v>
      </c>
      <c r="P43" s="34" t="s">
        <v>535</v>
      </c>
      <c r="S43" s="40"/>
      <c r="T43" s="34" t="s">
        <v>2045</v>
      </c>
      <c r="U43" s="38" t="s">
        <v>2046</v>
      </c>
      <c r="V43" s="34" t="s">
        <v>2047</v>
      </c>
    </row>
    <row hidden="1" r="44" ht="27.0">
      <c r="A44" s="36">
        <v>46122</v>
      </c>
      <c r="B44" s="34" t="s">
        <v>34</v>
      </c>
      <c r="C44" s="34" t="s">
        <v>63</v>
      </c>
      <c r="D44" s="37" t="s">
        <v>2048</v>
      </c>
      <c r="E44" s="34" t="s">
        <v>2049</v>
      </c>
      <c r="F44" s="38" t="s">
        <v>2050</v>
      </c>
      <c r="G44" s="34" t="s">
        <v>2051</v>
      </c>
      <c r="K44" s="34" t="s">
        <v>69</v>
      </c>
      <c r="M44" s="34" t="s">
        <v>97</v>
      </c>
      <c r="N44" s="34" t="s">
        <v>156</v>
      </c>
      <c r="O44" s="34" t="s">
        <v>157</v>
      </c>
      <c r="P44" s="34" t="s">
        <v>158</v>
      </c>
      <c r="S44" s="40" t="s">
        <v>73</v>
      </c>
      <c r="U44" s="38" t="s">
        <v>2052</v>
      </c>
    </row>
    <row hidden="1" r="45" ht="41.0">
      <c r="A45" s="36">
        <v>46122</v>
      </c>
      <c r="B45" s="34" t="s">
        <v>34</v>
      </c>
      <c r="C45" s="34" t="s">
        <v>63</v>
      </c>
      <c r="D45" s="37" t="s">
        <v>2053</v>
      </c>
      <c r="E45" s="34" t="s">
        <v>130</v>
      </c>
      <c r="F45" s="38" t="s">
        <v>2054</v>
      </c>
      <c r="G45" s="34" t="s">
        <v>2055</v>
      </c>
      <c r="I45" s="34" t="s">
        <v>351</v>
      </c>
      <c r="J45" s="34" t="s">
        <v>206</v>
      </c>
      <c r="K45" s="34" t="s">
        <v>184</v>
      </c>
      <c r="M45" s="34" t="s">
        <v>97</v>
      </c>
      <c r="N45" s="34" t="s">
        <v>71</v>
      </c>
      <c r="O45" s="34" t="s">
        <v>84</v>
      </c>
      <c r="P45" s="34" t="s">
        <v>9</v>
      </c>
      <c r="Q45" s="34">
        <v>9.0</v>
      </c>
      <c r="S45" s="40" t="s">
        <v>134</v>
      </c>
      <c r="T45" s="38" t="s">
        <v>2056</v>
      </c>
      <c r="U45" s="34" t="s">
        <v>456</v>
      </c>
    </row>
    <row hidden="1" r="46" ht="41.0">
      <c r="A46" s="36">
        <v>46122</v>
      </c>
      <c r="B46" s="34" t="s">
        <v>34</v>
      </c>
      <c r="C46" s="34" t="s">
        <v>108</v>
      </c>
      <c r="D46" s="37" t="s">
        <v>2057</v>
      </c>
      <c r="E46" s="34" t="s">
        <v>1827</v>
      </c>
      <c r="F46" s="38" t="s">
        <v>2058</v>
      </c>
      <c r="G46" s="34" t="s">
        <v>2059</v>
      </c>
      <c r="H46" s="34" t="s">
        <v>163</v>
      </c>
      <c r="J46" s="34" t="s">
        <v>2060</v>
      </c>
      <c r="K46" s="34" t="s">
        <v>95</v>
      </c>
      <c r="L46" s="34" t="s">
        <v>681</v>
      </c>
      <c r="M46" s="34" t="s">
        <v>97</v>
      </c>
      <c r="N46" s="34" t="s">
        <v>71</v>
      </c>
      <c r="O46" s="34" t="s">
        <v>84</v>
      </c>
      <c r="P46" s="34" t="s">
        <v>9</v>
      </c>
      <c r="Q46" s="34">
        <v>10.0</v>
      </c>
      <c r="S46" s="40" t="s">
        <v>127</v>
      </c>
      <c r="U46" s="38" t="s">
        <v>2061</v>
      </c>
      <c r="V46" s="34" t="s">
        <v>2062</v>
      </c>
    </row>
    <row hidden="1" r="47" ht="27.0">
      <c r="A47" s="36">
        <v>46122</v>
      </c>
      <c r="B47" s="34" t="s">
        <v>35</v>
      </c>
      <c r="C47" s="34" t="s">
        <v>108</v>
      </c>
      <c r="D47" s="37" t="s">
        <v>2063</v>
      </c>
      <c r="E47" s="34" t="s">
        <v>2064</v>
      </c>
      <c r="F47" s="38" t="s">
        <v>2065</v>
      </c>
      <c r="G47" s="34" t="s">
        <v>1907</v>
      </c>
      <c r="H47" s="34" t="s">
        <v>163</v>
      </c>
      <c r="K47" s="34" t="s">
        <v>69</v>
      </c>
      <c r="L47" s="34" t="s">
        <v>681</v>
      </c>
      <c r="M47" s="34" t="s">
        <v>97</v>
      </c>
      <c r="N47" s="34" t="s">
        <v>156</v>
      </c>
      <c r="O47" s="34" t="s">
        <v>157</v>
      </c>
      <c r="P47" s="34" t="s">
        <v>158</v>
      </c>
      <c r="Q47" s="34">
        <v>1.0</v>
      </c>
      <c r="S47" s="40" t="s">
        <v>294</v>
      </c>
      <c r="U47" s="38" t="s">
        <v>2066</v>
      </c>
    </row>
    <row r="48" ht="68.0">
      <c r="A48" s="36">
        <v>46122</v>
      </c>
      <c r="B48" s="34" t="s">
        <v>35</v>
      </c>
      <c r="C48" s="34" t="s">
        <v>76</v>
      </c>
      <c r="D48" s="37" t="s">
        <v>2067</v>
      </c>
      <c r="E48" s="34" t="s">
        <v>170</v>
      </c>
      <c r="F48" s="38" t="s">
        <v>2068</v>
      </c>
      <c r="G48" s="34" t="s">
        <v>2069</v>
      </c>
      <c r="H48" s="34" t="s">
        <v>2070</v>
      </c>
      <c r="I48" s="34" t="s">
        <v>940</v>
      </c>
      <c r="K48" s="34" t="s">
        <v>69</v>
      </c>
      <c r="M48" s="34" t="s">
        <v>97</v>
      </c>
      <c r="N48" s="34" t="s">
        <v>71</v>
      </c>
      <c r="O48" s="34" t="s">
        <v>98</v>
      </c>
      <c r="P48" s="34" t="s">
        <v>10</v>
      </c>
      <c r="Q48" s="34">
        <v>10.0</v>
      </c>
      <c r="S48" s="40" t="s">
        <v>134</v>
      </c>
      <c r="T48" s="34" t="s">
        <v>2071</v>
      </c>
      <c r="U48" s="38" t="s">
        <v>2072</v>
      </c>
      <c r="V48" s="34" t="s">
        <v>2073</v>
      </c>
    </row>
    <row r="49" ht="41.0">
      <c r="A49" s="36">
        <v>46123</v>
      </c>
      <c r="B49" s="34" t="s">
        <v>35</v>
      </c>
      <c r="C49" s="34" t="s">
        <v>76</v>
      </c>
      <c r="D49" s="37" t="s">
        <v>2074</v>
      </c>
      <c r="E49" s="34" t="s">
        <v>2075</v>
      </c>
      <c r="F49" s="38" t="s">
        <v>2076</v>
      </c>
      <c r="G49" s="34" t="s">
        <v>2077</v>
      </c>
      <c r="H49" s="34" t="s">
        <v>163</v>
      </c>
      <c r="J49" s="34" t="s">
        <v>715</v>
      </c>
      <c r="K49" s="34" t="s">
        <v>95</v>
      </c>
      <c r="M49" s="34" t="s">
        <v>83</v>
      </c>
      <c r="N49" s="34" t="s">
        <v>71</v>
      </c>
      <c r="O49" s="34" t="s">
        <v>98</v>
      </c>
      <c r="P49" s="34" t="s">
        <v>10</v>
      </c>
      <c r="Q49" s="34">
        <v>10.0</v>
      </c>
      <c r="S49" s="40" t="s">
        <v>134</v>
      </c>
      <c r="U49" s="38" t="s">
        <v>2078</v>
      </c>
      <c r="V49" s="34" t="s">
        <v>2079</v>
      </c>
    </row>
    <row r="50" ht="27.0">
      <c r="A50" s="36">
        <v>46123</v>
      </c>
      <c r="B50" s="34" t="s">
        <v>35</v>
      </c>
      <c r="C50" s="34" t="s">
        <v>76</v>
      </c>
      <c r="D50" s="37" t="s">
        <v>2080</v>
      </c>
      <c r="E50" s="34" t="s">
        <v>78</v>
      </c>
      <c r="F50" s="38" t="s">
        <v>2081</v>
      </c>
      <c r="G50" s="34" t="s">
        <v>2082</v>
      </c>
      <c r="H50" s="34" t="s">
        <v>163</v>
      </c>
      <c r="K50" s="34" t="s">
        <v>267</v>
      </c>
      <c r="M50" s="34" t="s">
        <v>97</v>
      </c>
      <c r="N50" s="34" t="s">
        <v>71</v>
      </c>
      <c r="O50" s="34" t="s">
        <v>98</v>
      </c>
      <c r="P50" s="34" t="s">
        <v>10</v>
      </c>
      <c r="Q50" s="43">
        <v>46209</v>
      </c>
      <c r="S50" s="40" t="s">
        <v>134</v>
      </c>
      <c r="T50" s="34" t="s">
        <v>2083</v>
      </c>
      <c r="U50" s="38" t="s">
        <v>2084</v>
      </c>
      <c r="V50" s="34" t="s">
        <v>2008</v>
      </c>
    </row>
    <row r="51" ht="68.0">
      <c r="A51" s="36">
        <v>46126</v>
      </c>
      <c r="B51" s="34" t="s">
        <v>34</v>
      </c>
      <c r="C51" s="34" t="s">
        <v>88</v>
      </c>
      <c r="D51" s="37" t="s">
        <v>2085</v>
      </c>
      <c r="E51" s="34" t="s">
        <v>672</v>
      </c>
      <c r="F51" s="38" t="s">
        <v>2086</v>
      </c>
      <c r="G51" s="34" t="s">
        <v>2087</v>
      </c>
      <c r="I51" s="34" t="s">
        <v>2088</v>
      </c>
      <c r="J51" s="34" t="s">
        <v>2089</v>
      </c>
      <c r="K51" s="34" t="s">
        <v>95</v>
      </c>
      <c r="L51" s="38" t="s">
        <v>2090</v>
      </c>
      <c r="M51" s="34" t="s">
        <v>117</v>
      </c>
      <c r="N51" s="34" t="s">
        <v>71</v>
      </c>
      <c r="O51" s="34" t="s">
        <v>609</v>
      </c>
      <c r="P51" s="34" t="s">
        <v>11</v>
      </c>
      <c r="Q51" s="34">
        <v>3.0</v>
      </c>
      <c r="S51" s="40" t="s">
        <v>99</v>
      </c>
      <c r="U51" s="38" t="s">
        <v>2091</v>
      </c>
      <c r="V51" s="34" t="s">
        <v>2092</v>
      </c>
    </row>
    <row r="52" ht="41.0">
      <c r="A52" s="36">
        <v>46126</v>
      </c>
      <c r="B52" s="34" t="s">
        <v>36</v>
      </c>
      <c r="C52" s="34" t="s">
        <v>88</v>
      </c>
      <c r="D52" s="37" t="s">
        <v>2093</v>
      </c>
      <c r="E52" s="34" t="s">
        <v>2094</v>
      </c>
      <c r="F52" s="38" t="s">
        <v>2095</v>
      </c>
      <c r="G52" s="34" t="s">
        <v>2096</v>
      </c>
      <c r="I52" s="34" t="s">
        <v>702</v>
      </c>
      <c r="J52" s="34" t="s">
        <v>2097</v>
      </c>
      <c r="K52" s="34" t="s">
        <v>95</v>
      </c>
      <c r="L52" s="34" t="s">
        <v>681</v>
      </c>
      <c r="M52" s="34" t="s">
        <v>83</v>
      </c>
      <c r="N52" s="34" t="s">
        <v>71</v>
      </c>
      <c r="O52" s="34" t="s">
        <v>133</v>
      </c>
      <c r="P52" s="34" t="s">
        <v>10</v>
      </c>
      <c r="Q52" s="34" t="s">
        <v>2098</v>
      </c>
      <c r="S52" s="40"/>
      <c r="U52" s="38" t="s">
        <v>2099</v>
      </c>
      <c r="V52" s="34" t="s">
        <v>2100</v>
      </c>
    </row>
    <row r="53" ht="41.0">
      <c r="A53" s="36">
        <v>46126</v>
      </c>
      <c r="B53" s="34" t="s">
        <v>34</v>
      </c>
      <c r="C53" s="34" t="s">
        <v>1094</v>
      </c>
      <c r="D53" s="37" t="s">
        <v>2101</v>
      </c>
      <c r="E53" s="34" t="s">
        <v>2102</v>
      </c>
      <c r="F53" s="38" t="s">
        <v>2103</v>
      </c>
      <c r="G53" s="34" t="s">
        <v>2104</v>
      </c>
      <c r="H53" s="34" t="s">
        <v>163</v>
      </c>
      <c r="I53" s="34" t="s">
        <v>1850</v>
      </c>
      <c r="K53" s="34" t="s">
        <v>95</v>
      </c>
      <c r="M53" s="34" t="s">
        <v>117</v>
      </c>
      <c r="N53" s="34" t="s">
        <v>71</v>
      </c>
      <c r="O53" s="34" t="s">
        <v>84</v>
      </c>
      <c r="P53" s="34" t="s">
        <v>10</v>
      </c>
      <c r="Q53" s="34">
        <v>20.0</v>
      </c>
      <c r="S53" s="40" t="s">
        <v>99</v>
      </c>
      <c r="U53" s="38" t="s">
        <v>2105</v>
      </c>
      <c r="V53" s="34" t="s">
        <v>2106</v>
      </c>
    </row>
    <row hidden="1" r="54" ht="41.0">
      <c r="A54" s="36">
        <v>46126</v>
      </c>
      <c r="B54" s="34" t="s">
        <v>34</v>
      </c>
      <c r="C54" s="34" t="s">
        <v>88</v>
      </c>
      <c r="D54" s="37" t="s">
        <v>2107</v>
      </c>
      <c r="E54" s="34" t="s">
        <v>2108</v>
      </c>
      <c r="F54" s="38" t="s">
        <v>2109</v>
      </c>
      <c r="G54" s="34" t="s">
        <v>2110</v>
      </c>
      <c r="H54" s="34" t="s">
        <v>163</v>
      </c>
      <c r="K54" s="34" t="s">
        <v>95</v>
      </c>
      <c r="L54" s="38" t="s">
        <v>2111</v>
      </c>
      <c r="M54" s="34" t="s">
        <v>117</v>
      </c>
      <c r="N54" s="34" t="s">
        <v>71</v>
      </c>
      <c r="O54" s="34" t="s">
        <v>84</v>
      </c>
      <c r="P54" s="34" t="s">
        <v>9</v>
      </c>
      <c r="Q54" s="34">
        <v>6.0</v>
      </c>
      <c r="R54" s="44">
        <v>10080.0</v>
      </c>
      <c r="S54" s="40" t="s">
        <v>134</v>
      </c>
      <c r="U54" s="38" t="s">
        <v>2112</v>
      </c>
    </row>
    <row hidden="1" r="55" ht="27.0">
      <c r="A55" s="36">
        <v>46126</v>
      </c>
      <c r="B55" s="34" t="s">
        <v>34</v>
      </c>
      <c r="C55" s="34" t="s">
        <v>108</v>
      </c>
      <c r="D55" s="37" t="s">
        <v>2113</v>
      </c>
      <c r="E55" s="34" t="s">
        <v>2114</v>
      </c>
      <c r="F55" s="38" t="s">
        <v>2115</v>
      </c>
      <c r="G55" s="34" t="s">
        <v>2116</v>
      </c>
      <c r="H55" s="34" t="s">
        <v>163</v>
      </c>
      <c r="I55" s="34" t="s">
        <v>164</v>
      </c>
      <c r="J55" s="34" t="s">
        <v>2117</v>
      </c>
      <c r="K55" s="34" t="s">
        <v>69</v>
      </c>
      <c r="L55" s="38" t="s">
        <v>2118</v>
      </c>
      <c r="M55" s="34" t="s">
        <v>117</v>
      </c>
      <c r="N55" s="34" t="s">
        <v>534</v>
      </c>
      <c r="O55" s="34" t="s">
        <v>207</v>
      </c>
      <c r="P55" s="34" t="s">
        <v>535</v>
      </c>
      <c r="S55" s="40"/>
      <c r="U55" s="38" t="s">
        <v>2119</v>
      </c>
    </row>
    <row hidden="1" r="56" ht="27.0">
      <c r="A56" s="36">
        <v>46126</v>
      </c>
      <c r="B56" s="34" t="s">
        <v>35</v>
      </c>
      <c r="C56" s="34" t="s">
        <v>76</v>
      </c>
      <c r="D56" s="37" t="s">
        <v>2120</v>
      </c>
      <c r="E56" s="34" t="s">
        <v>1006</v>
      </c>
      <c r="F56" s="38" t="s">
        <v>2121</v>
      </c>
      <c r="G56" s="34" t="s">
        <v>2122</v>
      </c>
      <c r="H56" s="34" t="s">
        <v>163</v>
      </c>
      <c r="K56" s="34" t="s">
        <v>69</v>
      </c>
      <c r="M56" s="34" t="s">
        <v>97</v>
      </c>
      <c r="N56" s="34" t="s">
        <v>156</v>
      </c>
      <c r="O56" s="34" t="s">
        <v>157</v>
      </c>
      <c r="P56" s="34" t="s">
        <v>158</v>
      </c>
      <c r="Q56" s="34">
        <v>1.0</v>
      </c>
      <c r="S56" s="40" t="s">
        <v>134</v>
      </c>
      <c r="U56" s="38" t="s">
        <v>2123</v>
      </c>
    </row>
    <row hidden="1" r="57" ht="27.0">
      <c r="A57" s="36">
        <v>46126</v>
      </c>
      <c r="B57" s="34" t="s">
        <v>34</v>
      </c>
      <c r="C57" s="34" t="s">
        <v>76</v>
      </c>
      <c r="D57" s="37" t="s">
        <v>2124</v>
      </c>
      <c r="E57" s="34" t="s">
        <v>2125</v>
      </c>
      <c r="F57" s="38" t="s">
        <v>2126</v>
      </c>
      <c r="G57" s="34" t="s">
        <v>2127</v>
      </c>
      <c r="H57" s="34" t="s">
        <v>163</v>
      </c>
      <c r="K57" s="34" t="s">
        <v>69</v>
      </c>
      <c r="M57" s="34" t="s">
        <v>97</v>
      </c>
      <c r="N57" s="34" t="s">
        <v>156</v>
      </c>
      <c r="O57" s="34" t="s">
        <v>157</v>
      </c>
      <c r="P57" s="34" t="s">
        <v>158</v>
      </c>
      <c r="Q57" s="34">
        <v>3.0</v>
      </c>
      <c r="S57" s="40" t="s">
        <v>134</v>
      </c>
      <c r="U57" s="38" t="s">
        <v>2128</v>
      </c>
    </row>
    <row r="58" ht="27.0" customFormat="1" s="34">
      <c r="A58" s="36">
        <v>46127</v>
      </c>
      <c r="B58" s="34" t="s">
        <v>34</v>
      </c>
      <c r="C58" s="34" t="s">
        <v>88</v>
      </c>
      <c r="D58" s="37" t="s">
        <v>2129</v>
      </c>
      <c r="E58" s="34" t="s">
        <v>1357</v>
      </c>
      <c r="F58" s="38" t="s">
        <v>1358</v>
      </c>
      <c r="G58" s="34" t="s">
        <v>2130</v>
      </c>
      <c r="H58" s="34" t="s">
        <v>163</v>
      </c>
      <c r="K58" s="34" t="s">
        <v>95</v>
      </c>
      <c r="M58" s="34" t="s">
        <v>83</v>
      </c>
      <c r="N58" s="34" t="s">
        <v>309</v>
      </c>
      <c r="O58" s="34" t="s">
        <v>133</v>
      </c>
      <c r="P58" s="34" t="s">
        <v>11</v>
      </c>
      <c r="Q58" s="34">
        <v>15.0</v>
      </c>
      <c r="S58" s="40" t="s">
        <v>99</v>
      </c>
      <c r="V58" s="34" t="s">
        <v>2131</v>
      </c>
    </row>
    <row r="59" customHeight="1" ht="14.0">
      <c r="A59" s="36">
        <v>46127</v>
      </c>
      <c r="B59" s="34" t="s">
        <v>34</v>
      </c>
      <c r="C59" s="34" t="s">
        <v>63</v>
      </c>
      <c r="D59" s="37" t="s">
        <v>2132</v>
      </c>
      <c r="E59" s="34" t="s">
        <v>2133</v>
      </c>
      <c r="F59" s="38" t="s">
        <v>2134</v>
      </c>
      <c r="G59" s="34" t="s">
        <v>2135</v>
      </c>
      <c r="H59" s="34" t="s">
        <v>2136</v>
      </c>
      <c r="I59" s="34" t="s">
        <v>2137</v>
      </c>
      <c r="K59" s="34" t="s">
        <v>95</v>
      </c>
      <c r="L59" s="38" t="s">
        <v>2138</v>
      </c>
      <c r="M59" s="34" t="s">
        <v>117</v>
      </c>
      <c r="N59" s="34" t="s">
        <v>71</v>
      </c>
      <c r="O59" s="34" t="s">
        <v>98</v>
      </c>
      <c r="P59" s="34" t="s">
        <v>10</v>
      </c>
      <c r="Q59" s="34">
        <v>80.0</v>
      </c>
      <c r="S59" s="40" t="s">
        <v>2139</v>
      </c>
      <c r="U59" s="38" t="s">
        <v>2140</v>
      </c>
      <c r="V59" s="34" t="s">
        <v>2141</v>
      </c>
      <c r="W59" s="38" t="s">
        <v>2142</v>
      </c>
    </row>
    <row hidden="1" r="60" ht="15.0">
      <c r="A60" s="36">
        <v>46127</v>
      </c>
      <c r="B60" s="34" t="s">
        <v>34</v>
      </c>
      <c r="C60" s="34" t="s">
        <v>108</v>
      </c>
      <c r="D60" s="37" t="s">
        <v>2143</v>
      </c>
      <c r="E60" s="34" t="s">
        <v>893</v>
      </c>
      <c r="F60" s="38" t="s">
        <v>2144</v>
      </c>
      <c r="G60" s="34" t="s">
        <v>2145</v>
      </c>
      <c r="I60" s="34" t="s">
        <v>266</v>
      </c>
      <c r="K60" s="34" t="s">
        <v>69</v>
      </c>
      <c r="L60" s="34" t="s">
        <v>681</v>
      </c>
      <c r="M60" s="34" t="s">
        <v>97</v>
      </c>
      <c r="N60" s="34" t="s">
        <v>882</v>
      </c>
      <c r="O60" s="34" t="s">
        <v>893</v>
      </c>
      <c r="P60" s="34" t="s">
        <v>893</v>
      </c>
      <c r="S60" s="40"/>
      <c r="V60" s="34" t="s">
        <v>2146</v>
      </c>
    </row>
    <row r="61" ht="41.0">
      <c r="A61" s="36">
        <v>46128</v>
      </c>
      <c r="B61" s="34" t="s">
        <v>36</v>
      </c>
      <c r="C61" s="34" t="s">
        <v>88</v>
      </c>
      <c r="D61" s="37" t="s">
        <v>2147</v>
      </c>
      <c r="E61" s="34" t="s">
        <v>2148</v>
      </c>
      <c r="F61" s="38" t="s">
        <v>2149</v>
      </c>
      <c r="G61" s="34" t="s">
        <v>2150</v>
      </c>
      <c r="H61" s="34" t="s">
        <v>2151</v>
      </c>
      <c r="K61" s="34" t="s">
        <v>95</v>
      </c>
      <c r="L61" s="38" t="s">
        <v>2152</v>
      </c>
      <c r="M61" s="34" t="s">
        <v>117</v>
      </c>
      <c r="N61" s="34" t="s">
        <v>71</v>
      </c>
      <c r="O61" s="34" t="s">
        <v>133</v>
      </c>
      <c r="P61" s="34" t="s">
        <v>11</v>
      </c>
      <c r="Q61" s="34">
        <v>150.0</v>
      </c>
      <c r="S61" s="40" t="s">
        <v>127</v>
      </c>
      <c r="U61" s="34" t="s">
        <v>2153</v>
      </c>
      <c r="V61" s="34" t="s">
        <v>2154</v>
      </c>
      <c r="W61" s="38" t="s">
        <v>2155</v>
      </c>
    </row>
    <row hidden="1" r="62" ht="41.0">
      <c r="A62" s="36">
        <v>46128</v>
      </c>
      <c r="B62" s="34" t="s">
        <v>37</v>
      </c>
      <c r="C62" s="34" t="s">
        <v>108</v>
      </c>
      <c r="D62" s="37" t="s">
        <v>2156</v>
      </c>
      <c r="E62" s="34" t="s">
        <v>2157</v>
      </c>
      <c r="F62" s="38" t="s">
        <v>2158</v>
      </c>
      <c r="G62" s="34" t="s">
        <v>2159</v>
      </c>
      <c r="K62" s="34" t="s">
        <v>69</v>
      </c>
      <c r="L62" s="34" t="s">
        <v>681</v>
      </c>
      <c r="M62" s="34" t="s">
        <v>97</v>
      </c>
      <c r="N62" s="34" t="s">
        <v>71</v>
      </c>
      <c r="O62" s="34" t="s">
        <v>98</v>
      </c>
      <c r="P62" s="34" t="s">
        <v>395</v>
      </c>
      <c r="S62" s="40"/>
    </row>
    <row r="63" customHeight="1" ht="39.0">
      <c r="A63" s="36">
        <v>46129</v>
      </c>
      <c r="B63" s="34" t="s">
        <v>34</v>
      </c>
      <c r="C63" s="34" t="s">
        <v>108</v>
      </c>
      <c r="D63" s="37" t="s">
        <v>2160</v>
      </c>
      <c r="E63" s="34" t="s">
        <v>2161</v>
      </c>
      <c r="F63" s="38" t="s">
        <v>2162</v>
      </c>
      <c r="G63" s="34" t="s">
        <v>2163</v>
      </c>
      <c r="H63" s="34" t="s">
        <v>163</v>
      </c>
      <c r="I63" s="34" t="s">
        <v>266</v>
      </c>
      <c r="K63" s="34" t="s">
        <v>95</v>
      </c>
      <c r="L63" s="34" t="s">
        <v>681</v>
      </c>
      <c r="M63" s="34" t="s">
        <v>97</v>
      </c>
      <c r="N63" s="34" t="s">
        <v>71</v>
      </c>
      <c r="O63" s="34" t="s">
        <v>98</v>
      </c>
      <c r="P63" s="34" t="s">
        <v>10</v>
      </c>
      <c r="Q63" s="34">
        <v>3.0</v>
      </c>
      <c r="S63" s="40" t="s">
        <v>134</v>
      </c>
      <c r="U63" s="34" t="s">
        <v>2164</v>
      </c>
      <c r="V63" s="34" t="s">
        <v>2165</v>
      </c>
    </row>
    <row hidden="1" r="64" ht="55.0">
      <c r="A64" s="36">
        <v>46129</v>
      </c>
      <c r="B64" s="34" t="s">
        <v>34</v>
      </c>
      <c r="C64" s="34" t="s">
        <v>63</v>
      </c>
      <c r="D64" s="37" t="s">
        <v>1719</v>
      </c>
      <c r="E64" s="34" t="s">
        <v>2166</v>
      </c>
      <c r="F64" s="38" t="s">
        <v>1721</v>
      </c>
      <c r="G64" s="34" t="s">
        <v>2167</v>
      </c>
      <c r="H64" s="34" t="s">
        <v>2168</v>
      </c>
      <c r="K64" s="34" t="s">
        <v>173</v>
      </c>
      <c r="M64" s="34" t="s">
        <v>97</v>
      </c>
      <c r="N64" s="34" t="s">
        <v>309</v>
      </c>
      <c r="O64" s="34" t="s">
        <v>72</v>
      </c>
      <c r="P64" s="34" t="s">
        <v>158</v>
      </c>
      <c r="Q64" s="34">
        <v>100.0</v>
      </c>
      <c r="S64" s="40" t="s">
        <v>127</v>
      </c>
      <c r="U64" s="34" t="s">
        <v>2169</v>
      </c>
      <c r="W64" s="38" t="s">
        <v>2170</v>
      </c>
    </row>
    <row r="65" ht="15.0">
      <c r="A65" s="36">
        <v>46129</v>
      </c>
      <c r="B65" s="34" t="s">
        <v>34</v>
      </c>
      <c r="C65" s="34" t="s">
        <v>63</v>
      </c>
      <c r="D65" s="37" t="s">
        <v>2171</v>
      </c>
      <c r="K65" s="34" t="s">
        <v>69</v>
      </c>
      <c r="M65" s="34" t="s">
        <v>97</v>
      </c>
      <c r="N65" s="34"/>
      <c r="O65" s="34" t="s">
        <v>98</v>
      </c>
      <c r="P65" s="34" t="s">
        <v>11</v>
      </c>
      <c r="S65" s="40" t="s">
        <v>73</v>
      </c>
    </row>
    <row r="66" ht="15.0">
      <c r="A66" s="36">
        <v>46129</v>
      </c>
      <c r="B66" s="34" t="s">
        <v>34</v>
      </c>
      <c r="C66" s="34" t="s">
        <v>63</v>
      </c>
      <c r="D66" s="37" t="s">
        <v>2172</v>
      </c>
      <c r="E66" s="34" t="s">
        <v>2173</v>
      </c>
      <c r="F66" s="1"/>
      <c r="G66" s="1"/>
      <c r="H66" s="1"/>
      <c r="I66" s="1"/>
      <c r="K66" s="34" t="s">
        <v>69</v>
      </c>
      <c r="M66" s="34" t="s">
        <v>117</v>
      </c>
      <c r="N66" s="34"/>
      <c r="O66" s="34" t="s">
        <v>72</v>
      </c>
      <c r="P66" s="34" t="s">
        <v>11</v>
      </c>
      <c r="S66" s="40" t="s">
        <v>73</v>
      </c>
    </row>
    <row hidden="1" r="67" ht="27.0">
      <c r="A67" s="36">
        <v>46129</v>
      </c>
      <c r="B67" s="34" t="s">
        <v>34</v>
      </c>
      <c r="C67" s="34" t="s">
        <v>108</v>
      </c>
      <c r="D67" s="37" t="s">
        <v>2174</v>
      </c>
      <c r="E67" s="34" t="s">
        <v>2175</v>
      </c>
      <c r="F67" s="38" t="s">
        <v>2176</v>
      </c>
      <c r="G67" s="34" t="s">
        <v>2177</v>
      </c>
      <c r="H67" s="34" t="s">
        <v>163</v>
      </c>
      <c r="I67" s="34" t="s">
        <v>351</v>
      </c>
      <c r="K67" s="34" t="s">
        <v>115</v>
      </c>
      <c r="L67" s="38" t="s">
        <v>2178</v>
      </c>
      <c r="M67" s="34" t="s">
        <v>97</v>
      </c>
      <c r="N67" s="34" t="s">
        <v>71</v>
      </c>
      <c r="O67" s="34" t="s">
        <v>84</v>
      </c>
      <c r="P67" s="34" t="s">
        <v>9</v>
      </c>
      <c r="Q67" s="34">
        <v>12.0</v>
      </c>
      <c r="S67" s="40" t="s">
        <v>134</v>
      </c>
      <c r="U67" s="38" t="s">
        <v>2179</v>
      </c>
    </row>
    <row r="68" ht="96.0">
      <c r="A68" s="36">
        <v>46129</v>
      </c>
      <c r="B68" s="34" t="s">
        <v>34</v>
      </c>
      <c r="C68" s="34" t="s">
        <v>108</v>
      </c>
      <c r="D68" s="37" t="s">
        <v>2180</v>
      </c>
      <c r="E68" s="34" t="s">
        <v>517</v>
      </c>
      <c r="F68" s="38" t="s">
        <v>2181</v>
      </c>
      <c r="G68" s="34" t="s">
        <v>2182</v>
      </c>
      <c r="H68" s="34" t="s">
        <v>163</v>
      </c>
      <c r="I68" s="34" t="s">
        <v>1850</v>
      </c>
      <c r="J68" s="34" t="s">
        <v>2183</v>
      </c>
      <c r="K68" s="34" t="s">
        <v>125</v>
      </c>
      <c r="L68" s="34" t="s">
        <v>681</v>
      </c>
      <c r="M68" s="34" t="s">
        <v>97</v>
      </c>
      <c r="N68" s="34" t="s">
        <v>71</v>
      </c>
      <c r="O68" s="34" t="s">
        <v>84</v>
      </c>
      <c r="P68" s="34" t="s">
        <v>11</v>
      </c>
      <c r="Q68" s="34">
        <v>19.0</v>
      </c>
      <c r="S68" s="40" t="s">
        <v>134</v>
      </c>
      <c r="U68" s="38" t="s">
        <v>2184</v>
      </c>
      <c r="V68" s="34" t="s">
        <v>2185</v>
      </c>
    </row>
    <row hidden="1" r="69" ht="82.0">
      <c r="A69" s="36">
        <v>46132</v>
      </c>
      <c r="B69" s="34" t="s">
        <v>34</v>
      </c>
      <c r="C69" s="34" t="s">
        <v>88</v>
      </c>
      <c r="D69" s="37" t="s">
        <v>2186</v>
      </c>
      <c r="E69" s="34" t="s">
        <v>2187</v>
      </c>
      <c r="F69" s="38" t="s">
        <v>2188</v>
      </c>
      <c r="G69" s="34" t="s">
        <v>2189</v>
      </c>
      <c r="H69" s="34" t="s">
        <v>163</v>
      </c>
      <c r="I69" s="34" t="s">
        <v>702</v>
      </c>
      <c r="J69" s="34" t="s">
        <v>1960</v>
      </c>
      <c r="K69" s="34" t="s">
        <v>125</v>
      </c>
      <c r="L69" s="38" t="s">
        <v>2190</v>
      </c>
      <c r="M69" s="34" t="s">
        <v>117</v>
      </c>
      <c r="N69" s="34" t="s">
        <v>71</v>
      </c>
      <c r="O69" s="34" t="s">
        <v>84</v>
      </c>
      <c r="P69" s="34" t="s">
        <v>9</v>
      </c>
      <c r="Q69" s="34">
        <v>7.0</v>
      </c>
      <c r="R69" s="44">
        <v>8316.0</v>
      </c>
      <c r="S69" s="40" t="s">
        <v>2191</v>
      </c>
      <c r="T69" s="34" t="s">
        <v>2192</v>
      </c>
      <c r="U69" s="38" t="s">
        <v>2193</v>
      </c>
    </row>
    <row hidden="1" r="70" ht="55.0">
      <c r="A70" s="36">
        <v>46132</v>
      </c>
      <c r="B70" s="34" t="s">
        <v>37</v>
      </c>
      <c r="C70" s="34" t="s">
        <v>88</v>
      </c>
      <c r="D70" s="37" t="s">
        <v>2194</v>
      </c>
      <c r="E70" s="34" t="s">
        <v>2195</v>
      </c>
      <c r="F70" s="38" t="s">
        <v>2196</v>
      </c>
      <c r="G70" s="34" t="s">
        <v>2197</v>
      </c>
      <c r="H70" s="34" t="s">
        <v>163</v>
      </c>
      <c r="I70" s="34" t="s">
        <v>140</v>
      </c>
      <c r="K70" s="34" t="s">
        <v>173</v>
      </c>
      <c r="L70" s="34" t="s">
        <v>681</v>
      </c>
      <c r="M70" s="34" t="s">
        <v>97</v>
      </c>
      <c r="N70" s="34" t="s">
        <v>71</v>
      </c>
      <c r="O70" s="34" t="s">
        <v>84</v>
      </c>
      <c r="P70" s="34" t="s">
        <v>9</v>
      </c>
      <c r="Q70" s="34">
        <v>11.0</v>
      </c>
      <c r="S70" s="40" t="s">
        <v>134</v>
      </c>
      <c r="U70" s="34" t="s">
        <v>456</v>
      </c>
    </row>
    <row hidden="1" r="71" ht="66.0" customFormat="1" s="34">
      <c r="A71" s="36">
        <v>46132</v>
      </c>
      <c r="B71" s="34" t="s">
        <v>34</v>
      </c>
      <c r="C71" s="34" t="s">
        <v>88</v>
      </c>
      <c r="D71" s="37" t="s">
        <v>1628</v>
      </c>
      <c r="E71" s="34" t="s">
        <v>1629</v>
      </c>
      <c r="F71" s="38" t="s">
        <v>1630</v>
      </c>
      <c r="G71" s="34" t="s">
        <v>2198</v>
      </c>
      <c r="H71" s="34" t="s">
        <v>163</v>
      </c>
      <c r="I71" s="34" t="s">
        <v>1633</v>
      </c>
      <c r="K71" s="34" t="s">
        <v>125</v>
      </c>
      <c r="L71" s="38" t="s">
        <v>1634</v>
      </c>
      <c r="M71" s="34" t="s">
        <v>83</v>
      </c>
      <c r="N71" s="34" t="s">
        <v>309</v>
      </c>
      <c r="O71" s="34" t="s">
        <v>84</v>
      </c>
      <c r="P71" s="34" t="s">
        <v>9</v>
      </c>
      <c r="Q71" s="34">
        <v>6.0</v>
      </c>
      <c r="R71" s="44">
        <v>1020.0</v>
      </c>
      <c r="S71" s="40" t="s">
        <v>134</v>
      </c>
      <c r="U71" s="34" t="s">
        <v>456</v>
      </c>
      <c r="V71" s="64" t="s">
        <v>1636</v>
      </c>
    </row>
    <row hidden="1" r="72" ht="27.0">
      <c r="A72" s="36">
        <v>46132</v>
      </c>
      <c r="B72" s="34" t="s">
        <v>34</v>
      </c>
      <c r="C72" s="34" t="s">
        <v>108</v>
      </c>
      <c r="D72" s="37" t="s">
        <v>1846</v>
      </c>
      <c r="E72" s="34" t="s">
        <v>517</v>
      </c>
      <c r="F72" s="38" t="s">
        <v>1848</v>
      </c>
      <c r="G72" s="34" t="s">
        <v>1871</v>
      </c>
      <c r="H72" s="34" t="s">
        <v>163</v>
      </c>
      <c r="I72" s="34" t="s">
        <v>1850</v>
      </c>
      <c r="J72" s="34" t="s">
        <v>2199</v>
      </c>
      <c r="K72" s="34" t="s">
        <v>125</v>
      </c>
      <c r="L72" s="38" t="s">
        <v>2200</v>
      </c>
      <c r="M72" s="34" t="s">
        <v>117</v>
      </c>
      <c r="N72" s="34" t="s">
        <v>309</v>
      </c>
      <c r="O72" s="34" t="s">
        <v>84</v>
      </c>
      <c r="P72" s="34" t="s">
        <v>9</v>
      </c>
      <c r="Q72" s="34">
        <v>10.0</v>
      </c>
      <c r="S72" s="40" t="s">
        <v>127</v>
      </c>
      <c r="U72" s="38" t="s">
        <v>2201</v>
      </c>
    </row>
    <row hidden="1" r="73" ht="15.0">
      <c r="A73" s="36">
        <v>46132</v>
      </c>
      <c r="B73" s="34" t="s">
        <v>34</v>
      </c>
      <c r="C73" s="34" t="s">
        <v>108</v>
      </c>
      <c r="D73" s="34" t="s">
        <v>2107</v>
      </c>
      <c r="E73" s="34" t="s">
        <v>2064</v>
      </c>
      <c r="F73" s="38" t="s">
        <v>2109</v>
      </c>
      <c r="G73" s="34" t="s">
        <v>1871</v>
      </c>
      <c r="H73" s="34" t="s">
        <v>163</v>
      </c>
      <c r="K73" s="34" t="s">
        <v>125</v>
      </c>
      <c r="L73" s="38" t="s">
        <v>2202</v>
      </c>
      <c r="M73" s="34" t="s">
        <v>117</v>
      </c>
      <c r="N73" s="34" t="s">
        <v>309</v>
      </c>
      <c r="O73" s="34" t="s">
        <v>84</v>
      </c>
      <c r="P73" s="34" t="s">
        <v>9</v>
      </c>
      <c r="Q73" s="34">
        <v>3.0</v>
      </c>
      <c r="S73" s="40" t="s">
        <v>134</v>
      </c>
      <c r="U73" s="34" t="s">
        <v>456</v>
      </c>
    </row>
    <row r="74" ht="27.0">
      <c r="A74" s="36">
        <v>46133</v>
      </c>
      <c r="B74" s="34" t="s">
        <v>34</v>
      </c>
      <c r="C74" s="34" t="s">
        <v>88</v>
      </c>
      <c r="D74" s="37" t="s">
        <v>2203</v>
      </c>
      <c r="E74" s="34" t="s">
        <v>517</v>
      </c>
      <c r="F74" s="38" t="s">
        <v>2204</v>
      </c>
      <c r="G74" s="34" t="s">
        <v>2205</v>
      </c>
      <c r="H74" s="34" t="s">
        <v>163</v>
      </c>
      <c r="I74" s="34" t="s">
        <v>2206</v>
      </c>
      <c r="K74" s="34" t="s">
        <v>95</v>
      </c>
      <c r="L74" s="38" t="s">
        <v>2207</v>
      </c>
      <c r="M74" s="34" t="s">
        <v>117</v>
      </c>
      <c r="N74" s="34" t="s">
        <v>71</v>
      </c>
      <c r="O74" s="34" t="s">
        <v>133</v>
      </c>
      <c r="P74" s="34" t="s">
        <v>10</v>
      </c>
      <c r="Q74" s="34">
        <v>11.0</v>
      </c>
      <c r="S74" s="40"/>
      <c r="U74" s="38" t="s">
        <v>2208</v>
      </c>
      <c r="V74" s="34" t="s">
        <v>2209</v>
      </c>
    </row>
    <row hidden="1" r="75" ht="27.0">
      <c r="A75" s="36">
        <v>46133</v>
      </c>
      <c r="B75" s="34" t="s">
        <v>36</v>
      </c>
      <c r="C75" s="34" t="s">
        <v>108</v>
      </c>
      <c r="D75" s="37" t="s">
        <v>895</v>
      </c>
      <c r="E75" s="34" t="s">
        <v>2210</v>
      </c>
      <c r="F75" s="38" t="s">
        <v>896</v>
      </c>
      <c r="G75" s="34" t="s">
        <v>1907</v>
      </c>
      <c r="H75" s="34" t="s">
        <v>163</v>
      </c>
      <c r="K75" s="34" t="s">
        <v>69</v>
      </c>
      <c r="M75" s="34" t="s">
        <v>97</v>
      </c>
      <c r="N75" s="34" t="s">
        <v>156</v>
      </c>
      <c r="O75" s="34" t="s">
        <v>157</v>
      </c>
      <c r="P75" s="34" t="s">
        <v>158</v>
      </c>
      <c r="S75" s="40"/>
    </row>
    <row r="76" ht="27.0">
      <c r="A76" s="36">
        <v>46133</v>
      </c>
      <c r="B76" s="34" t="s">
        <v>34</v>
      </c>
      <c r="C76" s="34" t="s">
        <v>63</v>
      </c>
      <c r="D76" s="37" t="s">
        <v>2211</v>
      </c>
      <c r="E76" s="34" t="s">
        <v>2212</v>
      </c>
      <c r="F76" s="38" t="s">
        <v>2213</v>
      </c>
      <c r="G76" s="34" t="s">
        <v>2214</v>
      </c>
      <c r="I76" s="34" t="s">
        <v>1805</v>
      </c>
      <c r="J76" s="34" t="s">
        <v>1806</v>
      </c>
      <c r="K76" s="34" t="s">
        <v>95</v>
      </c>
      <c r="M76" s="34" t="s">
        <v>97</v>
      </c>
      <c r="N76" s="34" t="s">
        <v>71</v>
      </c>
      <c r="O76" s="34" t="s">
        <v>84</v>
      </c>
      <c r="P76" s="34" t="s">
        <v>10</v>
      </c>
      <c r="Q76" s="34">
        <v>3.0</v>
      </c>
      <c r="S76" s="40" t="s">
        <v>127</v>
      </c>
      <c r="T76" s="34" t="s">
        <v>2215</v>
      </c>
      <c r="U76" s="38" t="s">
        <v>2216</v>
      </c>
      <c r="V76" s="34" t="s">
        <v>2217</v>
      </c>
    </row>
    <row r="77" ht="82.0">
      <c r="A77" s="36">
        <v>46134</v>
      </c>
      <c r="B77" s="34" t="s">
        <v>34</v>
      </c>
      <c r="C77" s="34" t="s">
        <v>63</v>
      </c>
      <c r="D77" s="37" t="s">
        <v>1925</v>
      </c>
      <c r="E77" s="34" t="s">
        <v>2010</v>
      </c>
      <c r="F77" s="38" t="s">
        <v>2218</v>
      </c>
      <c r="G77" s="34" t="s">
        <v>2219</v>
      </c>
      <c r="H77" s="34" t="s">
        <v>2220</v>
      </c>
      <c r="K77" s="34" t="s">
        <v>173</v>
      </c>
      <c r="M77" s="34" t="s">
        <v>70</v>
      </c>
      <c r="N77" s="34" t="s">
        <v>309</v>
      </c>
      <c r="O77" s="34" t="s">
        <v>98</v>
      </c>
      <c r="P77" s="34" t="s">
        <v>11</v>
      </c>
      <c r="S77" s="40"/>
    </row>
    <row r="78" ht="68.0">
      <c r="A78" s="36">
        <v>46134</v>
      </c>
      <c r="B78" s="34" t="s">
        <v>39</v>
      </c>
      <c r="C78" s="34" t="s">
        <v>108</v>
      </c>
      <c r="D78" s="37" t="s">
        <v>2221</v>
      </c>
      <c r="E78" s="34" t="s">
        <v>2222</v>
      </c>
      <c r="F78" s="38" t="s">
        <v>2223</v>
      </c>
      <c r="G78" s="34" t="s">
        <v>2224</v>
      </c>
      <c r="H78" s="34" t="s">
        <v>163</v>
      </c>
      <c r="J78" s="34" t="s">
        <v>874</v>
      </c>
      <c r="K78" s="34" t="s">
        <v>125</v>
      </c>
      <c r="L78" s="38" t="s">
        <v>2225</v>
      </c>
      <c r="M78" s="34" t="s">
        <v>83</v>
      </c>
      <c r="N78" s="34" t="s">
        <v>71</v>
      </c>
      <c r="O78" s="34" t="s">
        <v>98</v>
      </c>
      <c r="P78" s="34" t="s">
        <v>9</v>
      </c>
      <c r="Q78" s="34">
        <v>3.0</v>
      </c>
      <c r="S78" s="40" t="s">
        <v>99</v>
      </c>
      <c r="U78" s="38" t="s">
        <v>2226</v>
      </c>
      <c r="V78" s="34" t="s">
        <v>2062</v>
      </c>
    </row>
    <row hidden="1" r="79" ht="55.0">
      <c r="A79" s="36">
        <v>46134</v>
      </c>
      <c r="B79" s="34" t="s">
        <v>35</v>
      </c>
      <c r="C79" s="34" t="s">
        <v>108</v>
      </c>
      <c r="D79" s="37" t="s">
        <v>2227</v>
      </c>
      <c r="E79" s="34" t="s">
        <v>438</v>
      </c>
      <c r="F79" s="38" t="s">
        <v>2228</v>
      </c>
      <c r="G79" s="34" t="s">
        <v>2229</v>
      </c>
      <c r="H79" s="34" t="s">
        <v>2230</v>
      </c>
      <c r="I79" s="34" t="s">
        <v>163</v>
      </c>
      <c r="K79" s="34" t="s">
        <v>69</v>
      </c>
      <c r="L79" s="34" t="s">
        <v>681</v>
      </c>
      <c r="M79" s="34" t="s">
        <v>97</v>
      </c>
      <c r="N79" s="34" t="s">
        <v>71</v>
      </c>
      <c r="O79" s="34" t="s">
        <v>98</v>
      </c>
      <c r="P79" s="34" t="s">
        <v>395</v>
      </c>
      <c r="Q79" s="43"/>
      <c r="S79" s="40"/>
      <c r="U79" s="34" t="s">
        <v>456</v>
      </c>
      <c r="W79" s="38" t="s">
        <v>2231</v>
      </c>
    </row>
    <row r="80" ht="41.0">
      <c r="A80" s="36">
        <v>46135</v>
      </c>
      <c r="B80" s="34" t="s">
        <v>34</v>
      </c>
      <c r="C80" s="34" t="s">
        <v>88</v>
      </c>
      <c r="D80" s="37" t="s">
        <v>2232</v>
      </c>
      <c r="E80" s="34" t="s">
        <v>517</v>
      </c>
      <c r="F80" s="38" t="s">
        <v>2233</v>
      </c>
      <c r="G80" s="34" t="s">
        <v>2234</v>
      </c>
      <c r="H80" s="34" t="s">
        <v>163</v>
      </c>
      <c r="I80" s="34" t="s">
        <v>266</v>
      </c>
      <c r="K80" s="34" t="s">
        <v>125</v>
      </c>
      <c r="L80" s="34" t="s">
        <v>681</v>
      </c>
      <c r="M80" s="34" t="s">
        <v>97</v>
      </c>
      <c r="N80" s="34" t="s">
        <v>71</v>
      </c>
      <c r="O80" s="34" t="s">
        <v>98</v>
      </c>
      <c r="P80" s="34" t="s">
        <v>10</v>
      </c>
      <c r="Q80" s="34">
        <v>10.0</v>
      </c>
      <c r="S80" s="40"/>
      <c r="U80" s="38" t="s">
        <v>2235</v>
      </c>
      <c r="V80" s="34" t="s">
        <v>2236</v>
      </c>
    </row>
    <row hidden="1" r="81" ht="41.0">
      <c r="A81" s="36">
        <v>46135</v>
      </c>
      <c r="B81" s="34" t="s">
        <v>35</v>
      </c>
      <c r="C81" s="34" t="s">
        <v>108</v>
      </c>
      <c r="D81" s="37" t="s">
        <v>2237</v>
      </c>
      <c r="E81" s="34" t="s">
        <v>302</v>
      </c>
      <c r="F81" s="38" t="s">
        <v>2238</v>
      </c>
      <c r="G81" s="34" t="s">
        <v>2239</v>
      </c>
      <c r="H81" s="34" t="s">
        <v>163</v>
      </c>
      <c r="I81" s="34" t="s">
        <v>2240</v>
      </c>
      <c r="J81" s="34" t="s">
        <v>874</v>
      </c>
      <c r="K81" s="34" t="s">
        <v>125</v>
      </c>
      <c r="L81" s="34" t="s">
        <v>681</v>
      </c>
      <c r="M81" s="34" t="s">
        <v>97</v>
      </c>
      <c r="N81" s="34" t="s">
        <v>71</v>
      </c>
      <c r="O81" s="34" t="s">
        <v>84</v>
      </c>
      <c r="P81" s="34" t="s">
        <v>9</v>
      </c>
      <c r="Q81" s="34">
        <v>3.0</v>
      </c>
      <c r="S81" s="40" t="s">
        <v>127</v>
      </c>
      <c r="U81" s="38" t="s">
        <v>2241</v>
      </c>
    </row>
    <row r="82" ht="55.0">
      <c r="A82" s="36">
        <v>46136</v>
      </c>
      <c r="B82" s="34" t="s">
        <v>34</v>
      </c>
      <c r="C82" s="34" t="s">
        <v>88</v>
      </c>
      <c r="D82" s="37" t="s">
        <v>2242</v>
      </c>
      <c r="E82" s="34" t="s">
        <v>170</v>
      </c>
      <c r="F82" s="38" t="s">
        <v>2243</v>
      </c>
      <c r="G82" s="34" t="s">
        <v>2244</v>
      </c>
      <c r="H82" s="34" t="s">
        <v>2245</v>
      </c>
      <c r="I82" s="47" t="s">
        <v>266</v>
      </c>
      <c r="J82" s="34" t="s">
        <v>1987</v>
      </c>
      <c r="K82" s="34" t="s">
        <v>95</v>
      </c>
      <c r="L82" s="34" t="s">
        <v>681</v>
      </c>
      <c r="M82" s="34" t="s">
        <v>97</v>
      </c>
      <c r="N82" s="34" t="s">
        <v>71</v>
      </c>
      <c r="O82" s="34" t="s">
        <v>98</v>
      </c>
      <c r="P82" s="34" t="s">
        <v>10</v>
      </c>
      <c r="Q82" s="43">
        <v>46240</v>
      </c>
      <c r="S82" s="40"/>
      <c r="U82" s="38" t="s">
        <v>2246</v>
      </c>
      <c r="V82" s="34" t="s">
        <v>2247</v>
      </c>
      <c r="W82" s="38" t="s">
        <v>2248</v>
      </c>
    </row>
    <row r="83" ht="55.0">
      <c r="A83" s="36">
        <v>46136</v>
      </c>
      <c r="B83" s="34" t="s">
        <v>34</v>
      </c>
      <c r="C83" s="34" t="s">
        <v>108</v>
      </c>
      <c r="D83" s="37" t="s">
        <v>2249</v>
      </c>
      <c r="E83" s="34" t="s">
        <v>438</v>
      </c>
      <c r="F83" s="38" t="s">
        <v>2250</v>
      </c>
      <c r="G83" s="34" t="s">
        <v>2251</v>
      </c>
      <c r="H83" s="34" t="s">
        <v>163</v>
      </c>
      <c r="K83" s="34" t="s">
        <v>95</v>
      </c>
      <c r="L83" s="38" t="s">
        <v>2252</v>
      </c>
      <c r="M83" s="34" t="s">
        <v>83</v>
      </c>
      <c r="N83" s="34" t="s">
        <v>71</v>
      </c>
      <c r="O83" s="34" t="s">
        <v>84</v>
      </c>
      <c r="P83" s="34" t="s">
        <v>10</v>
      </c>
      <c r="Q83" s="34" t="s">
        <v>2253</v>
      </c>
      <c r="S83" s="40"/>
      <c r="U83" s="38" t="s">
        <v>2254</v>
      </c>
      <c r="V83" s="34" t="s">
        <v>2255</v>
      </c>
    </row>
    <row r="84" ht="41.0">
      <c r="A84" s="36">
        <v>46139</v>
      </c>
      <c r="B84" s="34" t="s">
        <v>34</v>
      </c>
      <c r="C84" s="34" t="s">
        <v>88</v>
      </c>
      <c r="D84" s="37" t="s">
        <v>2256</v>
      </c>
      <c r="E84" s="34" t="s">
        <v>2257</v>
      </c>
      <c r="F84" s="38" t="s">
        <v>2258</v>
      </c>
      <c r="G84" s="34" t="s">
        <v>2259</v>
      </c>
      <c r="H84" s="34" t="s">
        <v>2260</v>
      </c>
      <c r="I84" s="34" t="s">
        <v>266</v>
      </c>
      <c r="K84" s="34" t="s">
        <v>125</v>
      </c>
      <c r="L84" s="34" t="s">
        <v>681</v>
      </c>
      <c r="M84" s="34" t="s">
        <v>97</v>
      </c>
      <c r="N84" s="34" t="s">
        <v>71</v>
      </c>
      <c r="O84" s="34" t="s">
        <v>98</v>
      </c>
      <c r="P84" s="34" t="s">
        <v>10</v>
      </c>
      <c r="Q84" s="34">
        <v>7.0</v>
      </c>
      <c r="S84" s="40"/>
      <c r="U84" s="38" t="s">
        <v>2261</v>
      </c>
      <c r="V84" s="34" t="s">
        <v>2262</v>
      </c>
      <c r="W84" s="38" t="s">
        <v>2263</v>
      </c>
    </row>
    <row hidden="1" r="85" ht="68.0">
      <c r="A85" s="36">
        <v>46139</v>
      </c>
      <c r="B85" s="34" t="s">
        <v>36</v>
      </c>
      <c r="C85" s="34" t="s">
        <v>88</v>
      </c>
      <c r="D85" s="37" t="s">
        <v>2264</v>
      </c>
      <c r="E85" s="34" t="s">
        <v>885</v>
      </c>
      <c r="F85" s="38" t="s">
        <v>646</v>
      </c>
      <c r="G85" s="34" t="s">
        <v>2265</v>
      </c>
      <c r="H85" s="34" t="s">
        <v>163</v>
      </c>
      <c r="J85" s="34" t="s">
        <v>2266</v>
      </c>
      <c r="K85" s="34" t="s">
        <v>95</v>
      </c>
      <c r="L85" s="38" t="s">
        <v>2267</v>
      </c>
      <c r="M85" s="34" t="s">
        <v>117</v>
      </c>
      <c r="N85" s="34" t="s">
        <v>882</v>
      </c>
      <c r="O85" s="34" t="s">
        <v>893</v>
      </c>
      <c r="P85" s="34" t="s">
        <v>395</v>
      </c>
      <c r="Q85" s="34">
        <v>10.0</v>
      </c>
      <c r="S85" s="40"/>
      <c r="T85" s="34" t="s">
        <v>2268</v>
      </c>
      <c r="U85" s="38" t="s">
        <v>2269</v>
      </c>
    </row>
    <row hidden="1" r="86" ht="27.0">
      <c r="A86" s="36">
        <v>46139</v>
      </c>
      <c r="B86" s="34" t="s">
        <v>37</v>
      </c>
      <c r="C86" s="34" t="s">
        <v>108</v>
      </c>
      <c r="D86" s="37" t="s">
        <v>1610</v>
      </c>
      <c r="E86" s="34" t="s">
        <v>377</v>
      </c>
      <c r="F86" s="38" t="s">
        <v>1611</v>
      </c>
      <c r="G86" s="34" t="s">
        <v>2270</v>
      </c>
      <c r="H86" s="34" t="s">
        <v>837</v>
      </c>
      <c r="I86" s="34" t="s">
        <v>266</v>
      </c>
      <c r="K86" s="34" t="s">
        <v>125</v>
      </c>
      <c r="M86" s="34" t="s">
        <v>83</v>
      </c>
      <c r="N86" s="34" t="s">
        <v>309</v>
      </c>
      <c r="O86" s="34" t="s">
        <v>84</v>
      </c>
      <c r="P86" s="34" t="s">
        <v>158</v>
      </c>
      <c r="Q86" s="34">
        <v>3.0</v>
      </c>
      <c r="S86" s="40" t="s">
        <v>127</v>
      </c>
      <c r="U86" s="34" t="s">
        <v>456</v>
      </c>
    </row>
    <row hidden="1" r="87" ht="55.0">
      <c r="A87" s="36">
        <v>46139</v>
      </c>
      <c r="B87" s="34" t="s">
        <v>36</v>
      </c>
      <c r="C87" s="34" t="s">
        <v>108</v>
      </c>
      <c r="D87" s="37" t="s">
        <v>2271</v>
      </c>
      <c r="E87" s="34" t="s">
        <v>2272</v>
      </c>
      <c r="F87" s="38" t="s">
        <v>2273</v>
      </c>
      <c r="G87" s="34" t="s">
        <v>2274</v>
      </c>
      <c r="H87" s="34" t="s">
        <v>163</v>
      </c>
      <c r="I87" s="34" t="s">
        <v>2275</v>
      </c>
      <c r="J87" s="34" t="s">
        <v>2276</v>
      </c>
      <c r="K87" s="34" t="s">
        <v>125</v>
      </c>
      <c r="L87" s="38" t="s">
        <v>2277</v>
      </c>
      <c r="M87" s="34" t="s">
        <v>97</v>
      </c>
      <c r="N87" s="34" t="s">
        <v>71</v>
      </c>
      <c r="O87" s="34" t="s">
        <v>84</v>
      </c>
      <c r="P87" s="34" t="s">
        <v>9</v>
      </c>
      <c r="Q87" s="34">
        <v>25.0</v>
      </c>
      <c r="S87" s="40" t="s">
        <v>134</v>
      </c>
      <c r="U87" s="38" t="s">
        <v>2278</v>
      </c>
      <c r="V87" s="34" t="s">
        <v>2279</v>
      </c>
    </row>
    <row r="88" ht="27.0">
      <c r="A88" s="36">
        <v>46139</v>
      </c>
      <c r="B88" s="34" t="s">
        <v>35</v>
      </c>
      <c r="C88" s="34" t="s">
        <v>76</v>
      </c>
      <c r="D88" s="37" t="s">
        <v>2280</v>
      </c>
      <c r="E88" s="34" t="s">
        <v>1910</v>
      </c>
      <c r="F88" s="38" t="s">
        <v>2281</v>
      </c>
      <c r="G88" s="34" t="s">
        <v>2282</v>
      </c>
      <c r="H88" s="34" t="s">
        <v>163</v>
      </c>
      <c r="I88" s="34" t="s">
        <v>266</v>
      </c>
      <c r="K88" s="34" t="s">
        <v>95</v>
      </c>
      <c r="M88" s="34" t="s">
        <v>83</v>
      </c>
      <c r="N88" s="34" t="s">
        <v>309</v>
      </c>
      <c r="O88" s="34" t="s">
        <v>84</v>
      </c>
      <c r="P88" s="34" t="s">
        <v>10</v>
      </c>
      <c r="Q88" s="34">
        <v>50.0</v>
      </c>
      <c r="S88" s="40" t="s">
        <v>134</v>
      </c>
      <c r="U88" s="38" t="s">
        <v>2283</v>
      </c>
      <c r="V88" s="34" t="s">
        <v>2284</v>
      </c>
    </row>
    <row r="89" ht="41.0">
      <c r="A89" s="36">
        <v>46140</v>
      </c>
      <c r="B89" s="34" t="s">
        <v>35</v>
      </c>
      <c r="C89" s="34" t="s">
        <v>76</v>
      </c>
      <c r="D89" s="37" t="s">
        <v>2285</v>
      </c>
      <c r="E89" s="34" t="s">
        <v>104</v>
      </c>
      <c r="F89" s="38" t="s">
        <v>2286</v>
      </c>
      <c r="G89" s="34" t="s">
        <v>2287</v>
      </c>
      <c r="H89" s="34" t="s">
        <v>163</v>
      </c>
      <c r="K89" s="34" t="s">
        <v>95</v>
      </c>
      <c r="M89" s="34" t="s">
        <v>97</v>
      </c>
      <c r="N89" s="34" t="s">
        <v>71</v>
      </c>
      <c r="O89" s="34" t="s">
        <v>98</v>
      </c>
      <c r="P89" s="34" t="s">
        <v>10</v>
      </c>
      <c r="Q89" s="34">
        <v>10.0</v>
      </c>
      <c r="S89" s="40" t="s">
        <v>127</v>
      </c>
      <c r="U89" s="38" t="s">
        <v>2288</v>
      </c>
      <c r="V89" s="34" t="s">
        <v>2289</v>
      </c>
    </row>
    <row r="90" ht="68.0">
      <c r="A90" s="36">
        <v>46140</v>
      </c>
      <c r="B90" s="34" t="s">
        <v>34</v>
      </c>
      <c r="C90" s="34" t="s">
        <v>88</v>
      </c>
      <c r="D90" s="37" t="s">
        <v>2290</v>
      </c>
      <c r="E90" s="34" t="s">
        <v>2291</v>
      </c>
      <c r="F90" s="38" t="s">
        <v>2292</v>
      </c>
      <c r="G90" s="34" t="s">
        <v>2293</v>
      </c>
      <c r="H90" s="34" t="s">
        <v>2294</v>
      </c>
      <c r="K90" s="34" t="s">
        <v>95</v>
      </c>
      <c r="L90" s="38" t="s">
        <v>2295</v>
      </c>
      <c r="M90" s="34" t="s">
        <v>117</v>
      </c>
      <c r="N90" s="34" t="s">
        <v>71</v>
      </c>
      <c r="O90" s="34" t="s">
        <v>98</v>
      </c>
      <c r="P90" s="34" t="s">
        <v>10</v>
      </c>
      <c r="Q90" s="34">
        <v>5.0</v>
      </c>
      <c r="S90" s="40"/>
      <c r="U90" s="38" t="s">
        <v>2296</v>
      </c>
      <c r="V90" s="71" t="s">
        <v>2297</v>
      </c>
      <c r="W90" s="38" t="s">
        <v>2298</v>
      </c>
    </row>
    <row r="91" ht="41.0">
      <c r="A91" s="36">
        <v>46140</v>
      </c>
      <c r="B91" s="34" t="s">
        <v>34</v>
      </c>
      <c r="C91" s="34" t="s">
        <v>88</v>
      </c>
      <c r="D91" s="37" t="s">
        <v>2299</v>
      </c>
      <c r="E91" s="34" t="s">
        <v>458</v>
      </c>
      <c r="F91" s="38" t="s">
        <v>2300</v>
      </c>
      <c r="G91" s="34" t="s">
        <v>2301</v>
      </c>
      <c r="K91" s="34" t="s">
        <v>125</v>
      </c>
      <c r="L91" s="34" t="s">
        <v>681</v>
      </c>
      <c r="M91" s="34" t="s">
        <v>83</v>
      </c>
      <c r="N91" s="34" t="s">
        <v>71</v>
      </c>
      <c r="O91" s="34" t="s">
        <v>98</v>
      </c>
      <c r="P91" s="34" t="s">
        <v>10</v>
      </c>
      <c r="Q91" s="34">
        <v>1.0</v>
      </c>
      <c r="S91" s="40" t="s">
        <v>127</v>
      </c>
      <c r="U91" s="34" t="s">
        <v>2302</v>
      </c>
      <c r="V91" s="34" t="s">
        <v>2303</v>
      </c>
    </row>
    <row hidden="1" r="92" ht="27.0">
      <c r="A92" s="36">
        <v>46140</v>
      </c>
      <c r="B92" s="34" t="s">
        <v>34</v>
      </c>
      <c r="C92" s="34" t="s">
        <v>88</v>
      </c>
      <c r="D92" s="37" t="s">
        <v>2304</v>
      </c>
      <c r="E92" s="34" t="s">
        <v>885</v>
      </c>
      <c r="F92" s="38" t="s">
        <v>2305</v>
      </c>
      <c r="G92" s="34" t="s">
        <v>2306</v>
      </c>
      <c r="K92" s="34" t="s">
        <v>69</v>
      </c>
      <c r="L92" s="34" t="s">
        <v>681</v>
      </c>
      <c r="M92" s="34" t="s">
        <v>97</v>
      </c>
      <c r="N92" s="34" t="s">
        <v>882</v>
      </c>
      <c r="O92" s="34" t="s">
        <v>893</v>
      </c>
      <c r="P92" s="34" t="s">
        <v>893</v>
      </c>
      <c r="S92" s="40"/>
    </row>
    <row r="93" ht="55.0">
      <c r="A93" s="36">
        <v>46140</v>
      </c>
      <c r="B93" s="34" t="s">
        <v>34</v>
      </c>
      <c r="C93" s="34" t="s">
        <v>63</v>
      </c>
      <c r="D93" s="37" t="s">
        <v>2307</v>
      </c>
      <c r="E93" s="34" t="s">
        <v>2308</v>
      </c>
      <c r="F93" s="34" t="s">
        <v>2309</v>
      </c>
      <c r="G93" s="34" t="s">
        <v>2310</v>
      </c>
      <c r="H93" s="34" t="s">
        <v>2311</v>
      </c>
      <c r="I93" s="34" t="s">
        <v>490</v>
      </c>
      <c r="K93" s="34" t="s">
        <v>95</v>
      </c>
      <c r="M93" s="34" t="s">
        <v>97</v>
      </c>
      <c r="N93" s="34" t="s">
        <v>71</v>
      </c>
      <c r="O93" s="34" t="s">
        <v>98</v>
      </c>
      <c r="P93" s="34" t="s">
        <v>10</v>
      </c>
      <c r="Q93" s="34">
        <v>3.0</v>
      </c>
      <c r="S93" s="40" t="s">
        <v>127</v>
      </c>
      <c r="U93" s="34" t="s">
        <v>2312</v>
      </c>
      <c r="V93" s="34" t="s">
        <v>2313</v>
      </c>
    </row>
    <row r="94" ht="41.0">
      <c r="A94" s="36">
        <v>46140</v>
      </c>
      <c r="B94" s="34" t="s">
        <v>34</v>
      </c>
      <c r="C94" s="34" t="s">
        <v>108</v>
      </c>
      <c r="D94" s="37" t="s">
        <v>2314</v>
      </c>
      <c r="E94" s="34" t="s">
        <v>2175</v>
      </c>
      <c r="F94" s="38" t="s">
        <v>2315</v>
      </c>
      <c r="G94" s="34" t="s">
        <v>2316</v>
      </c>
      <c r="H94" s="34" t="s">
        <v>163</v>
      </c>
      <c r="I94" s="34" t="s">
        <v>490</v>
      </c>
      <c r="K94" s="34" t="s">
        <v>125</v>
      </c>
      <c r="L94" s="34" t="s">
        <v>681</v>
      </c>
      <c r="M94" s="34" t="s">
        <v>97</v>
      </c>
      <c r="N94" s="34" t="s">
        <v>71</v>
      </c>
      <c r="O94" s="34" t="s">
        <v>84</v>
      </c>
      <c r="P94" s="34" t="s">
        <v>11</v>
      </c>
      <c r="Q94" s="34">
        <v>10.0</v>
      </c>
      <c r="S94" s="40" t="s">
        <v>134</v>
      </c>
      <c r="U94" s="38" t="s">
        <v>2317</v>
      </c>
      <c r="V94" s="34" t="s">
        <v>2318</v>
      </c>
    </row>
    <row hidden="1" r="95" ht="41.0">
      <c r="A95" s="36">
        <v>46140</v>
      </c>
      <c r="B95" s="34" t="s">
        <v>36</v>
      </c>
      <c r="C95" s="34" t="s">
        <v>108</v>
      </c>
      <c r="D95" s="37" t="s">
        <v>1331</v>
      </c>
      <c r="E95" s="34" t="s">
        <v>2319</v>
      </c>
      <c r="F95" s="38" t="s">
        <v>2320</v>
      </c>
      <c r="G95" s="34" t="s">
        <v>2321</v>
      </c>
      <c r="H95" s="34" t="s">
        <v>2322</v>
      </c>
      <c r="K95" s="34" t="s">
        <v>125</v>
      </c>
      <c r="M95" s="34" t="s">
        <v>117</v>
      </c>
      <c r="N95" s="34" t="s">
        <v>309</v>
      </c>
      <c r="O95" s="34" t="s">
        <v>84</v>
      </c>
      <c r="P95" s="34" t="s">
        <v>535</v>
      </c>
      <c r="S95" s="40" t="s">
        <v>127</v>
      </c>
      <c r="U95" s="34" t="s">
        <v>456</v>
      </c>
    </row>
    <row r="96" ht="55.0">
      <c r="A96" s="36">
        <v>46140</v>
      </c>
      <c r="B96" s="34" t="s">
        <v>34</v>
      </c>
      <c r="C96" s="34" t="s">
        <v>63</v>
      </c>
      <c r="D96" s="37" t="s">
        <v>2323</v>
      </c>
      <c r="E96" s="34" t="s">
        <v>2324</v>
      </c>
      <c r="F96" s="38" t="s">
        <v>2325</v>
      </c>
      <c r="G96" s="34" t="s">
        <v>2326</v>
      </c>
      <c r="H96" s="34" t="s">
        <v>2327</v>
      </c>
      <c r="J96" s="34" t="s">
        <v>2328</v>
      </c>
      <c r="K96" s="34" t="s">
        <v>69</v>
      </c>
      <c r="M96" s="34" t="s">
        <v>97</v>
      </c>
      <c r="N96" s="34" t="s">
        <v>71</v>
      </c>
      <c r="O96" s="34" t="s">
        <v>84</v>
      </c>
      <c r="P96" s="34" t="s">
        <v>10</v>
      </c>
      <c r="Q96" s="34">
        <v>13.0</v>
      </c>
      <c r="S96" s="40" t="s">
        <v>118</v>
      </c>
      <c r="U96" s="38" t="s">
        <v>2329</v>
      </c>
      <c r="V96" s="34" t="s">
        <v>2330</v>
      </c>
    </row>
    <row hidden="1" r="97" ht="41.0">
      <c r="A97" s="36">
        <v>46140</v>
      </c>
      <c r="B97" s="34" t="s">
        <v>34</v>
      </c>
      <c r="C97" s="34" t="s">
        <v>76</v>
      </c>
      <c r="D97" s="37" t="s">
        <v>1375</v>
      </c>
      <c r="E97" s="34" t="s">
        <v>2108</v>
      </c>
      <c r="F97" s="38" t="s">
        <v>2331</v>
      </c>
      <c r="G97" s="34" t="s">
        <v>2332</v>
      </c>
      <c r="H97" s="34" t="s">
        <v>2333</v>
      </c>
      <c r="J97" s="34" t="s">
        <v>2334</v>
      </c>
      <c r="K97" s="34" t="s">
        <v>184</v>
      </c>
      <c r="M97" s="34" t="s">
        <v>97</v>
      </c>
      <c r="N97" s="34" t="s">
        <v>309</v>
      </c>
      <c r="O97" s="34" t="s">
        <v>84</v>
      </c>
      <c r="P97" s="34" t="s">
        <v>9</v>
      </c>
      <c r="Q97" s="34">
        <v>20.0</v>
      </c>
      <c r="S97" s="40" t="s">
        <v>127</v>
      </c>
      <c r="U97" s="34" t="s">
        <v>2335</v>
      </c>
      <c r="V97" s="34" t="s">
        <v>2336</v>
      </c>
    </row>
    <row hidden="1" r="98" ht="15.0">
      <c r="A98" s="36">
        <v>46141</v>
      </c>
      <c r="B98" s="34" t="s">
        <v>34</v>
      </c>
      <c r="C98" s="34" t="s">
        <v>88</v>
      </c>
      <c r="D98" s="37" t="s">
        <v>2337</v>
      </c>
      <c r="E98" s="34" t="s">
        <v>885</v>
      </c>
      <c r="F98" s="38" t="s">
        <v>2338</v>
      </c>
      <c r="G98" s="34" t="s">
        <v>2339</v>
      </c>
      <c r="K98" s="34" t="s">
        <v>69</v>
      </c>
      <c r="L98" s="34" t="s">
        <v>681</v>
      </c>
      <c r="M98" s="34" t="s">
        <v>70</v>
      </c>
      <c r="N98" s="34" t="s">
        <v>882</v>
      </c>
      <c r="O98" s="34" t="s">
        <v>893</v>
      </c>
      <c r="P98" s="34" t="s">
        <v>893</v>
      </c>
      <c r="S98" s="40"/>
      <c r="U98" s="34" t="s">
        <v>456</v>
      </c>
    </row>
    <row hidden="1" r="99" ht="41.0">
      <c r="A99" s="36">
        <v>46141</v>
      </c>
      <c r="B99" s="34" t="s">
        <v>34</v>
      </c>
      <c r="C99" s="34" t="s">
        <v>88</v>
      </c>
      <c r="D99" s="37" t="s">
        <v>2340</v>
      </c>
      <c r="E99" s="34" t="s">
        <v>170</v>
      </c>
      <c r="F99" s="38" t="s">
        <v>2341</v>
      </c>
      <c r="G99" s="34" t="s">
        <v>2342</v>
      </c>
      <c r="K99" s="34" t="s">
        <v>125</v>
      </c>
      <c r="L99" s="38" t="s">
        <v>2343</v>
      </c>
      <c r="M99" s="34" t="s">
        <v>117</v>
      </c>
      <c r="N99" s="34" t="s">
        <v>71</v>
      </c>
      <c r="O99" s="34" t="s">
        <v>207</v>
      </c>
      <c r="P99" s="34" t="s">
        <v>535</v>
      </c>
      <c r="Q99" s="34" t="s">
        <v>716</v>
      </c>
      <c r="S99" s="40"/>
      <c r="U99" s="38" t="s">
        <v>2344</v>
      </c>
    </row>
    <row r="100" ht="68.0">
      <c r="A100" s="36">
        <v>46141</v>
      </c>
      <c r="B100" s="34" t="s">
        <v>34</v>
      </c>
      <c r="C100" s="34" t="s">
        <v>88</v>
      </c>
      <c r="D100" s="37" t="s">
        <v>2345</v>
      </c>
      <c r="E100" s="34" t="s">
        <v>2346</v>
      </c>
      <c r="F100" s="38" t="s">
        <v>2347</v>
      </c>
      <c r="G100" s="34" t="s">
        <v>2348</v>
      </c>
      <c r="J100" s="34" t="s">
        <v>2349</v>
      </c>
      <c r="K100" s="34" t="s">
        <v>95</v>
      </c>
      <c r="L100" s="34" t="s">
        <v>681</v>
      </c>
      <c r="M100" s="34" t="s">
        <v>97</v>
      </c>
      <c r="N100" s="34" t="s">
        <v>71</v>
      </c>
      <c r="O100" s="34" t="s">
        <v>98</v>
      </c>
      <c r="P100" s="34" t="s">
        <v>10</v>
      </c>
      <c r="Q100" s="34">
        <v>7.0</v>
      </c>
      <c r="S100" s="40" t="s">
        <v>127</v>
      </c>
      <c r="U100" s="38" t="s">
        <v>2350</v>
      </c>
      <c r="V100" s="34" t="s">
        <v>2351</v>
      </c>
    </row>
    <row r="101" ht="82.0">
      <c r="A101" s="36">
        <v>46141</v>
      </c>
      <c r="B101" s="34" t="s">
        <v>34</v>
      </c>
      <c r="C101" s="34" t="s">
        <v>63</v>
      </c>
      <c r="D101" s="37" t="s">
        <v>2352</v>
      </c>
      <c r="E101" s="34" t="s">
        <v>2010</v>
      </c>
      <c r="F101" s="38" t="s">
        <v>2218</v>
      </c>
      <c r="G101" s="34" t="s">
        <v>2219</v>
      </c>
      <c r="H101" s="34" t="s">
        <v>2220</v>
      </c>
      <c r="K101" s="34" t="s">
        <v>173</v>
      </c>
      <c r="M101" s="34" t="s">
        <v>97</v>
      </c>
      <c r="N101" s="34" t="s">
        <v>309</v>
      </c>
      <c r="O101" s="34" t="s">
        <v>98</v>
      </c>
      <c r="P101" s="34" t="s">
        <v>11</v>
      </c>
      <c r="Q101" s="34">
        <v>1000.0</v>
      </c>
      <c r="S101" s="40" t="s">
        <v>73</v>
      </c>
      <c r="U101" s="38" t="s">
        <v>2353</v>
      </c>
    </row>
    <row r="102" ht="41.0">
      <c r="A102" s="36">
        <v>46142</v>
      </c>
      <c r="B102" s="34" t="s">
        <v>34</v>
      </c>
      <c r="C102" s="34" t="s">
        <v>88</v>
      </c>
      <c r="D102" s="34" t="s">
        <v>2354</v>
      </c>
      <c r="E102" s="34" t="s">
        <v>517</v>
      </c>
      <c r="F102" s="38" t="s">
        <v>2355</v>
      </c>
      <c r="G102" s="34" t="s">
        <v>2356</v>
      </c>
      <c r="J102" s="34" t="s">
        <v>607</v>
      </c>
      <c r="K102" s="34" t="s">
        <v>125</v>
      </c>
      <c r="L102" s="34" t="s">
        <v>681</v>
      </c>
      <c r="M102" s="34" t="s">
        <v>70</v>
      </c>
      <c r="N102" s="34" t="s">
        <v>71</v>
      </c>
      <c r="O102" s="34" t="s">
        <v>98</v>
      </c>
      <c r="P102" s="34" t="s">
        <v>10</v>
      </c>
      <c r="Q102" s="34">
        <v>30.0</v>
      </c>
      <c r="S102" s="40" t="s">
        <v>127</v>
      </c>
      <c r="U102" s="38" t="s">
        <v>2357</v>
      </c>
      <c r="V102" s="34" t="s">
        <v>2358</v>
      </c>
    </row>
    <row hidden="1" r="103" ht="27.0">
      <c r="A103" s="36">
        <v>46142</v>
      </c>
      <c r="B103" s="34" t="s">
        <v>34</v>
      </c>
      <c r="C103" s="34" t="s">
        <v>88</v>
      </c>
      <c r="D103" s="38" t="s">
        <v>2359</v>
      </c>
      <c r="E103" s="34" t="s">
        <v>2360</v>
      </c>
      <c r="F103" s="38" t="s">
        <v>2361</v>
      </c>
      <c r="G103" s="34" t="s">
        <v>2362</v>
      </c>
      <c r="J103" s="34" t="s">
        <v>2363</v>
      </c>
      <c r="K103" s="34" t="s">
        <v>184</v>
      </c>
      <c r="L103" s="34" t="s">
        <v>681</v>
      </c>
      <c r="M103" s="34" t="s">
        <v>83</v>
      </c>
      <c r="N103" s="34" t="s">
        <v>71</v>
      </c>
      <c r="O103" s="34" t="s">
        <v>84</v>
      </c>
      <c r="P103" s="34" t="s">
        <v>9</v>
      </c>
      <c r="Q103" s="34">
        <v>3.0</v>
      </c>
      <c r="S103" s="40" t="s">
        <v>134</v>
      </c>
      <c r="U103" s="38" t="s">
        <v>2364</v>
      </c>
    </row>
    <row hidden="1" r="104" ht="41.0">
      <c r="A104" s="36">
        <v>46142</v>
      </c>
      <c r="B104" s="34" t="s">
        <v>34</v>
      </c>
      <c r="C104" s="34" t="s">
        <v>88</v>
      </c>
      <c r="D104" s="38" t="s">
        <v>2365</v>
      </c>
      <c r="F104" s="38" t="s">
        <v>2366</v>
      </c>
      <c r="G104" s="34" t="s">
        <v>2367</v>
      </c>
      <c r="K104" s="34" t="s">
        <v>69</v>
      </c>
      <c r="L104" s="34" t="s">
        <v>681</v>
      </c>
      <c r="M104" s="34" t="s">
        <v>117</v>
      </c>
      <c r="N104" s="34" t="s">
        <v>882</v>
      </c>
      <c r="O104" s="34" t="s">
        <v>893</v>
      </c>
      <c r="P104" s="34" t="s">
        <v>893</v>
      </c>
      <c r="S104" s="40"/>
      <c r="U104" s="34" t="s">
        <v>456</v>
      </c>
    </row>
    <row r="105" ht="41.0">
      <c r="A105" s="36">
        <v>46142</v>
      </c>
      <c r="B105" s="34" t="s">
        <v>34</v>
      </c>
      <c r="C105" s="34" t="s">
        <v>63</v>
      </c>
      <c r="D105" s="38" t="s">
        <v>2368</v>
      </c>
      <c r="E105" s="34" t="s">
        <v>976</v>
      </c>
      <c r="F105" s="38" t="s">
        <v>2369</v>
      </c>
      <c r="G105" s="34" t="s">
        <v>2370</v>
      </c>
      <c r="K105" s="34" t="s">
        <v>95</v>
      </c>
      <c r="M105" s="34" t="s">
        <v>97</v>
      </c>
      <c r="N105" s="34" t="s">
        <v>71</v>
      </c>
      <c r="O105" s="34" t="s">
        <v>98</v>
      </c>
      <c r="P105" s="34" t="s">
        <v>10</v>
      </c>
      <c r="S105" s="40"/>
      <c r="U105" s="38" t="s">
        <v>2371</v>
      </c>
      <c r="V105" s="34" t="s">
        <v>2372</v>
      </c>
    </row>
    <row r="106" ht="27.0">
      <c r="A106" s="36">
        <v>46142</v>
      </c>
      <c r="B106" s="34" t="s">
        <v>34</v>
      </c>
      <c r="C106" s="34" t="s">
        <v>63</v>
      </c>
      <c r="D106" s="38" t="s">
        <v>2057</v>
      </c>
      <c r="E106" s="34" t="s">
        <v>517</v>
      </c>
      <c r="F106" s="38" t="s">
        <v>2373</v>
      </c>
      <c r="G106" s="34" t="s">
        <v>2374</v>
      </c>
      <c r="I106" s="34" t="s">
        <v>107</v>
      </c>
      <c r="K106" s="34" t="s">
        <v>95</v>
      </c>
      <c r="M106" s="34" t="s">
        <v>97</v>
      </c>
      <c r="N106" s="34" t="s">
        <v>309</v>
      </c>
      <c r="O106" s="34" t="s">
        <v>84</v>
      </c>
      <c r="P106" s="34" t="s">
        <v>10</v>
      </c>
      <c r="S106" s="40" t="s">
        <v>127</v>
      </c>
    </row>
    <row hidden="1" r="107" customFormat="1" s="34">
      <c r="B107" s="34"/>
      <c r="C107" s="34"/>
      <c r="K107" s="34"/>
      <c r="M107" s="34"/>
      <c r="N107" s="34"/>
      <c r="O107" s="34"/>
      <c r="P107" s="34"/>
      <c r="S107" s="40"/>
    </row>
    <row hidden="1" r="108" customFormat="1" s="34">
      <c r="B108" s="34"/>
      <c r="C108" s="34"/>
      <c r="K108" s="34"/>
      <c r="M108" s="34"/>
      <c r="N108" s="34"/>
      <c r="O108" s="34"/>
      <c r="P108" s="34"/>
      <c r="S108" s="40"/>
    </row>
    <row hidden="1" r="109" customFormat="1" s="34">
      <c r="B109" s="34"/>
      <c r="C109" s="34"/>
      <c r="K109" s="34"/>
      <c r="M109" s="34"/>
      <c r="N109" s="34"/>
      <c r="O109" s="34"/>
      <c r="P109" s="34"/>
      <c r="S109" s="40"/>
    </row>
    <row hidden="1" r="110" customFormat="1" s="34">
      <c r="B110" s="34"/>
      <c r="C110" s="34"/>
      <c r="K110" s="34"/>
      <c r="M110" s="34"/>
      <c r="N110" s="34"/>
      <c r="O110" s="34"/>
      <c r="P110" s="34"/>
      <c r="S110" s="40"/>
    </row>
    <row hidden="1" r="111" customFormat="1" s="34">
      <c r="B111" s="34"/>
      <c r="C111" s="34"/>
      <c r="K111" s="34"/>
      <c r="M111" s="34"/>
      <c r="N111" s="34"/>
      <c r="O111" s="34"/>
      <c r="P111" s="34"/>
      <c r="S111" s="40"/>
    </row>
    <row hidden="1" r="112" customFormat="1" s="34">
      <c r="B112" s="34"/>
      <c r="C112" s="34"/>
      <c r="K112" s="34"/>
      <c r="M112" s="34"/>
      <c r="N112" s="34"/>
      <c r="O112" s="34"/>
      <c r="P112" s="34"/>
      <c r="S112" s="40"/>
    </row>
    <row hidden="1" r="113" customFormat="1" s="34">
      <c r="B113" s="34"/>
      <c r="C113" s="34"/>
      <c r="K113" s="34"/>
      <c r="M113" s="34"/>
      <c r="N113" s="34"/>
      <c r="O113" s="34"/>
      <c r="P113" s="34"/>
      <c r="S113" s="40"/>
    </row>
    <row hidden="1" r="114" customFormat="1" s="34">
      <c r="B114" s="34"/>
      <c r="C114" s="34"/>
      <c r="K114" s="34"/>
      <c r="M114" s="34"/>
      <c r="N114" s="34"/>
      <c r="O114" s="34"/>
      <c r="P114" s="34"/>
      <c r="S114" s="40"/>
    </row>
    <row hidden="1" r="115" customFormat="1" s="34">
      <c r="B115" s="34"/>
      <c r="C115" s="34"/>
      <c r="K115" s="34"/>
      <c r="M115" s="34"/>
      <c r="N115" s="34"/>
      <c r="O115" s="34"/>
      <c r="P115" s="34"/>
      <c r="S115" s="40"/>
    </row>
    <row hidden="1" r="116" customFormat="1" s="34">
      <c r="B116" s="34"/>
      <c r="C116" s="34"/>
      <c r="K116" s="34"/>
      <c r="M116" s="34"/>
      <c r="N116" s="34"/>
      <c r="O116" s="34"/>
      <c r="P116" s="34"/>
      <c r="S116" s="40"/>
    </row>
    <row r="117" customFormat="1" s="34"/>
    <row r="118" customFormat="1" s="34"/>
    <row r="119" customFormat="1" s="34"/>
    <row r="120" customFormat="1" s="34"/>
    <row r="121" customFormat="1" s="34"/>
    <row r="122" customFormat="1" s="34"/>
    <row r="123" customFormat="1" s="34"/>
    <row r="124" customFormat="1" s="34"/>
    <row r="125" customFormat="1" s="34"/>
    <row r="126" customFormat="1" s="34"/>
    <row r="127" customFormat="1" s="34"/>
    <row r="128" customFormat="1" s="34"/>
    <row r="129" customFormat="1" s="34"/>
    <row r="130" customFormat="1" s="34"/>
    <row r="131" customFormat="1" s="34"/>
    <row r="132" customFormat="1" s="34"/>
    <row r="133" customFormat="1" s="34"/>
    <row r="134" customFormat="1" s="34"/>
    <row r="135" customFormat="1" s="34"/>
    <row r="136" customFormat="1" s="34"/>
    <row r="137" customFormat="1" s="34"/>
    <row r="138" customFormat="1" s="34"/>
    <row r="139" customFormat="1" s="34"/>
    <row r="140" customFormat="1" s="34"/>
    <row r="141" customFormat="1" s="34"/>
    <row r="142" customFormat="1" s="34"/>
    <row r="143" customFormat="1" s="34"/>
    <row r="144" customFormat="1" s="34"/>
    <row r="145" customFormat="1" s="34"/>
    <row r="146" customFormat="1" s="34"/>
    <row r="147" customFormat="1" s="34"/>
    <row r="148" customFormat="1" s="34"/>
    <row r="149" customFormat="1" s="34"/>
    <row r="150" customFormat="1" s="34"/>
    <row r="151" customFormat="1" s="34"/>
    <row r="152" customFormat="1" s="34"/>
    <row r="153" customFormat="1" s="34"/>
    <row r="154" customFormat="1" s="34"/>
    <row r="155" customFormat="1" s="34"/>
    <row r="156" customFormat="1" s="34"/>
    <row r="157" customFormat="1" s="34"/>
    <row r="158" customFormat="1" s="34"/>
    <row r="159" customFormat="1" s="34"/>
    <row r="160" customFormat="1" s="34"/>
    <row r="161" customFormat="1" s="34"/>
    <row r="162" customFormat="1" s="34"/>
    <row r="163" customFormat="1" s="34"/>
    <row r="164" customFormat="1" s="34"/>
    <row r="165" customFormat="1" s="34"/>
    <row r="166" customFormat="1" s="34"/>
    <row r="167" customFormat="1" s="34"/>
    <row r="168" customFormat="1" s="34"/>
    <row r="169" customFormat="1" s="34"/>
    <row r="170" customFormat="1" s="34"/>
    <row r="171" customFormat="1" s="34"/>
    <row r="172" customFormat="1" s="34"/>
    <row r="173" customFormat="1" s="34"/>
    <row r="174" customFormat="1" s="34"/>
    <row r="175" customFormat="1" s="34"/>
    <row r="176" customFormat="1" s="34"/>
    <row r="177" customFormat="1" s="34"/>
    <row r="178" customFormat="1" s="34"/>
    <row r="179" customFormat="1" s="34"/>
    <row r="180" customFormat="1" s="34"/>
    <row r="181" customFormat="1" s="34"/>
    <row r="182" customFormat="1" s="34"/>
    <row r="183" customFormat="1" s="34"/>
    <row r="184" customFormat="1" s="34"/>
    <row r="185" customFormat="1" s="34"/>
    <row r="186" customFormat="1" s="34"/>
    <row r="187" customFormat="1" s="34"/>
    <row r="188" customFormat="1" s="34"/>
    <row r="189" customFormat="1" s="34"/>
    <row r="190" customFormat="1" s="34"/>
    <row r="191" customFormat="1" s="34"/>
    <row r="192" customFormat="1" s="34"/>
    <row r="193" customFormat="1" s="34"/>
    <row r="194" customFormat="1" s="34"/>
    <row r="195" customFormat="1" s="34"/>
    <row r="196" customFormat="1" s="34"/>
    <row r="197" customFormat="1" s="34"/>
    <row r="198" customFormat="1" s="34"/>
    <row r="199" customFormat="1" s="34"/>
    <row r="200" customFormat="1" s="34"/>
    <row r="201" customFormat="1" s="34"/>
    <row r="202" customFormat="1" s="34"/>
    <row r="203" customFormat="1" s="34"/>
    <row r="204" customFormat="1" s="34"/>
    <row r="205" customFormat="1" s="34"/>
    <row r="206" customFormat="1" s="34"/>
    <row r="207" customFormat="1" s="34"/>
    <row r="208" customFormat="1" s="34"/>
    <row r="209" customFormat="1" s="34"/>
    <row r="210" customFormat="1" s="34"/>
    <row r="211" customFormat="1" s="34"/>
    <row r="212" customFormat="1" s="34"/>
    <row r="213" customFormat="1" s="34"/>
    <row r="214" customFormat="1" s="34"/>
    <row r="215" customFormat="1" s="34"/>
    <row r="216" customFormat="1" s="34"/>
    <row r="217" customFormat="1" s="34"/>
    <row r="218" customFormat="1" s="34"/>
    <row r="219" customFormat="1" s="34"/>
    <row r="220" customFormat="1" s="34"/>
    <row r="221" customFormat="1" s="34"/>
    <row r="222" customFormat="1" s="34"/>
    <row r="223" customFormat="1" s="34"/>
    <row r="224" customFormat="1" s="34"/>
    <row r="225" customFormat="1" s="34"/>
    <row r="226" customFormat="1" s="34"/>
    <row r="227" customFormat="1" s="34"/>
    <row r="228" customFormat="1" s="34"/>
    <row r="229" customFormat="1" s="34"/>
    <row r="230" customFormat="1" s="34"/>
    <row r="231" customFormat="1" s="34"/>
    <row r="232" customFormat="1" s="34"/>
    <row r="233" customFormat="1" s="34"/>
    <row r="234" customFormat="1" s="34"/>
    <row r="235" customFormat="1" s="34"/>
    <row r="236" customFormat="1" s="34"/>
    <row r="237" customFormat="1" s="34"/>
    <row r="238" customFormat="1" s="34"/>
    <row r="239" customFormat="1" s="34"/>
    <row r="240" customFormat="1" s="34"/>
    <row r="241" customFormat="1" s="34"/>
    <row r="242" customFormat="1" s="34"/>
    <row r="243" customFormat="1" s="34"/>
    <row r="244" customFormat="1" s="34"/>
    <row r="245" customFormat="1" s="34"/>
    <row r="246" customFormat="1" s="34"/>
    <row r="247" customFormat="1" s="34"/>
    <row r="248" customFormat="1" s="34"/>
    <row r="249" customFormat="1" s="34"/>
    <row r="250" customFormat="1" s="34"/>
    <row r="251" customFormat="1" s="34"/>
    <row r="252" customFormat="1" s="34"/>
    <row r="253" customFormat="1" s="34"/>
    <row r="254" customFormat="1" s="34"/>
    <row r="255" customFormat="1" s="34"/>
    <row r="256" customFormat="1" s="34"/>
    <row r="257" customFormat="1" s="34"/>
    <row r="258" customFormat="1" s="34"/>
    <row r="259" customFormat="1" s="34"/>
    <row r="260" customFormat="1" s="34"/>
    <row r="261" customFormat="1" s="34"/>
    <row r="262" customFormat="1" s="34"/>
    <row r="263" customFormat="1" s="34"/>
    <row r="264" customFormat="1" s="34"/>
    <row r="265" customFormat="1" s="34"/>
    <row r="266" customFormat="1" s="34"/>
    <row r="267" customFormat="1" s="34"/>
    <row r="268" customFormat="1" s="34"/>
    <row r="269" customFormat="1" s="34"/>
    <row r="270" customFormat="1" s="34"/>
    <row r="271" customFormat="1" s="34"/>
    <row r="272" customFormat="1" s="34"/>
    <row r="273" customFormat="1" s="34"/>
    <row r="274" customFormat="1" s="34"/>
    <row r="275" customFormat="1" s="34"/>
    <row r="276" customFormat="1" s="34"/>
    <row r="277" customFormat="1" s="34"/>
    <row r="278" customFormat="1" s="34"/>
    <row r="279" customFormat="1" s="34"/>
    <row r="280" customFormat="1" s="34"/>
    <row r="281" customFormat="1" s="34"/>
    <row r="282" customFormat="1" s="34"/>
    <row r="283" customFormat="1" s="34"/>
    <row r="284" customFormat="1" s="34"/>
    <row r="285" customFormat="1" s="34"/>
    <row r="286" customFormat="1" s="34"/>
    <row r="287" customFormat="1" s="34"/>
    <row r="288" customFormat="1" s="34"/>
    <row r="289" customFormat="1" s="34"/>
    <row r="290" customFormat="1" s="34"/>
    <row r="291" customFormat="1" s="34"/>
    <row r="292" customFormat="1" s="34"/>
    <row r="293" customFormat="1" s="34"/>
    <row r="294" customFormat="1" s="34"/>
    <row r="295" customFormat="1" s="34"/>
    <row r="296" customFormat="1" s="34"/>
    <row r="297" customFormat="1" s="34"/>
    <row r="298" customFormat="1" s="34"/>
    <row r="299" customFormat="1" s="34"/>
    <row r="300" customFormat="1" s="34"/>
    <row r="301" customFormat="1" s="34"/>
    <row r="302" customFormat="1" s="34"/>
    <row r="303" customFormat="1" s="34"/>
    <row r="304" customFormat="1" s="34"/>
    <row r="305" customFormat="1" s="34"/>
    <row r="306" customFormat="1" s="34"/>
    <row r="307" customFormat="1" s="34"/>
    <row r="308" customFormat="1" s="34"/>
    <row r="309" customFormat="1" s="34"/>
    <row r="310" customFormat="1" s="34"/>
    <row r="311" customFormat="1" s="34"/>
    <row r="312" customFormat="1" s="34"/>
    <row r="313" customFormat="1" s="34"/>
    <row r="314" customFormat="1" s="34"/>
    <row r="315" customFormat="1" s="34"/>
    <row r="316" customFormat="1" s="34"/>
    <row r="317" customFormat="1" s="34"/>
    <row r="318" customFormat="1" s="34"/>
    <row r="319" customFormat="1" s="34"/>
    <row r="320" customFormat="1" s="34"/>
    <row r="321" customFormat="1" s="34"/>
    <row r="322" customFormat="1" s="34"/>
    <row r="323" customFormat="1" s="34"/>
    <row r="324" customFormat="1" s="34"/>
    <row r="325" customFormat="1" s="34"/>
    <row r="326" customFormat="1" s="34"/>
    <row r="327" customFormat="1" s="34"/>
    <row r="328" customFormat="1" s="34"/>
    <row r="329" customFormat="1" s="34"/>
    <row r="330" customFormat="1" s="34"/>
    <row r="331" customFormat="1" s="34"/>
    <row r="332" customFormat="1" s="34"/>
    <row r="333" customFormat="1" s="34"/>
    <row r="334" customFormat="1" s="34"/>
    <row r="335" customFormat="1" s="34"/>
    <row r="336" customFormat="1" s="34"/>
    <row r="337" customFormat="1" s="34"/>
    <row r="338" customFormat="1" s="34"/>
    <row r="339" customFormat="1" s="34"/>
    <row r="340" customFormat="1" s="34"/>
    <row r="341" customFormat="1" s="34"/>
    <row r="342" customFormat="1" s="34"/>
    <row r="343" customFormat="1" s="34"/>
    <row r="344" customFormat="1" s="34"/>
    <row r="345" customFormat="1" s="34"/>
    <row r="346" customFormat="1" s="34"/>
    <row r="347" customFormat="1" s="34"/>
    <row r="348" customFormat="1" s="34"/>
    <row r="349" customFormat="1" s="34"/>
    <row r="350" customFormat="1" s="34"/>
    <row r="351" customFormat="1" s="34"/>
    <row r="352" customFormat="1" s="34"/>
    <row r="353" customFormat="1" s="34"/>
    <row r="354" customFormat="1" s="34"/>
    <row r="355" customFormat="1" s="34"/>
    <row r="356" customFormat="1" s="34"/>
    <row r="357" customFormat="1" s="34"/>
    <row r="358" customFormat="1" s="34"/>
    <row r="359" customFormat="1" s="34"/>
    <row r="360" customFormat="1" s="34"/>
    <row r="361" customFormat="1" s="34"/>
    <row r="362" customFormat="1" s="34"/>
    <row r="363" customFormat="1" s="34"/>
    <row r="364" customFormat="1" s="34"/>
    <row r="365" customFormat="1" s="34"/>
    <row r="366" customFormat="1" s="34"/>
    <row r="367" customFormat="1" s="34"/>
    <row r="368" customFormat="1" s="34"/>
    <row r="369" customFormat="1" s="34"/>
    <row r="370" customFormat="1" s="34"/>
    <row r="371" customFormat="1" s="34"/>
    <row r="372" customFormat="1" s="34"/>
    <row r="373" customFormat="1" s="34"/>
    <row r="374" customFormat="1" s="34"/>
    <row r="375" customFormat="1" s="34"/>
    <row r="376" customFormat="1" s="34"/>
    <row r="377" customFormat="1" s="34"/>
    <row r="378" customFormat="1" s="34"/>
    <row r="379" customFormat="1" s="34"/>
    <row r="380" customFormat="1" s="34"/>
    <row r="381" customFormat="1" s="34"/>
    <row r="382" customFormat="1" s="34"/>
    <row r="383" customFormat="1" s="34"/>
    <row r="384" customFormat="1" s="34"/>
    <row r="385" customFormat="1" s="34"/>
    <row r="386" customFormat="1" s="34"/>
    <row r="387" customFormat="1" s="34"/>
    <row r="388" customFormat="1" s="34"/>
    <row r="389" customFormat="1" s="34"/>
    <row r="390" customFormat="1" s="34"/>
    <row r="391" customFormat="1" s="34"/>
    <row r="392" customFormat="1" s="34"/>
    <row r="393" customFormat="1" s="34"/>
    <row r="394" customFormat="1" s="34"/>
    <row r="395" customFormat="1" s="34"/>
    <row r="396" customFormat="1" s="34"/>
    <row r="397" customFormat="1" s="34"/>
    <row r="398" customFormat="1" s="34"/>
    <row r="399" customFormat="1" s="34"/>
    <row r="400" customFormat="1" s="34"/>
    <row r="401" customFormat="1" s="34"/>
    <row r="402" customFormat="1" s="34"/>
    <row r="403" customFormat="1" s="34"/>
    <row r="404" customFormat="1" s="34"/>
    <row r="405" customFormat="1" s="34"/>
    <row r="406" customFormat="1" s="34"/>
    <row r="407" customFormat="1" s="34"/>
    <row r="408" customFormat="1" s="34"/>
    <row r="409" customFormat="1" s="34"/>
    <row r="410" customFormat="1" s="34"/>
    <row r="411" customFormat="1" s="34"/>
    <row r="412" customFormat="1" s="34"/>
    <row r="413" customFormat="1" s="34"/>
    <row r="414" customFormat="1" s="34"/>
    <row r="415" customFormat="1" s="34"/>
    <row r="416" customFormat="1" s="34"/>
    <row r="417" customFormat="1" s="34"/>
    <row r="418" customFormat="1" s="34"/>
    <row r="419" customFormat="1" s="34"/>
    <row r="420" customFormat="1" s="34"/>
    <row r="421" customFormat="1" s="34"/>
    <row r="422" customFormat="1" s="34"/>
    <row r="423" customFormat="1" s="34"/>
    <row r="424" customFormat="1" s="34"/>
    <row r="425" customFormat="1" s="34"/>
    <row r="426" customFormat="1" s="34"/>
    <row r="427" customFormat="1" s="34"/>
    <row r="428" customFormat="1" s="34"/>
    <row r="429" customFormat="1" s="34"/>
    <row r="430" customFormat="1" s="34"/>
    <row r="431" customFormat="1" s="34"/>
    <row r="432" customFormat="1" s="34"/>
    <row r="433" customFormat="1" s="34"/>
    <row r="434" customFormat="1" s="34"/>
    <row r="435" customFormat="1" s="34"/>
    <row r="436" customFormat="1" s="34"/>
    <row r="437" customFormat="1" s="34"/>
    <row r="438" customFormat="1" s="34"/>
    <row r="439" customFormat="1" s="34"/>
    <row r="440" customFormat="1" s="34"/>
    <row r="441" customFormat="1" s="34"/>
    <row r="442" customFormat="1" s="34"/>
    <row r="443" customFormat="1" s="34"/>
    <row r="444" customFormat="1" s="34"/>
    <row r="445" customFormat="1" s="34"/>
    <row r="446" customFormat="1" s="34"/>
    <row r="447" customFormat="1" s="34"/>
    <row r="448" customFormat="1" s="34"/>
    <row r="449" customFormat="1" s="34"/>
    <row r="450" customFormat="1" s="34"/>
    <row r="451" customFormat="1" s="34"/>
    <row r="452" customFormat="1" s="34"/>
    <row r="453" customFormat="1" s="34"/>
    <row r="454" customFormat="1" s="34"/>
    <row r="455" customFormat="1" s="34"/>
    <row r="456" customFormat="1" s="34"/>
    <row r="457" customFormat="1" s="34"/>
    <row r="458" customFormat="1" s="34"/>
    <row r="459" customFormat="1" s="34"/>
    <row r="460" customFormat="1" s="34"/>
    <row r="461" customFormat="1" s="34"/>
    <row r="462" customFormat="1" s="34"/>
    <row r="463" customFormat="1" s="34"/>
    <row r="464" customFormat="1" s="34"/>
    <row r="465" customFormat="1" s="34"/>
    <row r="466" customFormat="1" s="34"/>
    <row r="467" customFormat="1" s="34"/>
    <row r="468" customFormat="1" s="34"/>
    <row r="469" customFormat="1" s="34"/>
    <row r="470" customFormat="1" s="34"/>
    <row r="471" customFormat="1" s="34"/>
    <row r="472" customFormat="1" s="34"/>
    <row r="473" customFormat="1" s="34"/>
    <row r="474" customFormat="1" s="34"/>
    <row r="475" customFormat="1" s="34"/>
    <row r="476" customFormat="1" s="34"/>
    <row r="477" customFormat="1" s="34"/>
    <row r="478" customFormat="1" s="34"/>
    <row r="479" customFormat="1" s="34"/>
    <row r="480" customFormat="1" s="34"/>
    <row r="481" customFormat="1" s="34"/>
    <row r="482" customFormat="1" s="34"/>
    <row r="483" customFormat="1" s="34"/>
    <row r="484" customFormat="1" s="34"/>
    <row r="485" customFormat="1" s="34"/>
    <row r="486" customFormat="1" s="34"/>
    <row r="487" customFormat="1" s="34"/>
    <row r="488" customFormat="1" s="34"/>
    <row r="489" customFormat="1" s="34"/>
    <row r="490" customFormat="1" s="34"/>
    <row r="491" customFormat="1" s="34"/>
    <row r="492" customFormat="1" s="34"/>
    <row r="493" customFormat="1" s="34"/>
    <row r="494" customFormat="1" s="34"/>
    <row r="495" customFormat="1" s="34"/>
    <row r="496" customFormat="1" s="34"/>
    <row r="497" customFormat="1" s="34"/>
    <row r="498" customFormat="1" s="34"/>
    <row r="499" customFormat="1" s="34"/>
    <row r="500" customFormat="1" s="34"/>
    <row r="501" customFormat="1" s="34"/>
    <row r="502" customFormat="1" s="34"/>
    <row r="503" customFormat="1" s="34"/>
    <row r="504" customFormat="1" s="34"/>
    <row r="505" customFormat="1" s="34"/>
    <row r="506" customFormat="1" s="34"/>
    <row r="507" customFormat="1" s="34"/>
    <row r="508" customFormat="1" s="34"/>
    <row r="509" customFormat="1" s="34"/>
    <row r="510" customFormat="1" s="34"/>
    <row r="511" customFormat="1" s="34"/>
    <row r="512" customFormat="1" s="34"/>
    <row r="513" customFormat="1" s="34"/>
    <row r="514" customFormat="1" s="34"/>
    <row r="515" customFormat="1" s="34"/>
    <row r="516" customFormat="1" s="34"/>
    <row r="517" customFormat="1" s="34"/>
    <row r="518" customFormat="1" s="34"/>
    <row r="519" customFormat="1" s="34"/>
    <row r="520" customFormat="1" s="34"/>
    <row r="521" customFormat="1" s="34"/>
    <row r="522" customFormat="1" s="34"/>
    <row r="523" customFormat="1" s="34"/>
    <row r="524" customFormat="1" s="34"/>
    <row r="525" customFormat="1" s="34"/>
    <row r="526" customFormat="1" s="34"/>
    <row r="527" customFormat="1" s="34"/>
    <row r="528" customFormat="1" s="34"/>
    <row r="529" customFormat="1" s="34"/>
    <row r="530" customFormat="1" s="34"/>
    <row r="531" customFormat="1" s="34"/>
    <row r="532" customFormat="1" s="34"/>
    <row r="533" customFormat="1" s="34"/>
    <row r="534" customFormat="1" s="34"/>
    <row r="535" customFormat="1" s="34"/>
    <row r="536" customFormat="1" s="34"/>
    <row r="537" customFormat="1" s="34"/>
    <row r="538" customFormat="1" s="34"/>
    <row r="539" customFormat="1" s="34"/>
    <row r="540" customFormat="1" s="34"/>
    <row r="541" customFormat="1" s="34"/>
    <row r="542" customFormat="1" s="34"/>
    <row r="543" customFormat="1" s="34"/>
    <row r="544" customFormat="1" s="34"/>
    <row r="545" customFormat="1" s="34"/>
    <row r="546" customFormat="1" s="34"/>
    <row r="547" customFormat="1" s="34"/>
    <row r="548" customFormat="1" s="34"/>
    <row r="549" customFormat="1" s="34"/>
    <row r="550" customFormat="1" s="34"/>
    <row r="551" customFormat="1" s="34"/>
    <row r="552" customFormat="1" s="34"/>
    <row r="553" customFormat="1" s="34"/>
    <row r="554" customFormat="1" s="34"/>
    <row r="555" customFormat="1" s="34"/>
    <row r="556" customFormat="1" s="34"/>
    <row r="557" customFormat="1" s="34"/>
    <row r="558" customFormat="1" s="34"/>
    <row r="559" customFormat="1" s="34"/>
    <row r="560" customFormat="1" s="34"/>
    <row r="561" customFormat="1" s="34"/>
    <row r="562" customFormat="1" s="34"/>
    <row r="563" customFormat="1" s="34"/>
    <row r="564" customFormat="1" s="34"/>
    <row r="565" customFormat="1" s="34"/>
    <row r="566" customFormat="1" s="34"/>
    <row r="567" customFormat="1" s="34"/>
    <row r="568" customFormat="1" s="34"/>
    <row r="569" customFormat="1" s="34"/>
    <row r="570" customFormat="1" s="34"/>
    <row r="571" customFormat="1" s="34"/>
    <row r="572" customFormat="1" s="34"/>
    <row r="573" customFormat="1" s="34"/>
    <row r="574" customFormat="1" s="34"/>
    <row r="575" customFormat="1" s="34"/>
    <row r="576" customFormat="1" s="34"/>
    <row r="577" customFormat="1" s="34"/>
    <row r="578" customFormat="1" s="34"/>
    <row r="579" customFormat="1" s="34"/>
    <row r="580" customFormat="1" s="34"/>
    <row r="581" customFormat="1" s="34"/>
    <row r="582" customFormat="1" s="34"/>
    <row r="583" customFormat="1" s="34"/>
    <row r="584" customFormat="1" s="34"/>
    <row r="585" customFormat="1" s="34"/>
    <row r="586" customFormat="1" s="34"/>
    <row r="587" customFormat="1" s="34"/>
    <row r="588" customFormat="1" s="34"/>
    <row r="589" customFormat="1" s="34"/>
    <row r="590" customFormat="1" s="34"/>
    <row r="591" customFormat="1" s="34"/>
    <row r="592" customFormat="1" s="34"/>
    <row r="593" customFormat="1" s="34"/>
    <row r="594" customFormat="1" s="34"/>
    <row r="595" customFormat="1" s="34"/>
    <row r="596" customFormat="1" s="34"/>
    <row r="597" customFormat="1" s="34"/>
    <row r="598" customFormat="1" s="34"/>
    <row r="599" customFormat="1" s="34"/>
    <row r="600" customFormat="1" s="34"/>
    <row r="601" customFormat="1" s="34"/>
    <row r="602" customFormat="1" s="34"/>
    <row r="603" customFormat="1" s="34"/>
    <row r="604" customFormat="1" s="34"/>
    <row r="605" customFormat="1" s="34"/>
    <row r="606" customFormat="1" s="34"/>
    <row r="607" customFormat="1" s="34"/>
    <row r="608" customFormat="1" s="34"/>
    <row r="609" customFormat="1" s="34"/>
    <row r="610" customFormat="1" s="34"/>
    <row r="611" customFormat="1" s="34"/>
    <row r="612" customFormat="1" s="34"/>
    <row r="613" customFormat="1" s="34"/>
    <row r="614" customFormat="1" s="34"/>
    <row r="615" customFormat="1" s="34"/>
    <row r="616" customFormat="1" s="34"/>
    <row r="617" customFormat="1" s="34"/>
    <row r="618" customFormat="1" s="34"/>
    <row r="619" customFormat="1" s="34"/>
    <row r="620" customFormat="1" s="34"/>
    <row r="621" customFormat="1" s="34"/>
    <row r="622" customFormat="1" s="34"/>
    <row r="623" customFormat="1" s="34"/>
    <row r="624" customFormat="1" s="34"/>
    <row r="625" customFormat="1" s="34"/>
    <row r="626" customFormat="1" s="34"/>
    <row r="627" customFormat="1" s="34"/>
    <row r="628" customFormat="1" s="34"/>
    <row r="629" customFormat="1" s="34"/>
    <row r="630" customFormat="1" s="34"/>
    <row r="631" customFormat="1" s="34"/>
    <row r="632" customFormat="1" s="34"/>
    <row r="633" customFormat="1" s="34"/>
    <row r="634" customFormat="1" s="34"/>
    <row r="635" customFormat="1" s="34"/>
    <row r="636" customFormat="1" s="34"/>
    <row r="637" customFormat="1" s="34"/>
    <row r="638" customFormat="1" s="34"/>
    <row r="639" customFormat="1" s="34"/>
    <row r="640" customFormat="1" s="34"/>
    <row r="641" customFormat="1" s="34"/>
    <row r="642" customFormat="1" s="34"/>
    <row r="643" customFormat="1" s="34"/>
    <row r="644" customFormat="1" s="34"/>
    <row r="645" customFormat="1" s="34"/>
    <row r="646" customFormat="1" s="34"/>
    <row r="647" customFormat="1" s="34"/>
    <row r="648" customFormat="1" s="34"/>
    <row r="649" customFormat="1" s="34"/>
    <row r="650" customFormat="1" s="34"/>
    <row r="651" customFormat="1" s="34"/>
    <row r="652" customFormat="1" s="34"/>
    <row r="653" customFormat="1" s="34"/>
    <row r="654" customFormat="1" s="34"/>
    <row r="655" customFormat="1" s="34"/>
    <row r="656" customFormat="1" s="34"/>
    <row r="657" customFormat="1" s="34"/>
    <row r="658" customFormat="1" s="34"/>
    <row r="659" customFormat="1" s="34"/>
    <row r="660" customFormat="1" s="34"/>
    <row r="661" customFormat="1" s="34"/>
    <row r="662" customFormat="1" s="34"/>
    <row r="663" customFormat="1" s="34"/>
    <row r="664" customFormat="1" s="34"/>
    <row r="665" customFormat="1" s="34"/>
    <row r="666" customFormat="1" s="34"/>
    <row r="667" customFormat="1" s="34"/>
    <row r="668" customFormat="1" s="34"/>
    <row r="669" customFormat="1" s="34"/>
    <row r="670" customFormat="1" s="34"/>
    <row r="671" customFormat="1" s="34"/>
    <row r="672" customFormat="1" s="34"/>
    <row r="673" customFormat="1" s="34"/>
    <row r="674" customFormat="1" s="34"/>
    <row r="675" customFormat="1" s="34"/>
    <row r="676" customFormat="1" s="34"/>
    <row r="677" customFormat="1" s="34"/>
    <row r="678" customFormat="1" s="34"/>
    <row r="679" customFormat="1" s="34"/>
    <row r="680" customFormat="1" s="34"/>
    <row r="681" customFormat="1" s="34"/>
    <row r="682" customFormat="1" s="34"/>
    <row r="683" customFormat="1" s="34"/>
    <row r="684" customFormat="1" s="34"/>
    <row r="685" customFormat="1" s="34"/>
    <row r="686" customFormat="1" s="34"/>
    <row r="687" customFormat="1" s="34"/>
    <row r="688" customFormat="1" s="34"/>
    <row r="689" customFormat="1" s="34"/>
    <row r="690" customFormat="1" s="34"/>
    <row r="691" customFormat="1" s="34"/>
    <row r="692" customFormat="1" s="34"/>
    <row r="693" customFormat="1" s="34"/>
    <row r="694" customFormat="1" s="34"/>
    <row r="695" customFormat="1" s="34"/>
    <row r="696" customFormat="1" s="34"/>
    <row r="697" customFormat="1" s="34"/>
    <row r="698" customFormat="1" s="34"/>
    <row r="699" customFormat="1" s="34"/>
    <row r="700" customFormat="1" s="34"/>
    <row r="701" customFormat="1" s="34"/>
    <row r="702" customFormat="1" s="34"/>
    <row r="703" customFormat="1" s="34"/>
    <row r="704" customFormat="1" s="34"/>
    <row r="705" customFormat="1" s="34"/>
    <row r="706" customFormat="1" s="34"/>
    <row r="707" customFormat="1" s="34"/>
    <row r="708" customFormat="1" s="34"/>
    <row r="709" customFormat="1" s="34"/>
    <row r="710" customFormat="1" s="34"/>
    <row r="711" customFormat="1" s="34"/>
    <row r="712" customFormat="1" s="34"/>
    <row r="713" customFormat="1" s="34"/>
    <row r="714" customFormat="1" s="34"/>
    <row r="715" customFormat="1" s="34"/>
    <row r="716" customFormat="1" s="34"/>
    <row r="717" customFormat="1" s="34"/>
    <row r="718" customFormat="1" s="34"/>
    <row r="719" customFormat="1" s="34"/>
    <row r="720" customFormat="1" s="34"/>
    <row r="721" customFormat="1" s="34"/>
    <row r="722" customFormat="1" s="34"/>
    <row r="723" customFormat="1" s="34"/>
    <row r="724" customFormat="1" s="34"/>
    <row r="725" customFormat="1" s="34"/>
    <row r="726" customFormat="1" s="34"/>
    <row r="727" customFormat="1" s="34"/>
    <row r="728" customFormat="1" s="34"/>
    <row r="729" customFormat="1" s="34"/>
    <row r="730" customFormat="1" s="34"/>
    <row r="731" customFormat="1" s="34"/>
    <row r="732" customFormat="1" s="34"/>
    <row r="733" customFormat="1" s="34"/>
    <row r="734" customFormat="1" s="34"/>
    <row r="735" customFormat="1" s="34"/>
    <row r="736" customFormat="1" s="34"/>
    <row r="737" customFormat="1" s="34"/>
    <row r="738" customFormat="1" s="34"/>
    <row r="739" customFormat="1" s="34"/>
    <row r="740" customFormat="1" s="34"/>
    <row r="741" customFormat="1" s="34"/>
    <row r="742" customFormat="1" s="34"/>
    <row r="743" customFormat="1" s="34"/>
    <row r="744" customFormat="1" s="34"/>
    <row r="745" customFormat="1" s="34"/>
    <row r="746" customFormat="1" s="34"/>
    <row r="747" customFormat="1" s="34"/>
    <row r="748" customFormat="1" s="34"/>
    <row r="749" customFormat="1" s="34"/>
    <row r="750" customFormat="1" s="34"/>
    <row r="751" customFormat="1" s="34"/>
    <row r="752" customFormat="1" s="34"/>
    <row r="753" customFormat="1" s="34"/>
    <row r="754" customFormat="1" s="34"/>
    <row r="755" customFormat="1" s="34"/>
    <row r="756" customFormat="1" s="34"/>
    <row r="757" customFormat="1" s="34"/>
    <row r="758" customFormat="1" s="34"/>
    <row r="759" customFormat="1" s="34"/>
    <row r="760" customFormat="1" s="34"/>
    <row r="761" customFormat="1" s="34"/>
    <row r="762" customFormat="1" s="34"/>
    <row r="763" customFormat="1" s="34"/>
    <row r="764" customFormat="1" s="34"/>
    <row r="765" customFormat="1" s="34"/>
    <row r="766" customFormat="1" s="34"/>
    <row r="767" customFormat="1" s="34"/>
    <row r="768" customFormat="1" s="34"/>
    <row r="769" customFormat="1" s="34"/>
    <row r="770" customFormat="1" s="34"/>
    <row r="771" customFormat="1" s="34"/>
    <row r="772" customFormat="1" s="34"/>
    <row r="773" customFormat="1" s="34"/>
    <row r="774" customFormat="1" s="34"/>
    <row r="775" customFormat="1" s="34"/>
    <row r="776" customFormat="1" s="34"/>
    <row r="777" customFormat="1" s="34"/>
    <row r="778" customFormat="1" s="34"/>
    <row r="779" customFormat="1" s="34"/>
    <row r="780" customFormat="1" s="34"/>
    <row r="781" customFormat="1" s="34"/>
    <row r="782" customFormat="1" s="34"/>
    <row r="783" customFormat="1" s="34"/>
    <row r="784" customFormat="1" s="34"/>
    <row r="785" customFormat="1" s="34"/>
    <row r="786" customFormat="1" s="34"/>
    <row r="787" customFormat="1" s="34"/>
    <row r="788" customFormat="1" s="34"/>
    <row r="789" customFormat="1" s="34"/>
    <row r="790" customFormat="1" s="34"/>
    <row r="791" customFormat="1" s="34"/>
    <row r="792" customFormat="1" s="34"/>
    <row r="793" customFormat="1" s="34"/>
    <row r="794" customFormat="1" s="34"/>
    <row r="795" customFormat="1" s="34"/>
    <row r="796" customFormat="1" s="34"/>
    <row r="797" customFormat="1" s="34"/>
    <row r="798" customFormat="1" s="34"/>
    <row r="799" customFormat="1" s="34"/>
    <row r="800" customFormat="1" s="34"/>
    <row r="801" customFormat="1" s="34"/>
    <row r="802" customFormat="1" s="34"/>
    <row r="803" customFormat="1" s="34"/>
    <row r="804" customFormat="1" s="34"/>
    <row r="805" customFormat="1" s="34"/>
    <row r="806" customFormat="1" s="34"/>
    <row r="807" customFormat="1" s="34"/>
    <row r="808" customFormat="1" s="34"/>
    <row r="809" customFormat="1" s="34"/>
    <row r="810" customFormat="1" s="34"/>
    <row r="811" customFormat="1" s="34"/>
    <row r="812" customFormat="1" s="34"/>
    <row r="813" customFormat="1" s="34"/>
    <row r="814" customFormat="1" s="34"/>
    <row r="815" customFormat="1" s="34"/>
    <row r="816" customFormat="1" s="34"/>
    <row r="817" customFormat="1" s="34"/>
    <row r="818" customFormat="1" s="34"/>
    <row r="819" customFormat="1" s="34"/>
    <row r="820" customFormat="1" s="34"/>
    <row r="821" customFormat="1" s="34"/>
    <row r="822" customFormat="1" s="34"/>
    <row r="823" customFormat="1" s="34"/>
    <row r="824" customFormat="1" s="34"/>
    <row r="825" customFormat="1" s="34"/>
    <row r="826" customFormat="1" s="34"/>
    <row r="827" customFormat="1" s="34"/>
    <row r="828" customFormat="1" s="34"/>
    <row r="829" customFormat="1" s="34"/>
    <row r="830" customFormat="1" s="34"/>
    <row r="831" customFormat="1" s="34"/>
    <row r="832" customFormat="1" s="34"/>
    <row r="833" customFormat="1" s="34"/>
    <row r="834" customFormat="1" s="34"/>
    <row r="835" customFormat="1" s="34"/>
    <row r="836" customFormat="1" s="34"/>
    <row r="837" customFormat="1" s="34"/>
    <row r="838" customFormat="1" s="34"/>
    <row r="839" customFormat="1" s="34"/>
    <row r="840" customFormat="1" s="34"/>
    <row r="841" customFormat="1" s="34"/>
    <row r="842" customFormat="1" s="34"/>
    <row r="843" customFormat="1" s="34"/>
    <row r="844" customFormat="1" s="34"/>
    <row r="845" customFormat="1" s="34"/>
    <row r="846" customFormat="1" s="34"/>
    <row r="847" customFormat="1" s="34"/>
    <row r="848" customFormat="1" s="34"/>
    <row r="849" customFormat="1" s="34"/>
    <row r="850" customFormat="1" s="34"/>
    <row r="851" customFormat="1" s="34"/>
    <row r="852" customFormat="1" s="34"/>
    <row r="853" customFormat="1" s="34"/>
    <row r="854" customFormat="1" s="34"/>
    <row r="855" customFormat="1" s="34"/>
    <row r="856" customFormat="1" s="34"/>
    <row r="857" customFormat="1" s="34"/>
    <row r="858" customFormat="1" s="34"/>
    <row r="859" customFormat="1" s="34"/>
    <row r="860" customFormat="1" s="34"/>
    <row r="861" customFormat="1" s="34"/>
    <row r="862" customFormat="1" s="34"/>
    <row r="863" customFormat="1" s="34"/>
    <row r="864" customFormat="1" s="34"/>
    <row r="865" customFormat="1" s="34"/>
    <row r="866" customFormat="1" s="34"/>
    <row r="867" customFormat="1" s="34"/>
    <row r="868" customFormat="1" s="34"/>
    <row r="869" customFormat="1" s="34"/>
    <row r="870" customFormat="1" s="34"/>
    <row r="871" customFormat="1" s="34"/>
    <row r="872" customFormat="1" s="34"/>
    <row r="873" customFormat="1" s="34"/>
    <row r="874" customFormat="1" s="34"/>
    <row r="875" customFormat="1" s="34"/>
    <row r="876" customFormat="1" s="34"/>
    <row r="877" customFormat="1" s="34"/>
    <row r="878" customFormat="1" s="34"/>
    <row r="879" customFormat="1" s="34"/>
    <row r="880" customFormat="1" s="34"/>
    <row r="881" customFormat="1" s="34"/>
    <row r="882" customFormat="1" s="34"/>
    <row r="883" customFormat="1" s="34"/>
    <row r="884" customFormat="1" s="34"/>
    <row r="885" customFormat="1" s="34"/>
    <row r="886" customFormat="1" s="34"/>
    <row r="887" customFormat="1" s="34"/>
    <row r="888" customFormat="1" s="34"/>
    <row r="889" customFormat="1" s="34"/>
    <row r="890" customFormat="1" s="34"/>
    <row r="891" customFormat="1" s="34"/>
    <row r="892" customFormat="1" s="34"/>
    <row r="893" customFormat="1" s="34"/>
    <row r="894" customFormat="1" s="34"/>
    <row r="895" customFormat="1" s="34"/>
    <row r="896" customFormat="1" s="34"/>
    <row r="897" customFormat="1" s="34"/>
    <row r="898" customFormat="1" s="34"/>
    <row r="899" customFormat="1" s="34"/>
    <row r="900" customFormat="1" s="34"/>
    <row r="901" customFormat="1" s="34"/>
    <row r="902" customFormat="1" s="34"/>
    <row r="903" customFormat="1" s="34"/>
    <row r="904" customFormat="1" s="34"/>
    <row r="905" customFormat="1" s="34"/>
    <row r="906" customFormat="1" s="34"/>
    <row r="907" customFormat="1" s="34"/>
    <row r="908" customFormat="1" s="34"/>
    <row r="909" customFormat="1" s="34"/>
    <row r="910" customFormat="1" s="34"/>
    <row r="911" customFormat="1" s="34"/>
    <row r="912" customFormat="1" s="34"/>
    <row r="913" customFormat="1" s="34"/>
    <row r="914" customFormat="1" s="34"/>
    <row r="915" customFormat="1" s="34"/>
    <row r="916" customFormat="1" s="34"/>
    <row r="917" customFormat="1" s="34"/>
    <row r="918" customFormat="1" s="34"/>
    <row r="919" customFormat="1" s="34"/>
    <row r="920" customFormat="1" s="34"/>
    <row r="921" customFormat="1" s="34"/>
    <row r="922" customFormat="1" s="34"/>
    <row r="923" customFormat="1" s="34"/>
    <row r="924" customFormat="1" s="34"/>
    <row r="925" customFormat="1" s="34"/>
    <row r="926" customFormat="1" s="34"/>
    <row r="927" customFormat="1" s="34"/>
    <row r="928" customFormat="1" s="34"/>
    <row r="929" customFormat="1" s="34"/>
    <row r="930" customFormat="1" s="34"/>
    <row r="931" customFormat="1" s="34"/>
    <row r="932" customFormat="1" s="34"/>
    <row r="933" customFormat="1" s="34"/>
    <row r="934" customFormat="1" s="34"/>
    <row r="935" customFormat="1" s="34"/>
    <row r="936" customFormat="1" s="34"/>
    <row r="937" customFormat="1" s="34"/>
    <row r="938" customFormat="1" s="34"/>
    <row r="939" customFormat="1" s="34"/>
    <row r="940" customFormat="1" s="34"/>
    <row r="941" customFormat="1" s="34"/>
    <row r="942" customFormat="1" s="34"/>
    <row r="943" customFormat="1" s="34"/>
    <row r="944" customFormat="1" s="34"/>
    <row r="945" customFormat="1" s="34"/>
    <row r="946" customFormat="1" s="34"/>
    <row r="947" customFormat="1" s="34"/>
    <row r="948" customFormat="1" s="34"/>
    <row r="949" customFormat="1" s="34"/>
    <row r="950" customFormat="1" s="34"/>
    <row r="951" customFormat="1" s="34"/>
    <row r="952" customFormat="1" s="34"/>
    <row r="953" customFormat="1" s="34"/>
    <row r="954" customFormat="1" s="34"/>
    <row r="955" customFormat="1" s="34"/>
    <row r="956" customFormat="1" s="34"/>
    <row r="957" customFormat="1" s="34"/>
    <row r="958" customFormat="1" s="34"/>
    <row r="959" customFormat="1" s="34"/>
    <row r="960" customFormat="1" s="34"/>
    <row r="961" customFormat="1" s="34"/>
    <row r="962" customFormat="1" s="34"/>
    <row r="963" customFormat="1" s="34"/>
    <row r="964" customFormat="1" s="34"/>
    <row r="965" customFormat="1" s="34"/>
    <row r="966" customFormat="1" s="34"/>
    <row r="967" customFormat="1" s="34"/>
    <row r="968" customFormat="1" s="34"/>
    <row r="969" customFormat="1" s="34"/>
    <row r="970" customFormat="1" s="34"/>
    <row r="971" customFormat="1" s="34"/>
    <row r="972" customFormat="1" s="34"/>
    <row r="973" customFormat="1" s="34"/>
    <row r="974" customFormat="1" s="34"/>
    <row r="975" customFormat="1" s="34"/>
    <row r="976" customFormat="1" s="34"/>
    <row r="977" customFormat="1" s="34"/>
    <row r="978" customFormat="1" s="34"/>
    <row r="979" customFormat="1" s="34"/>
    <row r="980" customFormat="1" s="34"/>
    <row r="981" customFormat="1" s="34"/>
    <row r="982" customFormat="1" s="34"/>
    <row r="983" customFormat="1" s="34"/>
    <row r="984" customFormat="1" s="34"/>
    <row r="985" customFormat="1" s="34"/>
    <row r="986" customFormat="1" s="34"/>
    <row r="987" customFormat="1" s="34"/>
    <row r="988" customFormat="1" s="34"/>
    <row r="989" customFormat="1" s="34"/>
    <row r="990" customFormat="1" s="34"/>
    <row r="991" customFormat="1" s="34"/>
    <row r="992" customFormat="1" s="34"/>
    <row r="993" customFormat="1" s="34"/>
    <row r="994" customFormat="1" s="34"/>
    <row r="995" customFormat="1" s="34"/>
    <row r="996" customFormat="1" s="34"/>
    <row r="997" customFormat="1" s="34"/>
    <row r="998" customFormat="1" s="34"/>
    <row r="999" customFormat="1" s="34"/>
    <row r="1000" customFormat="1" s="34"/>
    <row r="1001" customFormat="1" s="34"/>
    <row r="1002" customFormat="1" s="34"/>
    <row r="1003" customFormat="1" s="34"/>
    <row r="1004" customFormat="1" s="34"/>
    <row r="1005" customFormat="1" s="34"/>
    <row r="1006" customFormat="1" s="34"/>
    <row r="1007" customFormat="1" s="34"/>
    <row r="1008" customFormat="1" s="34"/>
    <row r="1009" customFormat="1" s="34"/>
    <row r="1010" customFormat="1" s="34"/>
    <row r="1011" customFormat="1" s="34"/>
    <row r="1012" customFormat="1" s="34"/>
    <row r="1013" customFormat="1" s="34"/>
    <row r="1014" customFormat="1" s="34"/>
    <row r="1015" customFormat="1" s="34"/>
    <row r="1016" customFormat="1" s="34"/>
    <row r="1017" customFormat="1" s="34"/>
    <row r="1018" customFormat="1" s="34"/>
    <row r="1019" customFormat="1" s="34"/>
    <row r="1020" customFormat="1" s="34"/>
    <row r="1021" customFormat="1" s="34"/>
    <row r="1022" customFormat="1" s="34"/>
    <row r="1023" customFormat="1" s="34"/>
    <row r="1024" customFormat="1" s="34"/>
    <row r="1025" customFormat="1" s="34"/>
    <row r="1026" customFormat="1" s="34"/>
    <row r="1027" customFormat="1" s="34"/>
    <row r="1028" customFormat="1" s="34"/>
    <row r="1029" customFormat="1" s="34"/>
    <row r="1030" customFormat="1" s="34"/>
    <row r="1031" customFormat="1" s="34"/>
    <row r="1032" customFormat="1" s="34"/>
    <row r="1033" customFormat="1" s="34"/>
    <row r="1034" customFormat="1" s="34"/>
    <row r="1035" customFormat="1" s="34"/>
    <row r="1036" customFormat="1" s="34"/>
    <row r="1037" customFormat="1" s="34"/>
    <row r="1038" customFormat="1" s="34"/>
    <row r="1039" customFormat="1" s="34"/>
    <row r="1040" customFormat="1" s="34"/>
    <row r="1041" customFormat="1" s="34"/>
    <row r="1042" customFormat="1" s="34"/>
    <row r="1043" customFormat="1" s="34"/>
    <row r="1044" customFormat="1" s="34"/>
    <row r="1045" customFormat="1" s="34"/>
    <row r="1046" customFormat="1" s="34"/>
    <row r="1047" customFormat="1" s="34"/>
    <row r="1048" customFormat="1" s="34"/>
    <row r="1049" customFormat="1" s="34"/>
    <row r="1050" customFormat="1" s="34"/>
    <row r="1051" customFormat="1" s="34"/>
    <row r="1052" customFormat="1" s="34"/>
    <row r="1053" customFormat="1" s="34"/>
    <row r="1054" customFormat="1" s="34"/>
    <row r="1055" customFormat="1" s="34"/>
    <row r="1056" customFormat="1" s="34"/>
    <row r="1057" customFormat="1" s="34"/>
    <row r="1058" customFormat="1" s="34"/>
    <row r="1059" customFormat="1" s="34"/>
    <row r="1060" customFormat="1" s="34"/>
    <row r="1061" customFormat="1" s="34"/>
    <row r="1062" customFormat="1" s="34"/>
    <row r="1063" customFormat="1" s="34"/>
    <row r="1064" customFormat="1" s="34"/>
    <row r="1065" customFormat="1" s="34"/>
    <row r="1066" customFormat="1" s="34"/>
    <row r="1067" customFormat="1" s="34"/>
    <row r="1068" customFormat="1" s="34"/>
    <row r="1069" customFormat="1" s="34"/>
    <row r="1070" customFormat="1" s="34"/>
    <row r="1071" customFormat="1" s="34"/>
    <row r="1072" customFormat="1" s="34"/>
    <row r="1073" customFormat="1" s="34"/>
    <row r="1074" customFormat="1" s="34"/>
    <row r="1075" customFormat="1" s="34"/>
    <row r="1076" customFormat="1" s="34"/>
    <row r="1077" customFormat="1" s="34"/>
    <row r="1078" customFormat="1" s="34"/>
    <row r="1079" customFormat="1" s="34"/>
    <row r="1080" customFormat="1" s="34"/>
    <row r="1081" customFormat="1" s="34"/>
    <row r="1082" customFormat="1" s="34"/>
    <row r="1083" customFormat="1" s="34"/>
    <row r="1084" customFormat="1" s="34"/>
    <row r="1085" customFormat="1" s="34"/>
    <row r="1086" customFormat="1" s="34"/>
    <row r="1087" customFormat="1" s="34"/>
    <row r="1088" customFormat="1" s="34"/>
    <row r="1089" customFormat="1" s="34"/>
    <row r="1090" customFormat="1" s="34"/>
    <row r="1091" customFormat="1" s="34"/>
    <row r="1092" customFormat="1" s="34"/>
    <row r="1093" customFormat="1" s="34"/>
    <row r="1094" customFormat="1" s="34"/>
    <row r="1095" customFormat="1" s="34"/>
    <row r="1096" customFormat="1" s="34"/>
    <row r="1097" customFormat="1" s="34"/>
    <row r="1098" customFormat="1" s="34"/>
    <row r="1099" customFormat="1" s="34"/>
    <row r="1100" customFormat="1" s="34"/>
    <row r="1101" customFormat="1" s="34"/>
    <row r="1102" customFormat="1" s="34"/>
    <row r="1103" customFormat="1" s="34"/>
    <row r="1104" customFormat="1" s="34"/>
    <row r="1105" customFormat="1" s="34"/>
    <row r="1106" customFormat="1" s="34"/>
    <row r="1107" customFormat="1" s="34"/>
    <row r="1108" customFormat="1" s="34"/>
    <row r="1109" customFormat="1" s="34"/>
    <row r="1110" customFormat="1" s="34"/>
    <row r="1111" customFormat="1" s="34"/>
    <row r="1112" customFormat="1" s="34"/>
    <row r="1113" customFormat="1" s="34"/>
    <row r="1114" customFormat="1" s="34"/>
    <row r="1115" customFormat="1" s="34"/>
    <row r="1116" customFormat="1" s="34"/>
    <row r="1117" customFormat="1" s="34"/>
    <row r="1118" customFormat="1" s="34"/>
    <row r="1119" customFormat="1" s="34"/>
    <row r="1120" customFormat="1" s="34"/>
    <row r="1121" customFormat="1" s="34"/>
    <row r="1122" customFormat="1" s="34"/>
    <row r="1123" customFormat="1" s="34"/>
    <row r="1124" customFormat="1" s="34"/>
    <row r="1125" customFormat="1" s="34"/>
    <row r="1126" customFormat="1" s="34"/>
    <row r="1127" customFormat="1" s="34"/>
    <row r="1128" customFormat="1" s="34"/>
    <row r="1129" customFormat="1" s="34"/>
    <row r="1130" customFormat="1" s="34"/>
    <row r="1131" customFormat="1" s="34"/>
    <row r="1132" customFormat="1" s="34"/>
    <row r="1133" customFormat="1" s="34"/>
    <row r="1134" customFormat="1" s="34"/>
    <row r="1135" customFormat="1" s="34"/>
    <row r="1136" customFormat="1" s="34"/>
    <row r="1137" customFormat="1" s="34"/>
    <row r="1138" customFormat="1" s="34"/>
    <row r="1139" customFormat="1" s="34"/>
    <row r="1140" customFormat="1" s="34"/>
    <row r="1141" customFormat="1" s="34"/>
    <row r="1142" customFormat="1" s="34"/>
    <row r="1143" customFormat="1" s="34"/>
    <row r="1144" customFormat="1" s="34"/>
    <row r="1145" customFormat="1" s="34"/>
    <row r="1146" customFormat="1" s="34"/>
    <row r="1147" customFormat="1" s="34"/>
    <row r="1148" customFormat="1" s="34"/>
    <row r="1149" customFormat="1" s="34"/>
    <row r="1150" customFormat="1" s="34"/>
    <row r="1151" customFormat="1" s="34"/>
    <row r="1152" customFormat="1" s="34"/>
    <row r="1153" customFormat="1" s="34"/>
    <row r="1154" customFormat="1" s="34"/>
    <row r="1155" customFormat="1" s="34"/>
    <row r="1156" customFormat="1" s="34"/>
    <row r="1157" customFormat="1" s="34"/>
    <row r="1158" customFormat="1" s="34"/>
    <row r="1159" customFormat="1" s="34"/>
    <row r="1160" customFormat="1" s="34"/>
    <row r="1161" customFormat="1" s="34"/>
    <row r="1162" customFormat="1" s="34"/>
    <row r="1163" customFormat="1" s="34"/>
    <row r="1164" customFormat="1" s="34"/>
    <row r="1165" customFormat="1" s="34"/>
    <row r="1166" customFormat="1" s="34"/>
    <row r="1167" customFormat="1" s="34"/>
    <row r="1168" customFormat="1" s="34"/>
    <row r="1169" customFormat="1" s="34"/>
    <row r="1170" customFormat="1" s="34"/>
    <row r="1171" customFormat="1" s="34"/>
    <row r="1172" customFormat="1" s="34"/>
    <row r="1173" customFormat="1" s="34"/>
    <row r="1174" customFormat="1" s="34"/>
    <row r="1175" customFormat="1" s="34"/>
    <row r="1176" customFormat="1" s="34"/>
    <row r="1177" customFormat="1" s="34"/>
    <row r="1178" customFormat="1" s="34"/>
    <row r="1179" customFormat="1" s="34"/>
    <row r="1180" customFormat="1" s="34"/>
    <row r="1181" customFormat="1" s="34"/>
    <row r="1182" customFormat="1" s="34"/>
    <row r="1183" customFormat="1" s="34"/>
    <row r="1184" customFormat="1" s="34"/>
    <row r="1185" customFormat="1" s="34"/>
    <row r="1186" customFormat="1" s="34"/>
    <row r="1187" customFormat="1" s="34"/>
    <row r="1188" customFormat="1" s="34"/>
    <row r="1189" customFormat="1" s="34"/>
    <row r="1190" customFormat="1" s="34"/>
    <row r="1191" customFormat="1" s="34"/>
    <row r="1192" customFormat="1" s="34"/>
    <row r="1193" customFormat="1" s="34"/>
    <row r="1194" customFormat="1" s="34"/>
    <row r="1195" customFormat="1" s="34"/>
    <row r="1196" customFormat="1" s="34"/>
    <row r="1197" customFormat="1" s="34"/>
    <row r="1198" customFormat="1" s="34"/>
    <row r="1199" customFormat="1" s="34"/>
    <row r="1200" customFormat="1" s="34"/>
    <row r="1201" customFormat="1" s="34"/>
    <row r="1202" customFormat="1" s="34"/>
    <row r="1203" customFormat="1" s="34"/>
    <row r="1204" customFormat="1" s="34"/>
    <row r="1205" customFormat="1" s="34"/>
    <row r="1206" customFormat="1" s="34"/>
    <row r="1207" customFormat="1" s="34"/>
    <row r="1208" customFormat="1" s="34"/>
    <row r="1209" customFormat="1" s="34"/>
    <row r="1210" customFormat="1" s="34"/>
    <row r="1211" customFormat="1" s="34"/>
    <row r="1212" customFormat="1" s="34"/>
    <row r="1213" customFormat="1" s="34"/>
    <row r="1214" customFormat="1" s="34"/>
    <row r="1215" customFormat="1" s="34"/>
    <row r="1216" customFormat="1" s="34"/>
    <row r="1217" customFormat="1" s="34"/>
    <row r="1218" customFormat="1" s="34"/>
    <row r="1219" customFormat="1" s="34"/>
    <row r="1220" customFormat="1" s="34"/>
    <row r="1221" customFormat="1" s="34"/>
    <row r="1222" customFormat="1" s="34"/>
    <row r="1223" customFormat="1" s="34"/>
    <row r="1224" customFormat="1" s="34"/>
    <row r="1225" customFormat="1" s="34"/>
    <row r="1226" customFormat="1" s="34"/>
    <row r="1227" customFormat="1" s="34"/>
    <row r="1228" customFormat="1" s="34"/>
    <row r="1229" customFormat="1" s="34"/>
    <row r="1230" customFormat="1" s="34"/>
    <row r="1231" customFormat="1" s="34"/>
    <row r="1232" customFormat="1" s="34"/>
    <row r="1233" customFormat="1" s="34"/>
    <row r="1234" customFormat="1" s="34"/>
    <row r="1235" customFormat="1" s="34"/>
    <row r="1236" customFormat="1" s="34"/>
    <row r="1237" customFormat="1" s="34"/>
    <row r="1238" customFormat="1" s="34"/>
    <row r="1239" customFormat="1" s="34"/>
    <row r="1240" customFormat="1" s="34"/>
    <row r="1241" customFormat="1" s="34"/>
    <row r="1242" customFormat="1" s="34"/>
    <row r="1243" customFormat="1" s="34"/>
    <row r="1244" customFormat="1" s="34"/>
    <row r="1245" customFormat="1" s="34"/>
    <row r="1246" customFormat="1" s="34"/>
    <row r="1247" customFormat="1" s="34"/>
    <row r="1248" customFormat="1" s="34"/>
    <row r="1249" customFormat="1" s="34"/>
    <row r="1250" customFormat="1" s="34"/>
    <row r="1251" customFormat="1" s="34"/>
    <row r="1252" customFormat="1" s="34"/>
    <row r="1253" customFormat="1" s="34"/>
    <row r="1254" customFormat="1" s="34"/>
    <row r="1255" customFormat="1" s="34"/>
    <row r="1256" customFormat="1" s="34"/>
    <row r="1257" customFormat="1" s="34"/>
    <row r="1258" customFormat="1" s="34"/>
    <row r="1259" customFormat="1" s="34"/>
    <row r="1260" customFormat="1" s="34"/>
    <row r="1261" customFormat="1" s="34"/>
    <row r="1262" customFormat="1" s="34"/>
    <row r="1263" customFormat="1" s="34"/>
    <row r="1264" customFormat="1" s="34"/>
    <row r="1265" customFormat="1" s="34"/>
    <row r="1266" customFormat="1" s="34"/>
    <row r="1267" customFormat="1" s="34"/>
    <row r="1268" customFormat="1" s="34"/>
    <row r="1269" customFormat="1" s="34"/>
    <row r="1270" customFormat="1" s="34"/>
    <row r="1271" customFormat="1" s="34"/>
    <row r="1272" customFormat="1" s="34"/>
    <row r="1273" customFormat="1" s="34"/>
    <row r="1274" customFormat="1" s="34"/>
    <row r="1275" customFormat="1" s="34"/>
    <row r="1276" customFormat="1" s="34"/>
    <row r="1277" customFormat="1" s="34"/>
    <row r="1278" customFormat="1" s="34"/>
    <row r="1279" customFormat="1" s="34"/>
    <row r="1280" customFormat="1" s="34"/>
    <row r="1281" customFormat="1" s="34"/>
    <row r="1282" customFormat="1" s="34"/>
    <row r="1283" customFormat="1" s="34"/>
    <row r="1284" customFormat="1" s="34"/>
    <row r="1285" customFormat="1" s="34"/>
    <row r="1286" customFormat="1" s="34"/>
    <row r="1287" customFormat="1" s="34"/>
    <row r="1288" customFormat="1" s="34"/>
    <row r="1289" customFormat="1" s="34"/>
    <row r="1290" customFormat="1" s="34"/>
    <row r="1291" customFormat="1" s="34"/>
    <row r="1292" customFormat="1" s="34"/>
    <row r="1293" customFormat="1" s="34"/>
    <row r="1294" customFormat="1" s="34"/>
    <row r="1295" customFormat="1" s="34"/>
    <row r="1296" customFormat="1" s="34"/>
    <row r="1297" customFormat="1" s="34"/>
    <row r="1298" customFormat="1" s="34"/>
    <row r="1299" customFormat="1" s="34"/>
    <row r="1300" customFormat="1" s="34"/>
    <row r="1301" customFormat="1" s="34"/>
    <row r="1302" customFormat="1" s="34"/>
    <row r="1303" customFormat="1" s="34"/>
    <row r="1304" customFormat="1" s="34"/>
    <row r="1305" customFormat="1" s="34"/>
    <row r="1306" customFormat="1" s="34"/>
    <row r="1307" customFormat="1" s="34"/>
    <row r="1308" customFormat="1" s="34"/>
    <row r="1309" customFormat="1" s="34"/>
    <row r="1310" customFormat="1" s="34"/>
    <row r="1311" customFormat="1" s="34"/>
    <row r="1312" customFormat="1" s="34"/>
    <row r="1313" customFormat="1" s="34"/>
    <row r="1314" customFormat="1" s="34"/>
    <row r="1315" customFormat="1" s="34"/>
    <row r="1316" customFormat="1" s="34"/>
    <row r="1317" customFormat="1" s="34"/>
    <row r="1318" customFormat="1" s="34"/>
    <row r="1319" customFormat="1" s="34"/>
    <row r="1320" customFormat="1" s="34"/>
    <row r="1321" customFormat="1" s="34"/>
    <row r="1322" customFormat="1" s="34"/>
    <row r="1323" customFormat="1" s="34"/>
    <row r="1324" customFormat="1" s="34"/>
    <row r="1325" customFormat="1" s="34"/>
    <row r="1326" customFormat="1" s="34"/>
    <row r="1327" customFormat="1" s="34"/>
    <row r="1328" customFormat="1" s="34"/>
    <row r="1329" customFormat="1" s="34"/>
    <row r="1330" customFormat="1" s="34"/>
    <row r="1331" customFormat="1" s="34"/>
    <row r="1332" customFormat="1" s="34"/>
    <row r="1333" customFormat="1" s="34"/>
    <row r="1334" customFormat="1" s="34"/>
    <row r="1335" customFormat="1" s="34"/>
    <row r="1336" customFormat="1" s="34"/>
    <row r="1337" customFormat="1" s="34"/>
    <row r="1338" customFormat="1" s="34"/>
    <row r="1339" customFormat="1" s="34"/>
    <row r="1340" customFormat="1" s="34"/>
    <row r="1341" customFormat="1" s="34"/>
    <row r="1342" customFormat="1" s="34"/>
    <row r="1343" customFormat="1" s="34"/>
    <row r="1344" customFormat="1" s="34"/>
    <row r="1345" customFormat="1" s="34"/>
    <row r="1346" customFormat="1" s="34"/>
    <row r="1347" customFormat="1" s="34"/>
    <row r="1348" customFormat="1" s="34"/>
    <row r="1349" customFormat="1" s="34"/>
    <row r="1350" customFormat="1" s="34"/>
    <row r="1351" customFormat="1" s="34"/>
    <row r="1352" customFormat="1" s="34"/>
    <row r="1353" customFormat="1" s="34"/>
    <row r="1354" customFormat="1" s="34"/>
    <row r="1355" customFormat="1" s="34"/>
    <row r="1356" customFormat="1" s="34"/>
    <row r="1357" customFormat="1" s="34"/>
    <row r="1358" customFormat="1" s="34"/>
    <row r="1359" customFormat="1" s="34"/>
    <row r="1360" customFormat="1" s="34"/>
    <row r="1361" customFormat="1" s="34"/>
    <row r="1362" customFormat="1" s="34"/>
    <row r="1363" customFormat="1" s="34"/>
    <row r="1364" customFormat="1" s="34"/>
    <row r="1365" customFormat="1" s="34"/>
    <row r="1366" customFormat="1" s="34"/>
    <row r="1367" customFormat="1" s="34"/>
    <row r="1368" customFormat="1" s="34"/>
    <row r="1369" customFormat="1" s="34"/>
    <row r="1370" customFormat="1" s="34"/>
    <row r="1371" customFormat="1" s="34"/>
    <row r="1372" customFormat="1" s="34"/>
    <row r="1373" customFormat="1" s="34"/>
    <row r="1374" customFormat="1" s="34"/>
    <row r="1375" customFormat="1" s="34"/>
    <row r="1376" customFormat="1" s="34"/>
    <row r="1377" customFormat="1" s="34"/>
    <row r="1378" customFormat="1" s="34"/>
    <row r="1379" customFormat="1" s="34"/>
    <row r="1380" customFormat="1" s="34"/>
    <row r="1381" customFormat="1" s="34"/>
    <row r="1382" customFormat="1" s="34"/>
    <row r="1383" customFormat="1" s="34"/>
    <row r="1384" customFormat="1" s="34"/>
    <row r="1385" customFormat="1" s="34"/>
    <row r="1386" customFormat="1" s="34"/>
    <row r="1387" customFormat="1" s="34"/>
    <row r="1388" customFormat="1" s="34"/>
    <row r="1389" customFormat="1" s="34"/>
    <row r="1390" customFormat="1" s="34"/>
    <row r="1391" customFormat="1" s="34"/>
    <row r="1392" customFormat="1" s="34"/>
    <row r="1393" customFormat="1" s="34"/>
    <row r="1394" customFormat="1" s="34"/>
    <row r="1395" customFormat="1" s="34"/>
    <row r="1396" customFormat="1" s="34"/>
    <row r="1397" customFormat="1" s="34"/>
    <row r="1398" customFormat="1" s="34"/>
    <row r="1399" customFormat="1" s="34"/>
    <row r="1400" customFormat="1" s="34"/>
    <row r="1401" customFormat="1" s="34"/>
    <row r="1402" customFormat="1" s="34"/>
    <row r="1403" customFormat="1" s="34"/>
    <row r="1404" customFormat="1" s="34"/>
    <row r="1405" customFormat="1" s="34"/>
    <row r="1406" customFormat="1" s="34"/>
    <row r="1407" customFormat="1" s="34"/>
    <row r="1408" customFormat="1" s="34"/>
    <row r="1409" customFormat="1" s="34"/>
    <row r="1410" customFormat="1" s="34"/>
    <row r="1411" customFormat="1" s="34"/>
    <row r="1412" customFormat="1" s="34"/>
    <row r="1413" customFormat="1" s="34"/>
    <row r="1414" customFormat="1" s="34"/>
    <row r="1415" customFormat="1" s="34"/>
    <row r="1416" customFormat="1" s="34"/>
    <row r="1417" customFormat="1" s="34"/>
    <row r="1418" customFormat="1" s="34"/>
    <row r="1419" customFormat="1" s="34"/>
    <row r="1420" customFormat="1" s="34"/>
    <row r="1421" customFormat="1" s="34"/>
    <row r="1422" customFormat="1" s="34"/>
    <row r="1423" customFormat="1" s="34"/>
    <row r="1424" customFormat="1" s="34"/>
    <row r="1425" customFormat="1" s="34"/>
    <row r="1426" customFormat="1" s="34"/>
    <row r="1427" customFormat="1" s="34"/>
    <row r="1428" customFormat="1" s="34"/>
    <row r="1429" customFormat="1" s="34"/>
    <row r="1430" customFormat="1" s="34"/>
    <row r="1431" customFormat="1" s="34"/>
    <row r="1432" customFormat="1" s="34"/>
    <row r="1433" customFormat="1" s="34"/>
    <row r="1434" customFormat="1" s="34"/>
    <row r="1435" customFormat="1" s="34"/>
    <row r="1436" customFormat="1" s="34"/>
    <row r="1437" customFormat="1" s="34"/>
    <row r="1438" customFormat="1" s="34"/>
    <row r="1439" customFormat="1" s="34"/>
    <row r="1440" customFormat="1" s="34"/>
    <row r="1441" customFormat="1" s="34"/>
    <row r="1442" customFormat="1" s="34"/>
    <row r="1443" customFormat="1" s="34"/>
    <row r="1444" customFormat="1" s="34"/>
    <row r="1445" customFormat="1" s="34"/>
    <row r="1446" customFormat="1" s="34"/>
    <row r="1447" customFormat="1" s="34"/>
    <row r="1448" customFormat="1" s="34"/>
    <row r="1449" customFormat="1" s="34"/>
    <row r="1450" customFormat="1" s="34"/>
    <row r="1451" customFormat="1" s="34"/>
    <row r="1452" customFormat="1" s="34"/>
    <row r="1453" customFormat="1" s="34"/>
    <row r="1454" customFormat="1" s="34"/>
    <row r="1455" customFormat="1" s="34"/>
    <row r="1456" customFormat="1" s="34"/>
    <row r="1457" customFormat="1" s="34"/>
    <row r="1458" customFormat="1" s="34"/>
    <row r="1459" customFormat="1" s="34"/>
    <row r="1460" customFormat="1" s="34"/>
    <row r="1461" customFormat="1" s="34"/>
    <row r="1462" customFormat="1" s="34"/>
    <row r="1463" customFormat="1" s="34"/>
    <row r="1464" customFormat="1" s="34"/>
    <row r="1465" customFormat="1" s="34"/>
    <row r="1466" customFormat="1" s="34"/>
    <row r="1467" customFormat="1" s="34"/>
    <row r="1468" customFormat="1" s="34"/>
    <row r="1469" customFormat="1" s="34"/>
    <row r="1470" customFormat="1" s="34"/>
    <row r="1471" customFormat="1" s="34"/>
    <row r="1472" customFormat="1" s="34"/>
    <row r="1473" customFormat="1" s="34"/>
    <row r="1474" customFormat="1" s="34"/>
    <row r="1475" customFormat="1" s="34"/>
    <row r="1476" customFormat="1" s="34"/>
    <row r="1477" customFormat="1" s="34"/>
    <row r="1478" customFormat="1" s="34"/>
    <row r="1479" customFormat="1" s="34"/>
    <row r="1480" customFormat="1" s="34"/>
    <row r="1481" customFormat="1" s="34"/>
    <row r="1482" customFormat="1" s="34"/>
    <row r="1483" customFormat="1" s="34"/>
    <row r="1484" customFormat="1" s="34"/>
    <row r="1485" customFormat="1" s="34"/>
    <row r="1486" customFormat="1" s="34"/>
    <row r="1487" customFormat="1" s="34"/>
    <row r="1488" customFormat="1" s="34"/>
    <row r="1489" customFormat="1" s="34"/>
    <row r="1490" customFormat="1" s="34"/>
    <row r="1491" customFormat="1" s="34"/>
    <row r="1492" customFormat="1" s="34"/>
    <row r="1493" customFormat="1" s="34"/>
    <row r="1494" customFormat="1" s="34"/>
    <row r="1495" customFormat="1" s="34"/>
    <row r="1496" customFormat="1" s="34"/>
    <row r="1497" customFormat="1" s="34"/>
    <row r="1498" customFormat="1" s="34"/>
    <row r="1499" customFormat="1" s="34"/>
    <row r="1500" customFormat="1" s="34"/>
    <row r="1501" customFormat="1" s="34"/>
    <row r="1502" customFormat="1" s="34"/>
    <row r="1503" customFormat="1" s="34"/>
    <row r="1504" customFormat="1" s="34"/>
    <row r="1505" customFormat="1" s="34"/>
    <row r="1506" customFormat="1" s="34"/>
    <row r="1507" customFormat="1" s="34"/>
    <row r="1508" customFormat="1" s="34"/>
    <row r="1509" customFormat="1" s="34"/>
    <row r="1510" customFormat="1" s="34"/>
    <row r="1511" customFormat="1" s="34"/>
    <row r="1512" customFormat="1" s="34"/>
    <row r="1513" customFormat="1" s="34"/>
    <row r="1514" customFormat="1" s="34"/>
    <row r="1515" customFormat="1" s="34"/>
    <row r="1516" customFormat="1" s="34"/>
    <row r="1517" customFormat="1" s="34"/>
    <row r="1518" customFormat="1" s="34"/>
    <row r="1519" customFormat="1" s="34"/>
    <row r="1520" customFormat="1" s="34"/>
    <row r="1521" customFormat="1" s="34"/>
    <row r="1522" customFormat="1" s="34"/>
    <row r="1523" customFormat="1" s="34"/>
    <row r="1524" customFormat="1" s="34"/>
    <row r="1525" customFormat="1" s="34"/>
    <row r="1526" customFormat="1" s="34"/>
    <row r="1527" customFormat="1" s="34"/>
    <row r="1528" customFormat="1" s="34"/>
    <row r="1529" customFormat="1" s="34"/>
    <row r="1530" customFormat="1" s="34"/>
    <row r="1531" customFormat="1" s="34"/>
    <row r="1532" customFormat="1" s="34"/>
    <row r="1533" customFormat="1" s="34"/>
    <row r="1534" customFormat="1" s="34"/>
    <row r="1535" customFormat="1" s="34"/>
    <row r="1536" customFormat="1" s="34"/>
    <row r="1537" customFormat="1" s="34"/>
    <row r="1538" customFormat="1" s="34"/>
    <row r="1539" customFormat="1" s="34"/>
    <row r="1540" customFormat="1" s="34"/>
    <row r="1541" customFormat="1" s="34"/>
    <row r="1542" customFormat="1" s="34"/>
    <row r="1543" customFormat="1" s="34"/>
    <row r="1544" customFormat="1" s="34"/>
    <row r="1545" customFormat="1" s="34"/>
    <row r="1546" customFormat="1" s="34"/>
    <row r="1547" customFormat="1" s="34"/>
    <row r="1548" customFormat="1" s="34"/>
    <row r="1549" customFormat="1" s="34"/>
    <row r="1550" customFormat="1" s="34"/>
    <row r="1551" customFormat="1" s="34"/>
    <row r="1552" customFormat="1" s="34"/>
    <row r="1553" customFormat="1" s="34"/>
    <row r="1554" customFormat="1" s="34"/>
    <row r="1555" customFormat="1" s="34"/>
    <row r="1556" customFormat="1" s="34"/>
    <row r="1557" customFormat="1" s="34"/>
    <row r="1558" customFormat="1" s="34"/>
    <row r="1559" customFormat="1" s="34"/>
    <row r="1560" customFormat="1" s="34"/>
    <row r="1561" customFormat="1" s="34"/>
    <row r="1562" customFormat="1" s="34"/>
    <row r="1563" customFormat="1" s="34"/>
    <row r="1564" customFormat="1" s="34"/>
    <row r="1565" customFormat="1" s="34"/>
    <row r="1566" customFormat="1" s="34"/>
    <row r="1567" customFormat="1" s="34"/>
    <row r="1568" customFormat="1" s="34"/>
    <row r="1569" customFormat="1" s="34"/>
    <row r="1570" customFormat="1" s="34"/>
    <row r="1571" customFormat="1" s="34"/>
    <row r="1572" customFormat="1" s="34"/>
    <row r="1573" customFormat="1" s="34"/>
    <row r="1574" customFormat="1" s="34"/>
    <row r="1575" customFormat="1" s="34"/>
    <row r="1576" customFormat="1" s="34"/>
    <row r="1577" customFormat="1" s="34"/>
    <row r="1578" customFormat="1" s="34"/>
    <row r="1579" customFormat="1" s="34"/>
    <row r="1580" customFormat="1" s="34"/>
    <row r="1581" customFormat="1" s="34"/>
    <row r="1582" customFormat="1" s="34"/>
    <row r="1583" customFormat="1" s="34"/>
    <row r="1584" customFormat="1" s="34"/>
    <row r="1585" customFormat="1" s="34"/>
    <row r="1586" customFormat="1" s="34"/>
    <row r="1587" customFormat="1" s="34"/>
    <row r="1588" customFormat="1" s="34"/>
    <row r="1589" customFormat="1" s="34"/>
    <row r="1590" customFormat="1" s="34"/>
    <row r="1591" customFormat="1" s="34"/>
    <row r="1592" customFormat="1" s="34"/>
    <row r="1593" customFormat="1" s="34"/>
    <row r="1594" customFormat="1" s="34"/>
    <row r="1595" customFormat="1" s="34"/>
    <row r="1596" customFormat="1" s="34"/>
    <row r="1597" customFormat="1" s="34"/>
    <row r="1598" customFormat="1" s="34"/>
    <row r="1599" customFormat="1" s="34"/>
    <row r="1600" customFormat="1" s="34"/>
    <row r="1601" customFormat="1" s="34"/>
    <row r="1602" customFormat="1" s="34"/>
    <row r="1603" customFormat="1" s="34"/>
    <row r="1604" customFormat="1" s="34"/>
    <row r="1605" customFormat="1" s="34"/>
    <row r="1606" customFormat="1" s="34"/>
    <row r="1607" customFormat="1" s="34"/>
    <row r="1608" customFormat="1" s="34"/>
    <row r="1609" customFormat="1" s="34"/>
    <row r="1610" customFormat="1" s="34"/>
    <row r="1611" customFormat="1" s="34"/>
    <row r="1612" customFormat="1" s="34"/>
    <row r="1613" customFormat="1" s="34"/>
    <row r="1614" customFormat="1" s="34"/>
    <row r="1615" customFormat="1" s="34"/>
    <row r="1616" customFormat="1" s="34"/>
    <row r="1617" customFormat="1" s="34"/>
    <row r="1618" customFormat="1" s="34"/>
    <row r="1619" customFormat="1" s="34"/>
    <row r="1620" customFormat="1" s="34"/>
    <row r="1621" customFormat="1" s="34"/>
    <row r="1622" customFormat="1" s="34"/>
    <row r="1623" customFormat="1" s="34"/>
    <row r="1624" customFormat="1" s="34"/>
    <row r="1625" customFormat="1" s="34"/>
    <row r="1626" customFormat="1" s="34"/>
    <row r="1627" customFormat="1" s="34"/>
    <row r="1628" customFormat="1" s="34"/>
    <row r="1629" customFormat="1" s="34"/>
    <row r="1630" customFormat="1" s="34"/>
    <row r="1631" customFormat="1" s="34"/>
    <row r="1632" customFormat="1" s="34"/>
    <row r="1633" customFormat="1" s="34"/>
    <row r="1634" customFormat="1" s="34"/>
    <row r="1635" customFormat="1" s="34"/>
    <row r="1636" customFormat="1" s="34"/>
    <row r="1637" customFormat="1" s="34"/>
    <row r="1638" customFormat="1" s="34"/>
    <row r="1639" customFormat="1" s="34"/>
    <row r="1640" customFormat="1" s="34"/>
    <row r="1641" customFormat="1" s="34"/>
    <row r="1642" customFormat="1" s="34"/>
    <row r="1643" customFormat="1" s="34"/>
    <row r="1644" customFormat="1" s="34"/>
    <row r="1645" customFormat="1" s="34"/>
    <row r="1646" customFormat="1" s="34"/>
    <row r="1647" customFormat="1" s="34"/>
    <row r="1648" customFormat="1" s="34"/>
    <row r="1649" customFormat="1" s="34"/>
    <row r="1650" customFormat="1" s="34"/>
    <row r="1651" customFormat="1" s="34"/>
    <row r="1652" customFormat="1" s="34"/>
    <row r="1653" customFormat="1" s="34"/>
    <row r="1654" customFormat="1" s="34"/>
    <row r="1655" customFormat="1" s="34"/>
    <row r="1656" customFormat="1" s="34"/>
    <row r="1657" customFormat="1" s="34"/>
    <row r="1658" customFormat="1" s="34"/>
    <row r="1659" customFormat="1" s="34"/>
    <row r="1660" customFormat="1" s="34"/>
    <row r="1661" customFormat="1" s="34"/>
    <row r="1662" customFormat="1" s="34"/>
    <row r="1663" customFormat="1" s="34"/>
    <row r="1664" customFormat="1" s="34"/>
    <row r="1665" customFormat="1" s="34"/>
    <row r="1666" customFormat="1" s="34"/>
    <row r="1667" customFormat="1" s="34"/>
    <row r="1668" customFormat="1" s="34"/>
    <row r="1669" customFormat="1" s="34"/>
    <row r="1670" customFormat="1" s="34"/>
    <row r="1671" customFormat="1" s="34"/>
    <row r="1672" customFormat="1" s="34"/>
    <row r="1673" customFormat="1" s="34"/>
    <row r="1674" customFormat="1" s="34"/>
    <row r="1675" customFormat="1" s="34"/>
    <row r="1676" customFormat="1" s="34"/>
    <row r="1677" customFormat="1" s="34"/>
    <row r="1678" customFormat="1" s="34"/>
    <row r="1679" customFormat="1" s="34"/>
    <row r="1680" customFormat="1" s="34"/>
    <row r="1681" customFormat="1" s="34"/>
    <row r="1682" customFormat="1" s="34"/>
    <row r="1683" customFormat="1" s="34"/>
    <row r="1684" customFormat="1" s="34"/>
    <row r="1685" customFormat="1" s="34"/>
    <row r="1686" customFormat="1" s="34"/>
    <row r="1687" customFormat="1" s="34"/>
    <row r="1688" customFormat="1" s="34"/>
    <row r="1689" customFormat="1" s="34"/>
    <row r="1690" customFormat="1" s="34"/>
    <row r="1691" customFormat="1" s="34"/>
    <row r="1692" customFormat="1" s="34"/>
    <row r="1693" customFormat="1" s="34"/>
    <row r="1694" customFormat="1" s="34"/>
    <row r="1695" customFormat="1" s="34"/>
    <row r="1696" customFormat="1" s="34"/>
    <row r="1697" customFormat="1" s="34"/>
    <row r="1698" customFormat="1" s="34"/>
    <row r="1699" customFormat="1" s="34"/>
    <row r="1700" customFormat="1" s="34"/>
    <row r="1701" customFormat="1" s="34"/>
    <row r="1702" customFormat="1" s="34"/>
    <row r="1703" customFormat="1" s="34"/>
    <row r="1704" customFormat="1" s="34"/>
    <row r="1705" customFormat="1" s="34"/>
    <row r="1706" customFormat="1" s="34"/>
    <row r="1707" customFormat="1" s="34"/>
    <row r="1708" customFormat="1" s="34"/>
    <row r="1709" customFormat="1" s="34"/>
    <row r="1710" customFormat="1" s="34"/>
    <row r="1711" customFormat="1" s="34"/>
    <row r="1712" customFormat="1" s="34"/>
    <row r="1713" customFormat="1" s="34"/>
    <row r="1714" customFormat="1" s="34"/>
    <row r="1715" customFormat="1" s="34"/>
    <row r="1716" customFormat="1" s="34"/>
    <row r="1717" customFormat="1" s="34"/>
    <row r="1718" customFormat="1" s="34"/>
    <row r="1719" customFormat="1" s="34"/>
    <row r="1720" customFormat="1" s="34"/>
    <row r="1721" customFormat="1" s="34"/>
    <row r="1722" customFormat="1" s="34"/>
    <row r="1723" customFormat="1" s="34"/>
    <row r="1724" customFormat="1" s="34"/>
    <row r="1725" customFormat="1" s="34"/>
    <row r="1726" customFormat="1" s="34"/>
    <row r="1727" customFormat="1" s="34"/>
    <row r="1728" customFormat="1" s="34"/>
    <row r="1729" customFormat="1" s="34"/>
    <row r="1730" customFormat="1" s="34"/>
    <row r="1731" customFormat="1" s="34"/>
    <row r="1732" customFormat="1" s="34"/>
    <row r="1733" customFormat="1" s="34"/>
    <row r="1734" customFormat="1" s="34"/>
    <row r="1735" customFormat="1" s="34"/>
    <row r="1736" customFormat="1" s="34"/>
    <row r="1737" customFormat="1" s="34"/>
    <row r="1738" customFormat="1" s="34"/>
    <row r="1739" customFormat="1" s="34"/>
    <row r="1740" customFormat="1" s="34"/>
    <row r="1741" customFormat="1" s="34"/>
    <row r="1742" customFormat="1" s="34"/>
    <row r="1743" customFormat="1" s="34"/>
    <row r="1744" customFormat="1" s="34"/>
    <row r="1745" customFormat="1" s="34"/>
    <row r="1746" customFormat="1" s="34"/>
    <row r="1747" customFormat="1" s="34"/>
    <row r="1748" customFormat="1" s="34"/>
    <row r="1749" customFormat="1" s="34"/>
    <row r="1750" customFormat="1" s="34"/>
    <row r="1751" customFormat="1" s="34"/>
    <row r="1752" customFormat="1" s="34"/>
    <row r="1753" customFormat="1" s="34"/>
    <row r="1754" customFormat="1" s="34"/>
    <row r="1755" customFormat="1" s="34"/>
    <row r="1756" customFormat="1" s="34"/>
    <row r="1757" customFormat="1" s="34"/>
    <row r="1758" customFormat="1" s="34"/>
    <row r="1759" customFormat="1" s="34"/>
    <row r="1760" customFormat="1" s="34"/>
    <row r="1761" customFormat="1" s="34"/>
    <row r="1762" customFormat="1" s="34"/>
    <row r="1763" customFormat="1" s="34"/>
    <row r="1764" customFormat="1" s="34"/>
    <row r="1765" customFormat="1" s="34"/>
    <row r="1766" customFormat="1" s="34"/>
    <row r="1767" customFormat="1" s="34"/>
    <row r="1768" customFormat="1" s="34"/>
    <row r="1769" customFormat="1" s="34"/>
    <row r="1770" customFormat="1" s="34"/>
    <row r="1771" customFormat="1" s="34"/>
    <row r="1772" customFormat="1" s="34"/>
    <row r="1773" customFormat="1" s="34"/>
    <row r="1774" customFormat="1" s="34"/>
    <row r="1775" customFormat="1" s="34"/>
    <row r="1776" customFormat="1" s="34"/>
    <row r="1777" customFormat="1" s="34"/>
    <row r="1778" customFormat="1" s="34"/>
    <row r="1779" customFormat="1" s="34"/>
    <row r="1780" customFormat="1" s="34"/>
    <row r="1781" customFormat="1" s="34"/>
    <row r="1782" customFormat="1" s="34"/>
    <row r="1783" customFormat="1" s="34"/>
    <row r="1784" customFormat="1" s="34"/>
    <row r="1785" customFormat="1" s="34"/>
    <row r="1786" customFormat="1" s="34"/>
    <row r="1787" customFormat="1" s="34"/>
    <row r="1788" customFormat="1" s="34"/>
    <row r="1789" customFormat="1" s="34"/>
    <row r="1790" customFormat="1" s="34"/>
    <row r="1791" customFormat="1" s="34"/>
    <row r="1792" customFormat="1" s="34"/>
    <row r="1793" customFormat="1" s="34"/>
    <row r="1794" customFormat="1" s="34"/>
    <row r="1795" customFormat="1" s="34"/>
    <row r="1796" customFormat="1" s="34"/>
    <row r="1797" customFormat="1" s="34"/>
    <row r="1798" customFormat="1" s="34"/>
    <row r="1799" customFormat="1" s="34"/>
    <row r="1800" customFormat="1" s="34"/>
    <row r="1801" customFormat="1" s="34"/>
    <row r="1802" customFormat="1" s="34"/>
    <row r="1803" customFormat="1" s="34"/>
    <row r="1804" customFormat="1" s="34"/>
    <row r="1805" customFormat="1" s="34"/>
    <row r="1806" customFormat="1" s="34"/>
    <row r="1807" customFormat="1" s="34"/>
    <row r="1808" customFormat="1" s="34"/>
    <row r="1809" customFormat="1" s="34"/>
    <row r="1810" customFormat="1" s="34"/>
    <row r="1811" customFormat="1" s="34"/>
    <row r="1812" customFormat="1" s="34"/>
    <row r="1813" customFormat="1" s="34"/>
    <row r="1814" customFormat="1" s="34"/>
    <row r="1815" customFormat="1" s="34"/>
    <row r="1816" customFormat="1" s="34"/>
    <row r="1817" customFormat="1" s="34"/>
    <row r="1818" customFormat="1" s="34"/>
    <row r="1819" customFormat="1" s="34"/>
    <row r="1820" customFormat="1" s="34"/>
    <row r="1821" customFormat="1" s="34"/>
    <row r="1822" customFormat="1" s="34"/>
    <row r="1823" customFormat="1" s="34"/>
    <row r="1824" customFormat="1" s="34"/>
    <row r="1825" customFormat="1" s="34"/>
    <row r="1826" customFormat="1" s="34"/>
    <row r="1827" customFormat="1" s="34"/>
    <row r="1828" customFormat="1" s="34"/>
    <row r="1829" customFormat="1" s="34"/>
    <row r="1830" customFormat="1" s="34"/>
    <row r="1831" customFormat="1" s="34"/>
    <row r="1832" customFormat="1" s="34"/>
    <row r="1833" customFormat="1" s="34"/>
    <row r="1834" customFormat="1" s="34"/>
    <row r="1835" customFormat="1" s="34"/>
    <row r="1836" customFormat="1" s="34"/>
    <row r="1837" customFormat="1" s="34"/>
    <row r="1838" customFormat="1" s="34"/>
    <row r="1839" customFormat="1" s="34"/>
    <row r="1840" customFormat="1" s="34"/>
    <row r="1841" customFormat="1" s="34"/>
    <row r="1842" customFormat="1" s="34"/>
    <row r="1843" customFormat="1" s="34"/>
    <row r="1844" customFormat="1" s="34"/>
    <row r="1845" customFormat="1" s="34"/>
    <row r="1846" customFormat="1" s="34"/>
    <row r="1847" customFormat="1" s="34"/>
    <row r="1848" customFormat="1" s="34"/>
    <row r="1849" customFormat="1" s="34"/>
    <row r="1850" customFormat="1" s="34"/>
    <row r="1851" customFormat="1" s="34"/>
    <row r="1852" customFormat="1" s="34"/>
    <row r="1853" customFormat="1" s="34"/>
    <row r="1854" customFormat="1" s="34"/>
    <row r="1855" customFormat="1" s="34"/>
    <row r="1856" customFormat="1" s="34"/>
    <row r="1857" customFormat="1" s="34"/>
    <row r="1858" customFormat="1" s="34"/>
    <row r="1859" customFormat="1" s="34"/>
    <row r="1860" customFormat="1" s="34"/>
    <row r="1861" customFormat="1" s="34"/>
    <row r="1862" customFormat="1" s="34"/>
    <row r="1863" customFormat="1" s="34"/>
    <row r="1864" customFormat="1" s="34"/>
    <row r="1865" customFormat="1" s="34"/>
    <row r="1866" customFormat="1" s="34"/>
    <row r="1867" customFormat="1" s="34"/>
    <row r="1868" customFormat="1" s="34"/>
    <row r="1869" customFormat="1" s="34"/>
    <row r="1870" customFormat="1" s="34"/>
    <row r="1871" customFormat="1" s="34"/>
    <row r="1872" customFormat="1" s="34"/>
    <row r="1873" customFormat="1" s="34"/>
    <row r="1874" customFormat="1" s="34"/>
    <row r="1875" customFormat="1" s="34"/>
    <row r="1876" customFormat="1" s="34"/>
    <row r="1877" customFormat="1" s="34"/>
    <row r="1878" customFormat="1" s="34"/>
    <row r="1879" customFormat="1" s="34"/>
    <row r="1880" customFormat="1" s="34"/>
    <row r="1881" customFormat="1" s="34"/>
    <row r="1882" customFormat="1" s="34"/>
    <row r="1883" customFormat="1" s="34"/>
    <row r="1884" customFormat="1" s="34"/>
    <row r="1885" customFormat="1" s="34"/>
    <row r="1886" customFormat="1" s="34"/>
    <row r="1887" customFormat="1" s="34"/>
    <row r="1888" customFormat="1" s="34"/>
    <row r="1889" customFormat="1" s="34"/>
    <row r="1890" customFormat="1" s="34"/>
    <row r="1891" customFormat="1" s="34"/>
    <row r="1892" customFormat="1" s="34"/>
    <row r="1893" customFormat="1" s="34"/>
    <row r="1894" customFormat="1" s="34"/>
    <row r="1895" customFormat="1" s="34"/>
    <row r="1896" customFormat="1" s="34"/>
    <row r="1897" customFormat="1" s="34"/>
    <row r="1898" customFormat="1" s="34"/>
    <row r="1899" customFormat="1" s="34"/>
    <row r="1900" customFormat="1" s="34"/>
    <row r="1901" customFormat="1" s="34"/>
    <row r="1902" customFormat="1" s="34"/>
    <row r="1903" customFormat="1" s="34"/>
    <row r="1904" customFormat="1" s="34"/>
    <row r="1905" customFormat="1" s="34"/>
    <row r="1906" customFormat="1" s="34"/>
    <row r="1907" customFormat="1" s="34"/>
    <row r="1908" customFormat="1" s="34"/>
    <row r="1909" customFormat="1" s="34"/>
    <row r="1910" customFormat="1" s="34"/>
    <row r="1911" customFormat="1" s="34"/>
    <row r="1912" customFormat="1" s="34"/>
    <row r="1913" customFormat="1" s="34"/>
    <row r="1914" customFormat="1" s="34"/>
    <row r="1915" customFormat="1" s="34"/>
    <row r="1916" customFormat="1" s="34"/>
    <row r="1917" customFormat="1" s="34"/>
    <row r="1918" customFormat="1" s="34"/>
    <row r="1919" customFormat="1" s="34"/>
    <row r="1920" customFormat="1" s="34"/>
    <row r="1921" customFormat="1" s="34"/>
    <row r="1922" customFormat="1" s="34"/>
    <row r="1923" customFormat="1" s="34"/>
    <row r="1924" customFormat="1" s="34"/>
    <row r="1925" customFormat="1" s="34"/>
    <row r="1926" customFormat="1" s="34"/>
    <row r="1927" customFormat="1" s="34"/>
    <row r="1928" customFormat="1" s="34"/>
    <row r="1929" customFormat="1" s="34"/>
    <row r="1930" customFormat="1" s="34"/>
    <row r="1931" customFormat="1" s="34"/>
    <row r="1932" customFormat="1" s="34"/>
    <row r="1933" customFormat="1" s="34"/>
    <row r="1934" customFormat="1" s="34"/>
    <row r="1935" customFormat="1" s="34"/>
    <row r="1936" customFormat="1" s="34"/>
    <row r="1937" customFormat="1" s="34"/>
    <row r="1938" customFormat="1" s="34"/>
    <row r="1939" customFormat="1" s="34"/>
    <row r="1940" customFormat="1" s="34"/>
    <row r="1941" customFormat="1" s="34"/>
    <row r="1942" customFormat="1" s="34"/>
    <row r="1943" customFormat="1" s="34"/>
    <row r="1944" customFormat="1" s="34"/>
    <row r="1945" customFormat="1" s="34"/>
    <row r="1946" customFormat="1" s="34"/>
    <row r="1947" customFormat="1" s="34"/>
    <row r="1948" customFormat="1" s="34"/>
    <row r="1949" customFormat="1" s="34"/>
    <row r="1950" customFormat="1" s="34"/>
    <row r="1951" customFormat="1" s="34"/>
    <row r="1952" customFormat="1" s="34"/>
    <row r="1953" customFormat="1" s="34"/>
    <row r="1954" customFormat="1" s="34"/>
    <row r="1955" customFormat="1" s="34"/>
    <row r="1956" customFormat="1" s="34"/>
    <row r="1957" customFormat="1" s="34"/>
    <row r="1958" customFormat="1" s="34"/>
    <row r="1959" customFormat="1" s="34"/>
    <row r="1960" customFormat="1" s="34"/>
    <row r="1961" customFormat="1" s="34"/>
    <row r="1962" customFormat="1" s="34"/>
    <row r="1963" customFormat="1" s="34"/>
    <row r="1964" customFormat="1" s="34"/>
    <row r="1965" customFormat="1" s="34"/>
    <row r="1966" customFormat="1" s="34"/>
    <row r="1967" customFormat="1" s="34"/>
    <row r="1968" customFormat="1" s="34"/>
    <row r="1969" customFormat="1" s="34"/>
    <row r="1970" customFormat="1" s="34"/>
    <row r="1971" customFormat="1" s="34"/>
    <row r="1972" customFormat="1" s="34"/>
    <row r="1973" customFormat="1" s="34"/>
    <row r="1974" customFormat="1" s="34"/>
    <row r="1975" customFormat="1" s="34"/>
    <row r="1976" customFormat="1" s="34"/>
    <row r="1977" customFormat="1" s="34"/>
    <row r="1978" customFormat="1" s="34"/>
    <row r="1979" customFormat="1" s="34"/>
    <row r="1980" customFormat="1" s="34"/>
    <row r="1981" customFormat="1" s="34"/>
    <row r="1982" customFormat="1" s="34"/>
    <row r="1983" customFormat="1" s="34"/>
    <row r="1984" customFormat="1" s="34"/>
    <row r="1985" customFormat="1" s="34"/>
    <row r="1986" customFormat="1" s="34"/>
    <row r="1987" customFormat="1" s="34"/>
    <row r="1988" customFormat="1" s="34"/>
    <row r="1989" customFormat="1" s="34"/>
    <row r="1990" customFormat="1" s="34"/>
    <row r="1991" customFormat="1" s="34"/>
    <row r="1992" customFormat="1" s="34"/>
    <row r="1993" customFormat="1" s="34"/>
    <row r="1994" customFormat="1" s="34"/>
    <row r="1995" customFormat="1" s="34"/>
    <row r="1996" customFormat="1" s="34"/>
    <row r="1997" customFormat="1" s="34"/>
    <row r="1998" customFormat="1" s="34"/>
    <row r="1999" customFormat="1" s="34"/>
    <row r="2000" customFormat="1" s="34"/>
    <row r="262098">
      <c r="B262098" s="33"/>
      <c r="G262098" s="33"/>
    </row>
    <row r="262099">
      <c r="B262099" s="33"/>
      <c r="G262099" s="33"/>
    </row>
  </sheetData>
  <autoFilter ref="A1:V116">
    <filterColumn colId="15">
      <filters>
        <filter val="Deal Lost"/>
        <filter val="In Progress"/>
      </filters>
    </filterColumn>
  </autoFilter>
  <hyperlinks>
    <hyperlink ref="D2" r:id="rId1"/>
    <hyperlink ref="F2" r:id="rId2"/>
    <hyperlink ref="L2" r:id="rId3"/>
    <hyperlink ref="U2" r:id="rId4"/>
    <hyperlink ref="D3" r:id="rId5"/>
    <hyperlink ref="F3" r:id="rId6"/>
    <hyperlink ref="D4" r:id="rId7"/>
    <hyperlink ref="F4" r:id="rId8"/>
    <hyperlink ref="L4" r:id="rId9"/>
    <hyperlink ref="U4" r:id="rId10"/>
    <hyperlink ref="D5" r:id="rId11"/>
    <hyperlink ref="F5" r:id="rId12"/>
    <hyperlink ref="L5" r:id="rId13"/>
    <hyperlink ref="U5" r:id="rId14"/>
    <hyperlink ref="V5" r:id="rId15"/>
    <hyperlink ref="D6" r:id="rId16"/>
    <hyperlink ref="F6" r:id="rId17"/>
    <hyperlink ref="U6" r:id="rId18"/>
    <hyperlink ref="D7" r:id="rId19"/>
    <hyperlink ref="F7" r:id="rId20"/>
    <hyperlink ref="U7" r:id="rId21"/>
    <hyperlink ref="D8" r:id="rId22"/>
    <hyperlink ref="F8" r:id="rId23"/>
    <hyperlink ref="L8" r:id="rId24"/>
    <hyperlink ref="D9" r:id="rId25"/>
    <hyperlink ref="F9" r:id="rId26"/>
    <hyperlink ref="L9" r:id="rId27"/>
    <hyperlink ref="D10" r:id="rId28"/>
    <hyperlink ref="F10" r:id="rId29"/>
    <hyperlink ref="L10" r:id="rId30"/>
    <hyperlink ref="U10" r:id="rId31"/>
    <hyperlink ref="D11" r:id="rId32"/>
    <hyperlink ref="F11" r:id="rId33"/>
    <hyperlink ref="U11" r:id="rId34"/>
    <hyperlink ref="D12" r:id="rId35"/>
    <hyperlink ref="F12" r:id="rId36"/>
    <hyperlink ref="U12" r:id="rId37"/>
    <hyperlink ref="D13" r:id="rId38"/>
    <hyperlink ref="F13" r:id="rId39"/>
    <hyperlink ref="D14" r:id="rId40"/>
    <hyperlink ref="F14" r:id="rId41"/>
    <hyperlink ref="U14" r:id="rId42"/>
    <hyperlink ref="D15" r:id="rId43"/>
    <hyperlink ref="F15" r:id="rId44"/>
    <hyperlink ref="L15" r:id="rId45"/>
    <hyperlink ref="D16" r:id="rId46"/>
    <hyperlink ref="F16" r:id="rId47"/>
    <hyperlink ref="U16" r:id="rId48"/>
    <hyperlink ref="D17" r:id="rId49"/>
    <hyperlink ref="F17" r:id="rId50"/>
    <hyperlink ref="L17" r:id="rId51"/>
    <hyperlink ref="U17" r:id="rId52"/>
    <hyperlink ref="D18" r:id="rId53"/>
    <hyperlink ref="F18" r:id="rId54"/>
    <hyperlink ref="D19" r:id="rId55"/>
    <hyperlink ref="F19" r:id="rId56"/>
    <hyperlink ref="U19" r:id="rId57"/>
    <hyperlink ref="D20" r:id="rId58"/>
    <hyperlink ref="F20" r:id="rId59"/>
    <hyperlink ref="D21" r:id="rId60"/>
    <hyperlink ref="F21" r:id="rId61"/>
    <hyperlink ref="U21" r:id="rId62"/>
    <hyperlink ref="F22" r:id="rId63"/>
    <hyperlink ref="D23" r:id="rId64"/>
    <hyperlink ref="F23" r:id="rId65"/>
    <hyperlink ref="U23" r:id="rId66"/>
    <hyperlink ref="W23" r:id="rId67"/>
    <hyperlink ref="D24" r:id="rId68"/>
    <hyperlink ref="F24" r:id="rId69"/>
    <hyperlink ref="D25" r:id="rId70"/>
    <hyperlink ref="F25" r:id="rId71"/>
    <hyperlink ref="L25" r:id="rId72"/>
    <hyperlink ref="U25" r:id="rId73"/>
    <hyperlink ref="D26" r:id="rId74"/>
    <hyperlink ref="F26" r:id="rId75"/>
    <hyperlink ref="D27" r:id="rId76"/>
    <hyperlink ref="F27" r:id="rId77"/>
    <hyperlink ref="F28" r:id="rId78"/>
    <hyperlink ref="D29" r:id="rId79"/>
    <hyperlink ref="F29" r:id="rId80"/>
    <hyperlink ref="U29" r:id="rId81"/>
    <hyperlink ref="D30" r:id="rId82"/>
    <hyperlink ref="F30" r:id="rId83"/>
    <hyperlink ref="L30" r:id="rId84"/>
    <hyperlink ref="U30" r:id="rId85"/>
    <hyperlink ref="D31" r:id="rId86"/>
    <hyperlink ref="F31" r:id="rId87"/>
    <hyperlink ref="U31" r:id="rId88"/>
    <hyperlink ref="D32" r:id="rId89"/>
    <hyperlink ref="F32" r:id="rId90"/>
    <hyperlink ref="L32" r:id="rId91"/>
    <hyperlink ref="U32" r:id="rId92"/>
    <hyperlink ref="D33" r:id="rId93"/>
    <hyperlink ref="F33" r:id="rId94"/>
    <hyperlink ref="D34" r:id="rId95"/>
    <hyperlink ref="F34" r:id="rId96"/>
    <hyperlink ref="D35" r:id="rId97"/>
    <hyperlink ref="F35" r:id="rId98"/>
    <hyperlink ref="D36" r:id="rId99"/>
    <hyperlink ref="F36" r:id="rId100"/>
    <hyperlink ref="D37" r:id="rId101"/>
    <hyperlink ref="F37" r:id="rId102"/>
    <hyperlink ref="D38" r:id="rId103"/>
    <hyperlink ref="F38" r:id="rId104"/>
    <hyperlink ref="L38" r:id="rId105"/>
    <hyperlink ref="U38" r:id="rId106"/>
    <hyperlink ref="D39" r:id="rId107"/>
    <hyperlink ref="F39" r:id="rId108"/>
    <hyperlink ref="L39" r:id="rId109"/>
    <hyperlink ref="U39" r:id="rId110"/>
    <hyperlink ref="D40" r:id="rId111"/>
    <hyperlink ref="F40" r:id="rId112"/>
    <hyperlink ref="D41" r:id="rId113"/>
    <hyperlink ref="F41" r:id="rId114"/>
    <hyperlink ref="L41" r:id="rId115"/>
    <hyperlink ref="U41" r:id="rId116"/>
    <hyperlink ref="D42" r:id="rId117"/>
    <hyperlink ref="F42" r:id="rId118"/>
    <hyperlink ref="U42" r:id="rId119"/>
    <hyperlink ref="D43" r:id="rId120"/>
    <hyperlink ref="F43" r:id="rId121"/>
    <hyperlink ref="U43" r:id="rId122"/>
    <hyperlink ref="D44" r:id="rId123"/>
    <hyperlink ref="F44" r:id="rId124"/>
    <hyperlink ref="U44" r:id="rId125"/>
    <hyperlink ref="D45" r:id="rId126"/>
    <hyperlink ref="F45" r:id="rId127"/>
    <hyperlink ref="T45" r:id="rId128"/>
    <hyperlink ref="D46" r:id="rId129"/>
    <hyperlink ref="F46" r:id="rId130"/>
    <hyperlink ref="U46" r:id="rId131"/>
    <hyperlink ref="D47" r:id="rId132"/>
    <hyperlink ref="F47" r:id="rId133"/>
    <hyperlink ref="U47" r:id="rId134"/>
    <hyperlink ref="D48" r:id="rId135"/>
    <hyperlink ref="F48" r:id="rId136"/>
    <hyperlink ref="U48" r:id="rId137"/>
    <hyperlink ref="D49" r:id="rId138"/>
    <hyperlink ref="F49" r:id="rId139"/>
    <hyperlink ref="U49" r:id="rId140"/>
    <hyperlink ref="D50" r:id="rId141"/>
    <hyperlink ref="F50" r:id="rId142"/>
    <hyperlink ref="U50" r:id="rId143"/>
    <hyperlink ref="D51" r:id="rId144"/>
    <hyperlink ref="F51" r:id="rId145"/>
    <hyperlink ref="L51" r:id="rId146"/>
    <hyperlink ref="U51" r:id="rId147"/>
    <hyperlink ref="D52" r:id="rId148"/>
    <hyperlink ref="F52" r:id="rId149"/>
    <hyperlink ref="U52" r:id="rId150"/>
    <hyperlink ref="D53" r:id="rId151"/>
    <hyperlink ref="F53" r:id="rId152"/>
    <hyperlink ref="U53" r:id="rId153"/>
    <hyperlink ref="D54" r:id="rId154"/>
    <hyperlink ref="F54" r:id="rId155"/>
    <hyperlink ref="L54" r:id="rId156"/>
    <hyperlink ref="U54" r:id="rId157"/>
    <hyperlink ref="D55" r:id="rId158"/>
    <hyperlink ref="F55" r:id="rId159"/>
    <hyperlink ref="L55" r:id="rId160"/>
    <hyperlink ref="U55" r:id="rId161"/>
    <hyperlink ref="D56" r:id="rId162"/>
    <hyperlink ref="F56" r:id="rId163"/>
    <hyperlink ref="U56" r:id="rId164"/>
    <hyperlink ref="D57" r:id="rId165"/>
    <hyperlink ref="F57" r:id="rId166"/>
    <hyperlink ref="U57" r:id="rId167"/>
    <hyperlink ref="D58" r:id="rId168"/>
    <hyperlink ref="F58" r:id="rId169"/>
    <hyperlink ref="D59" r:id="rId170"/>
    <hyperlink ref="F59" r:id="rId171"/>
    <hyperlink ref="L59" r:id="rId172"/>
    <hyperlink ref="U59" r:id="rId173"/>
    <hyperlink ref="W59" r:id="rId174"/>
    <hyperlink ref="D60" r:id="rId175"/>
    <hyperlink ref="F60" r:id="rId176"/>
    <hyperlink ref="D61" r:id="rId177"/>
    <hyperlink ref="F61" r:id="rId178"/>
    <hyperlink ref="L61" r:id="rId179"/>
    <hyperlink ref="W61" r:id="rId180"/>
    <hyperlink ref="D62" r:id="rId181"/>
    <hyperlink ref="F62" r:id="rId182"/>
    <hyperlink ref="D63" r:id="rId183"/>
    <hyperlink ref="F63" r:id="rId184"/>
    <hyperlink ref="D64" r:id="rId185"/>
    <hyperlink ref="F64" r:id="rId186"/>
    <hyperlink ref="W64" r:id="rId187"/>
    <hyperlink ref="D66" r:id="rId188"/>
    <hyperlink ref="D67" r:id="rId189"/>
    <hyperlink ref="F67" r:id="rId190"/>
    <hyperlink ref="L67" r:id="rId191"/>
    <hyperlink ref="U67" r:id="rId192"/>
    <hyperlink ref="D68" r:id="rId193"/>
    <hyperlink ref="F68" r:id="rId194"/>
    <hyperlink ref="U68" r:id="rId195"/>
    <hyperlink ref="D69" r:id="rId196"/>
    <hyperlink ref="F69" r:id="rId197"/>
    <hyperlink ref="L69" r:id="rId198"/>
    <hyperlink ref="U69" r:id="rId199"/>
    <hyperlink ref="D70" r:id="rId200"/>
    <hyperlink ref="F70" r:id="rId201"/>
    <hyperlink ref="D71" r:id="rId202"/>
    <hyperlink ref="F71" r:id="rId203"/>
    <hyperlink ref="L71" r:id="rId204"/>
    <hyperlink ref="D72" r:id="rId205"/>
    <hyperlink ref="F72" r:id="rId206"/>
    <hyperlink ref="L72" r:id="rId207"/>
    <hyperlink ref="U72" r:id="rId208"/>
    <hyperlink ref="D73" r:id="rId209"/>
    <hyperlink ref="F73" r:id="rId210"/>
    <hyperlink ref="L73" r:id="rId211"/>
    <hyperlink ref="D74" r:id="rId212"/>
    <hyperlink ref="F74" r:id="rId213"/>
    <hyperlink ref="L74" r:id="rId214"/>
    <hyperlink ref="U74" r:id="rId215"/>
    <hyperlink ref="D75" r:id="rId216"/>
    <hyperlink ref="F75" r:id="rId217"/>
    <hyperlink ref="D76" r:id="rId218"/>
    <hyperlink ref="F76" r:id="rId219"/>
    <hyperlink ref="U76" r:id="rId220"/>
    <hyperlink ref="F77" r:id="rId221"/>
    <hyperlink ref="D78" r:id="rId222"/>
    <hyperlink ref="F78" r:id="rId223"/>
    <hyperlink ref="L78" r:id="rId224"/>
    <hyperlink ref="U78" r:id="rId225"/>
    <hyperlink ref="D79" r:id="rId226"/>
    <hyperlink ref="F79" r:id="rId227"/>
    <hyperlink ref="W79" r:id="rId228"/>
    <hyperlink ref="D80" r:id="rId229"/>
    <hyperlink ref="F80" r:id="rId230"/>
    <hyperlink ref="U80" r:id="rId231"/>
    <hyperlink ref="D81" r:id="rId232"/>
    <hyperlink ref="F81" r:id="rId233"/>
    <hyperlink ref="U81" r:id="rId234"/>
    <hyperlink ref="D82" r:id="rId235"/>
    <hyperlink ref="F82" r:id="rId236"/>
    <hyperlink ref="U82" r:id="rId237"/>
    <hyperlink ref="W82" r:id="rId238"/>
    <hyperlink ref="D83" r:id="rId239"/>
    <hyperlink ref="F83" r:id="rId240"/>
    <hyperlink ref="L83" r:id="rId241"/>
    <hyperlink ref="U83" r:id="rId242"/>
    <hyperlink ref="D84" r:id="rId243"/>
    <hyperlink ref="F84" r:id="rId244"/>
    <hyperlink ref="U84" r:id="rId245"/>
    <hyperlink ref="W84" r:id="rId246"/>
    <hyperlink ref="D85" r:id="rId247"/>
    <hyperlink ref="F85" r:id="rId248"/>
    <hyperlink ref="L85" r:id="rId249"/>
    <hyperlink ref="U85" r:id="rId250"/>
    <hyperlink ref="D86" r:id="rId251"/>
    <hyperlink ref="F86" r:id="rId252"/>
    <hyperlink ref="D87" r:id="rId253"/>
    <hyperlink ref="F87" r:id="rId254"/>
    <hyperlink ref="L87" r:id="rId255"/>
    <hyperlink ref="U87" r:id="rId256"/>
    <hyperlink ref="D88" r:id="rId257"/>
    <hyperlink ref="F88" r:id="rId258"/>
    <hyperlink ref="U88" r:id="rId259"/>
    <hyperlink ref="D89" r:id="rId260"/>
    <hyperlink ref="F89" r:id="rId261"/>
    <hyperlink ref="U89" r:id="rId262"/>
    <hyperlink ref="D90" r:id="rId263"/>
    <hyperlink ref="F90" r:id="rId264"/>
    <hyperlink ref="L90" r:id="rId265"/>
    <hyperlink ref="U90" r:id="rId266"/>
    <hyperlink ref="W90" r:id="rId267"/>
    <hyperlink ref="D91" r:id="rId268"/>
    <hyperlink ref="F91" r:id="rId269"/>
    <hyperlink ref="D92" r:id="rId270"/>
    <hyperlink ref="F92" r:id="rId271"/>
    <hyperlink ref="D93" r:id="rId272"/>
    <hyperlink ref="D94" r:id="rId273"/>
    <hyperlink ref="F94" r:id="rId274"/>
    <hyperlink ref="U94" r:id="rId275"/>
    <hyperlink ref="D95" r:id="rId276"/>
    <hyperlink ref="F95" r:id="rId277"/>
    <hyperlink ref="D96" r:id="rId278"/>
    <hyperlink ref="F96" r:id="rId279"/>
    <hyperlink ref="U96" r:id="rId280"/>
    <hyperlink ref="D97" r:id="rId281"/>
    <hyperlink ref="F97" r:id="rId282"/>
    <hyperlink ref="D98" r:id="rId283"/>
    <hyperlink ref="F98" r:id="rId284"/>
    <hyperlink ref="D99" r:id="rId285"/>
    <hyperlink ref="F99" r:id="rId286"/>
    <hyperlink ref="L99" r:id="rId287"/>
    <hyperlink ref="U99" r:id="rId288"/>
    <hyperlink ref="D100" r:id="rId289"/>
    <hyperlink ref="F100" r:id="rId290"/>
    <hyperlink ref="U100" r:id="rId291"/>
    <hyperlink ref="D101" r:id="rId292"/>
    <hyperlink ref="F101" r:id="rId293"/>
    <hyperlink ref="U101" r:id="rId294"/>
    <hyperlink ref="F102" r:id="rId295"/>
    <hyperlink ref="U102" r:id="rId296"/>
    <hyperlink ref="D103" r:id="rId297"/>
    <hyperlink ref="F103" r:id="rId298"/>
    <hyperlink ref="U103" r:id="rId299"/>
    <hyperlink ref="D104" r:id="rId300"/>
    <hyperlink ref="F104" r:id="rId301"/>
    <hyperlink ref="D105" r:id="rId302"/>
    <hyperlink ref="F105" r:id="rId303"/>
    <hyperlink ref="U105" r:id="rId304"/>
    <hyperlink ref="D106" r:id="rId305"/>
    <hyperlink ref="F106" r:id="rId306"/>
  </hyperlinks>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W98"/>
  <sheetViews>
    <sheetView workbookViewId="0"/>
  </sheetViews>
  <sheetFormatPr defaultRowHeight="14.0" customHeight="1"/>
  <cols>
    <col min="1" max="1" style="34" width="10.2"/>
    <col min="2" max="2" style="34" width="9.0"/>
    <col min="3" max="3" style="34" width="12.18"/>
    <col min="4" max="4" style="34" width="38.82"/>
    <col min="5" max="6" style="34" width="13.24"/>
    <col min="7" max="7" style="34" width="62.14"/>
    <col min="8" max="8" style="34" width="53.92"/>
    <col min="9" max="10" style="34" width="13.24"/>
    <col min="11" max="11" style="34" width="16.42"/>
    <col min="12" max="12" style="34" width="13.64"/>
    <col min="13" max="13" style="34" width="27.82"/>
    <col min="14" max="14" style="34" width="21.33"/>
    <col min="15" max="15" style="34" width="16.69"/>
    <col min="16" max="19" style="34" width="13.24"/>
    <col min="20" max="20" style="34" width="49.42"/>
    <col min="21" max="21" style="34" width="51.8"/>
    <col min="22" max="22" style="34" width="36.3"/>
    <col min="23" max="23" style="34" width="37.09"/>
    <col min="24" max="2048" style="34" width="13.24"/>
  </cols>
  <sheetData>
    <row r="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62</v>
      </c>
    </row>
    <row hidden="1" r="2" ht="41.0">
      <c r="A2" s="36">
        <v>46143</v>
      </c>
      <c r="B2" s="34" t="s">
        <v>34</v>
      </c>
      <c r="C2" s="34" t="s">
        <v>88</v>
      </c>
      <c r="D2" s="37" t="s">
        <v>2375</v>
      </c>
      <c r="E2" s="34" t="s">
        <v>2376</v>
      </c>
      <c r="F2" s="38" t="s">
        <v>2377</v>
      </c>
      <c r="G2" s="34" t="s">
        <v>2378</v>
      </c>
      <c r="J2" s="34" t="s">
        <v>277</v>
      </c>
      <c r="K2" s="34" t="s">
        <v>125</v>
      </c>
      <c r="L2" s="34" t="s">
        <v>681</v>
      </c>
      <c r="M2" s="34" t="s">
        <v>117</v>
      </c>
      <c r="N2" s="34" t="s">
        <v>71</v>
      </c>
      <c r="O2" s="34" t="s">
        <v>609</v>
      </c>
      <c r="P2" s="34" t="s">
        <v>11</v>
      </c>
      <c r="Q2" s="34">
        <v>20.0</v>
      </c>
      <c r="S2" s="40"/>
      <c r="V2" s="34" t="s">
        <v>2379</v>
      </c>
    </row>
    <row hidden="1" r="3" ht="27.0">
      <c r="A3" s="36">
        <v>46143</v>
      </c>
      <c r="B3" s="34" t="s">
        <v>34</v>
      </c>
      <c r="C3" s="34" t="s">
        <v>88</v>
      </c>
      <c r="D3" s="37" t="s">
        <v>2380</v>
      </c>
      <c r="E3" s="34" t="s">
        <v>517</v>
      </c>
      <c r="F3" s="38" t="s">
        <v>2381</v>
      </c>
      <c r="G3" s="34" t="s">
        <v>2382</v>
      </c>
      <c r="J3" s="34" t="s">
        <v>140</v>
      </c>
      <c r="K3" s="34" t="s">
        <v>689</v>
      </c>
      <c r="L3" s="34" t="s">
        <v>681</v>
      </c>
      <c r="M3" s="34" t="s">
        <v>83</v>
      </c>
      <c r="N3" s="34" t="s">
        <v>71</v>
      </c>
      <c r="O3" s="34" t="s">
        <v>84</v>
      </c>
      <c r="P3" s="34" t="s">
        <v>11</v>
      </c>
      <c r="Q3" s="34">
        <v>25.0</v>
      </c>
      <c r="S3" s="40"/>
      <c r="U3" s="38" t="s">
        <v>2383</v>
      </c>
      <c r="V3" s="34" t="s">
        <v>1051</v>
      </c>
    </row>
    <row hidden="1" r="4" ht="55.0" customFormat="1" s="34">
      <c r="A4" s="36">
        <v>46143</v>
      </c>
      <c r="B4" s="34" t="s">
        <v>36</v>
      </c>
      <c r="C4" s="34" t="s">
        <v>88</v>
      </c>
      <c r="D4" s="37" t="s">
        <v>2271</v>
      </c>
      <c r="E4" s="34" t="s">
        <v>2272</v>
      </c>
      <c r="F4" s="38" t="s">
        <v>2273</v>
      </c>
      <c r="G4" s="34" t="s">
        <v>2274</v>
      </c>
      <c r="H4" s="34" t="s">
        <v>163</v>
      </c>
      <c r="I4" s="34" t="s">
        <v>2275</v>
      </c>
      <c r="J4" s="34" t="s">
        <v>2276</v>
      </c>
      <c r="K4" s="34" t="s">
        <v>69</v>
      </c>
      <c r="L4" s="38" t="s">
        <v>2277</v>
      </c>
      <c r="M4" s="34" t="s">
        <v>97</v>
      </c>
      <c r="N4" s="34" t="s">
        <v>309</v>
      </c>
      <c r="O4" s="34" t="s">
        <v>84</v>
      </c>
      <c r="P4" s="34" t="s">
        <v>9</v>
      </c>
      <c r="Q4" s="34">
        <v>25.0</v>
      </c>
      <c r="R4" s="39">
        <v>2209.72</v>
      </c>
      <c r="S4" s="40" t="s">
        <v>134</v>
      </c>
      <c r="T4" s="34" t="s">
        <v>2384</v>
      </c>
    </row>
    <row hidden="1" r="5" ht="55.0" customFormat="1" s="34">
      <c r="A5" s="36">
        <v>46143</v>
      </c>
      <c r="B5" s="34" t="s">
        <v>34</v>
      </c>
      <c r="C5" s="34" t="s">
        <v>76</v>
      </c>
      <c r="D5" s="37" t="s">
        <v>2385</v>
      </c>
      <c r="E5" s="34" t="s">
        <v>78</v>
      </c>
      <c r="F5" s="38" t="s">
        <v>2386</v>
      </c>
      <c r="G5" s="34" t="s">
        <v>2387</v>
      </c>
      <c r="H5" s="34" t="s">
        <v>163</v>
      </c>
      <c r="K5" s="34" t="s">
        <v>69</v>
      </c>
      <c r="M5" s="34" t="s">
        <v>97</v>
      </c>
      <c r="N5" s="34" t="s">
        <v>71</v>
      </c>
      <c r="O5" s="34" t="s">
        <v>98</v>
      </c>
      <c r="P5" s="34" t="s">
        <v>395</v>
      </c>
      <c r="Q5" s="34">
        <v>10.0</v>
      </c>
      <c r="S5" s="40"/>
      <c r="T5" s="34" t="s">
        <v>2388</v>
      </c>
      <c r="U5" s="38" t="s">
        <v>2389</v>
      </c>
    </row>
    <row hidden="1" r="6" ht="41.0">
      <c r="A6" s="36">
        <v>46146</v>
      </c>
      <c r="B6" s="34" t="s">
        <v>34</v>
      </c>
      <c r="C6" s="34" t="s">
        <v>88</v>
      </c>
      <c r="D6" s="37" t="s">
        <v>2390</v>
      </c>
      <c r="E6" s="34" t="s">
        <v>2391</v>
      </c>
      <c r="F6" s="38" t="s">
        <v>2392</v>
      </c>
      <c r="G6" s="34" t="s">
        <v>2393</v>
      </c>
      <c r="I6" s="34" t="s">
        <v>266</v>
      </c>
      <c r="K6" s="34" t="s">
        <v>95</v>
      </c>
      <c r="L6" s="34" t="s">
        <v>681</v>
      </c>
      <c r="M6" s="34" t="s">
        <v>97</v>
      </c>
      <c r="N6" s="34" t="s">
        <v>71</v>
      </c>
      <c r="O6" s="34" t="s">
        <v>84</v>
      </c>
      <c r="P6" s="34" t="s">
        <v>10</v>
      </c>
      <c r="Q6" s="43">
        <v>46145</v>
      </c>
      <c r="S6" s="40"/>
      <c r="U6" s="38" t="s">
        <v>2394</v>
      </c>
      <c r="V6" s="34" t="s">
        <v>2395</v>
      </c>
    </row>
    <row hidden="1" r="7" ht="55.0">
      <c r="A7" s="36">
        <v>46146</v>
      </c>
      <c r="B7" s="34" t="s">
        <v>37</v>
      </c>
      <c r="C7" s="34" t="s">
        <v>108</v>
      </c>
      <c r="D7" s="37" t="s">
        <v>2396</v>
      </c>
      <c r="E7" s="34" t="s">
        <v>517</v>
      </c>
      <c r="F7" s="38" t="s">
        <v>2397</v>
      </c>
      <c r="G7" s="34" t="s">
        <v>2398</v>
      </c>
      <c r="H7" s="34" t="s">
        <v>163</v>
      </c>
      <c r="K7" s="34" t="s">
        <v>69</v>
      </c>
      <c r="L7" s="34" t="s">
        <v>681</v>
      </c>
      <c r="M7" s="34" t="s">
        <v>83</v>
      </c>
      <c r="N7" s="34" t="s">
        <v>534</v>
      </c>
      <c r="O7" s="34" t="s">
        <v>207</v>
      </c>
      <c r="P7" s="34" t="s">
        <v>535</v>
      </c>
      <c r="Q7" s="34">
        <v>3.0</v>
      </c>
      <c r="S7" s="40" t="s">
        <v>568</v>
      </c>
      <c r="U7" s="38" t="s">
        <v>2399</v>
      </c>
    </row>
    <row hidden="1" r="8" ht="82.0">
      <c r="A8" s="36">
        <v>46146</v>
      </c>
      <c r="B8" s="34" t="s">
        <v>35</v>
      </c>
      <c r="C8" s="34" t="s">
        <v>108</v>
      </c>
      <c r="D8" s="37" t="s">
        <v>2400</v>
      </c>
      <c r="E8" s="34" t="s">
        <v>199</v>
      </c>
      <c r="F8" s="38" t="s">
        <v>2401</v>
      </c>
      <c r="G8" s="72" t="s">
        <v>2402</v>
      </c>
      <c r="H8" s="34" t="s">
        <v>2403</v>
      </c>
      <c r="K8" s="34" t="s">
        <v>173</v>
      </c>
      <c r="M8" s="34" t="s">
        <v>83</v>
      </c>
      <c r="N8" s="34" t="s">
        <v>71</v>
      </c>
      <c r="O8" s="34" t="s">
        <v>84</v>
      </c>
      <c r="P8" s="34" t="s">
        <v>10</v>
      </c>
      <c r="Q8" s="43">
        <v>46145</v>
      </c>
      <c r="S8" s="40" t="s">
        <v>99</v>
      </c>
      <c r="U8" s="38" t="s">
        <v>2404</v>
      </c>
    </row>
    <row hidden="1" r="9" ht="27.0" customFormat="1" s="33">
      <c r="A9" s="36">
        <v>46147</v>
      </c>
      <c r="B9" s="34" t="s">
        <v>34</v>
      </c>
      <c r="C9" s="34" t="s">
        <v>88</v>
      </c>
      <c r="D9" s="37" t="s">
        <v>192</v>
      </c>
      <c r="E9" s="34" t="s">
        <v>193</v>
      </c>
      <c r="F9" s="38" t="s">
        <v>194</v>
      </c>
      <c r="G9" s="72" t="s">
        <v>195</v>
      </c>
      <c r="H9" s="34" t="s">
        <v>163</v>
      </c>
      <c r="I9" s="34"/>
      <c r="J9" s="34"/>
      <c r="K9" s="34" t="s">
        <v>69</v>
      </c>
      <c r="L9" s="34" t="s">
        <v>681</v>
      </c>
      <c r="M9" s="34" t="s">
        <v>83</v>
      </c>
      <c r="N9" s="34" t="s">
        <v>309</v>
      </c>
      <c r="O9" s="34" t="s">
        <v>84</v>
      </c>
      <c r="P9" s="34" t="s">
        <v>9</v>
      </c>
      <c r="Q9" s="34">
        <v>25.0</v>
      </c>
      <c r="R9" s="44">
        <v>17000.0</v>
      </c>
      <c r="S9" s="40" t="s">
        <v>127</v>
      </c>
      <c r="T9" s="34"/>
      <c r="U9" s="34" t="s">
        <v>2405</v>
      </c>
      <c r="V9" s="34"/>
      <c r="W9" s="34"/>
      <c r="X9" s="34"/>
      <c r="Y9" s="34"/>
      <c r="Z9" s="34"/>
      <c r="AA9" s="34"/>
      <c r="AB9" s="34"/>
      <c r="AC9" s="34"/>
      <c r="AD9" s="34"/>
      <c r="AE9" s="34"/>
      <c r="AF9" s="34"/>
      <c r="AG9" s="34"/>
      <c r="AH9" s="34"/>
      <c r="AI9" s="34"/>
      <c r="AJ9" s="34"/>
      <c r="AK9" s="34"/>
      <c r="AL9" s="34"/>
      <c r="AM9" s="34"/>
      <c r="AN9" s="34"/>
      <c r="AO9" s="34"/>
      <c r="AP9" s="34"/>
      <c r="AQ9" s="34"/>
      <c r="AR9" s="34"/>
      <c r="AS9" s="34"/>
      <c r="AT9" s="34"/>
      <c r="AU9" s="34"/>
      <c r="AV9" s="34"/>
    </row>
    <row hidden="1" r="10" ht="27.0">
      <c r="A10" s="36">
        <v>46147</v>
      </c>
      <c r="B10" s="34" t="s">
        <v>34</v>
      </c>
      <c r="C10" s="34" t="s">
        <v>88</v>
      </c>
      <c r="D10" s="37" t="s">
        <v>2406</v>
      </c>
      <c r="E10" s="34" t="s">
        <v>1033</v>
      </c>
      <c r="F10" s="38" t="s">
        <v>2407</v>
      </c>
      <c r="G10" s="72" t="s">
        <v>2408</v>
      </c>
      <c r="K10" s="34" t="s">
        <v>69</v>
      </c>
      <c r="L10" s="34" t="s">
        <v>681</v>
      </c>
      <c r="M10" s="34" t="s">
        <v>97</v>
      </c>
      <c r="N10" s="34" t="s">
        <v>156</v>
      </c>
      <c r="O10" s="34" t="s">
        <v>157</v>
      </c>
      <c r="P10" s="34" t="s">
        <v>158</v>
      </c>
      <c r="Q10" s="34">
        <v>11.0</v>
      </c>
      <c r="S10" s="40" t="s">
        <v>294</v>
      </c>
    </row>
    <row hidden="1" r="11" customHeight="1" ht="24.0">
      <c r="A11" s="36">
        <v>46147</v>
      </c>
      <c r="B11" s="34" t="s">
        <v>34</v>
      </c>
      <c r="C11" s="34" t="s">
        <v>108</v>
      </c>
      <c r="D11" s="37" t="s">
        <v>2409</v>
      </c>
      <c r="E11" s="34" t="s">
        <v>2410</v>
      </c>
      <c r="F11" s="38" t="s">
        <v>2411</v>
      </c>
      <c r="G11" s="34" t="s">
        <v>2412</v>
      </c>
      <c r="H11" s="34" t="s">
        <v>163</v>
      </c>
      <c r="K11" s="34" t="s">
        <v>125</v>
      </c>
      <c r="L11" s="38" t="s">
        <v>2413</v>
      </c>
      <c r="M11" s="34" t="s">
        <v>117</v>
      </c>
      <c r="N11" s="34" t="s">
        <v>71</v>
      </c>
      <c r="O11" s="34" t="s">
        <v>84</v>
      </c>
      <c r="P11" s="34" t="s">
        <v>11</v>
      </c>
      <c r="Q11" s="43"/>
      <c r="S11" s="40" t="s">
        <v>294</v>
      </c>
      <c r="U11" s="34" t="s">
        <v>2414</v>
      </c>
      <c r="V11" s="34" t="s">
        <v>2415</v>
      </c>
    </row>
    <row hidden="1" r="12" ht="55.0">
      <c r="A12" s="36">
        <v>46147</v>
      </c>
      <c r="B12" s="34" t="s">
        <v>34</v>
      </c>
      <c r="C12" s="34" t="s">
        <v>108</v>
      </c>
      <c r="D12" s="37" t="s">
        <v>2416</v>
      </c>
      <c r="E12" s="34" t="s">
        <v>199</v>
      </c>
      <c r="F12" s="38" t="s">
        <v>2417</v>
      </c>
      <c r="G12" s="72" t="s">
        <v>2418</v>
      </c>
      <c r="I12" s="34" t="s">
        <v>266</v>
      </c>
      <c r="K12" s="34" t="s">
        <v>125</v>
      </c>
      <c r="L12" s="34" t="s">
        <v>681</v>
      </c>
      <c r="M12" s="34" t="s">
        <v>97</v>
      </c>
      <c r="N12" s="34" t="s">
        <v>71</v>
      </c>
      <c r="O12" s="34" t="s">
        <v>84</v>
      </c>
      <c r="P12" s="34" t="s">
        <v>9</v>
      </c>
      <c r="Q12" s="34">
        <v>4.0</v>
      </c>
      <c r="S12" s="40" t="s">
        <v>99</v>
      </c>
      <c r="U12" s="38" t="s">
        <v>2419</v>
      </c>
    </row>
    <row hidden="1" r="13" ht="55.0">
      <c r="A13" s="36">
        <v>46148</v>
      </c>
      <c r="B13" s="34" t="s">
        <v>34</v>
      </c>
      <c r="C13" s="34" t="s">
        <v>88</v>
      </c>
      <c r="D13" s="37" t="s">
        <v>2420</v>
      </c>
      <c r="E13" s="34" t="s">
        <v>65</v>
      </c>
      <c r="F13" s="38" t="s">
        <v>2421</v>
      </c>
      <c r="G13" s="34" t="s">
        <v>2422</v>
      </c>
      <c r="I13" s="34" t="s">
        <v>2423</v>
      </c>
      <c r="J13" s="34" t="s">
        <v>248</v>
      </c>
      <c r="K13" s="34" t="s">
        <v>95</v>
      </c>
      <c r="L13" s="34" t="s">
        <v>681</v>
      </c>
      <c r="M13" s="34" t="s">
        <v>97</v>
      </c>
      <c r="N13" s="34" t="s">
        <v>71</v>
      </c>
      <c r="O13" s="34" t="s">
        <v>84</v>
      </c>
      <c r="P13" s="34" t="s">
        <v>10</v>
      </c>
      <c r="Q13" s="34" t="s">
        <v>2424</v>
      </c>
      <c r="S13" s="40"/>
      <c r="T13" s="34" t="s">
        <v>2425</v>
      </c>
      <c r="U13" s="38" t="s">
        <v>2426</v>
      </c>
      <c r="V13" s="34" t="s">
        <v>2427</v>
      </c>
    </row>
    <row hidden="1" r="14" ht="41.0">
      <c r="A14" s="36">
        <v>46148</v>
      </c>
      <c r="B14" s="34" t="s">
        <v>34</v>
      </c>
      <c r="C14" s="34" t="s">
        <v>88</v>
      </c>
      <c r="D14" s="37" t="s">
        <v>2428</v>
      </c>
      <c r="E14" s="34" t="s">
        <v>458</v>
      </c>
      <c r="F14" s="38" t="s">
        <v>2429</v>
      </c>
      <c r="G14" s="34" t="s">
        <v>2430</v>
      </c>
      <c r="H14" s="34" t="s">
        <v>2431</v>
      </c>
      <c r="K14" s="34" t="s">
        <v>95</v>
      </c>
      <c r="L14" s="34" t="s">
        <v>681</v>
      </c>
      <c r="M14" s="34" t="s">
        <v>97</v>
      </c>
      <c r="N14" s="34" t="s">
        <v>71</v>
      </c>
      <c r="O14" s="34" t="s">
        <v>207</v>
      </c>
      <c r="P14" s="34" t="s">
        <v>10</v>
      </c>
      <c r="Q14" s="34">
        <v>1.0</v>
      </c>
      <c r="S14" s="40"/>
      <c r="V14" s="34" t="s">
        <v>2432</v>
      </c>
      <c r="W14" s="38" t="s">
        <v>2433</v>
      </c>
    </row>
    <row hidden="1" r="15" ht="178.0">
      <c r="A15" s="36">
        <v>46148</v>
      </c>
      <c r="B15" s="34" t="s">
        <v>37</v>
      </c>
      <c r="C15" s="34" t="s">
        <v>108</v>
      </c>
      <c r="D15" s="37" t="s">
        <v>2434</v>
      </c>
      <c r="E15" s="34" t="s">
        <v>2435</v>
      </c>
      <c r="F15" s="38" t="s">
        <v>2436</v>
      </c>
      <c r="G15" s="34" t="s">
        <v>2437</v>
      </c>
      <c r="H15" s="34" t="s">
        <v>2438</v>
      </c>
      <c r="K15" s="34" t="s">
        <v>95</v>
      </c>
      <c r="M15" s="34" t="s">
        <v>117</v>
      </c>
      <c r="N15" s="34" t="s">
        <v>71</v>
      </c>
      <c r="O15" s="34" t="s">
        <v>84</v>
      </c>
      <c r="P15" s="34" t="s">
        <v>10</v>
      </c>
      <c r="S15" s="40" t="s">
        <v>127</v>
      </c>
      <c r="T15" s="38" t="s">
        <v>788</v>
      </c>
      <c r="U15" s="38" t="s">
        <v>2439</v>
      </c>
      <c r="V15" s="34" t="s">
        <v>2440</v>
      </c>
    </row>
    <row hidden="1" r="16" ht="41.0" customFormat="1" s="34">
      <c r="A16" s="36">
        <v>46149</v>
      </c>
      <c r="B16" s="34" t="s">
        <v>34</v>
      </c>
      <c r="C16" s="34" t="s">
        <v>88</v>
      </c>
      <c r="D16" s="73" t="s">
        <v>2441</v>
      </c>
      <c r="E16" s="34" t="s">
        <v>517</v>
      </c>
      <c r="F16" s="38" t="s">
        <v>2442</v>
      </c>
      <c r="G16" s="34" t="s">
        <v>2443</v>
      </c>
      <c r="H16" s="34" t="s">
        <v>2294</v>
      </c>
      <c r="I16" s="34" t="s">
        <v>2444</v>
      </c>
      <c r="K16" s="34" t="s">
        <v>95</v>
      </c>
      <c r="L16" s="38" t="s">
        <v>2445</v>
      </c>
      <c r="M16" s="34" t="s">
        <v>117</v>
      </c>
      <c r="N16" s="34" t="s">
        <v>71</v>
      </c>
      <c r="O16" s="34" t="s">
        <v>98</v>
      </c>
      <c r="P16" s="34" t="s">
        <v>10</v>
      </c>
      <c r="Q16" s="34" t="s">
        <v>248</v>
      </c>
      <c r="S16" s="40"/>
      <c r="U16" s="38" t="s">
        <v>2446</v>
      </c>
      <c r="V16" s="34" t="s">
        <v>1808</v>
      </c>
    </row>
    <row hidden="1" r="17" ht="41.0">
      <c r="A17" s="36">
        <v>46149</v>
      </c>
      <c r="B17" s="34" t="s">
        <v>34</v>
      </c>
      <c r="C17" s="34" t="s">
        <v>88</v>
      </c>
      <c r="D17" s="37" t="s">
        <v>2447</v>
      </c>
      <c r="E17" s="34" t="s">
        <v>1746</v>
      </c>
      <c r="F17" s="38" t="s">
        <v>2448</v>
      </c>
      <c r="G17" s="34" t="s">
        <v>2449</v>
      </c>
      <c r="I17" s="34" t="s">
        <v>277</v>
      </c>
      <c r="K17" s="34" t="s">
        <v>95</v>
      </c>
      <c r="L17" s="34" t="s">
        <v>681</v>
      </c>
      <c r="M17" s="34" t="s">
        <v>97</v>
      </c>
      <c r="N17" s="34" t="s">
        <v>71</v>
      </c>
      <c r="O17" s="34" t="s">
        <v>98</v>
      </c>
      <c r="P17" s="34" t="s">
        <v>10</v>
      </c>
      <c r="Q17" s="43">
        <v>46178</v>
      </c>
      <c r="S17" s="40"/>
      <c r="U17" s="38" t="s">
        <v>2450</v>
      </c>
      <c r="V17" s="34" t="s">
        <v>2451</v>
      </c>
    </row>
    <row hidden="1" r="18" ht="27.0" customFormat="1" s="34">
      <c r="A18" s="36">
        <v>46149</v>
      </c>
      <c r="B18" s="34" t="s">
        <v>34</v>
      </c>
      <c r="C18" s="34" t="s">
        <v>108</v>
      </c>
      <c r="D18" s="37" t="s">
        <v>2452</v>
      </c>
      <c r="E18" s="34" t="s">
        <v>2453</v>
      </c>
      <c r="F18" s="38" t="s">
        <v>2454</v>
      </c>
      <c r="G18" s="34" t="s">
        <v>2455</v>
      </c>
      <c r="H18" s="34" t="s">
        <v>2456</v>
      </c>
      <c r="K18" s="34" t="s">
        <v>69</v>
      </c>
      <c r="L18" s="34" t="s">
        <v>681</v>
      </c>
      <c r="M18" s="34" t="s">
        <v>97</v>
      </c>
      <c r="N18" s="34" t="s">
        <v>882</v>
      </c>
      <c r="O18" s="34" t="s">
        <v>893</v>
      </c>
      <c r="P18" s="34" t="s">
        <v>893</v>
      </c>
      <c r="S18" s="40"/>
      <c r="U18" s="38" t="s">
        <v>2457</v>
      </c>
    </row>
    <row hidden="1" r="19" ht="41.0" customFormat="1" s="34">
      <c r="A19" s="36">
        <v>46149</v>
      </c>
      <c r="B19" s="34" t="s">
        <v>34</v>
      </c>
      <c r="C19" s="34" t="s">
        <v>108</v>
      </c>
      <c r="D19" s="37" t="s">
        <v>2458</v>
      </c>
      <c r="E19" s="34" t="s">
        <v>2459</v>
      </c>
      <c r="F19" s="38" t="s">
        <v>2460</v>
      </c>
      <c r="G19" s="34" t="s">
        <v>2461</v>
      </c>
      <c r="H19" s="34" t="s">
        <v>163</v>
      </c>
      <c r="I19" s="34" t="s">
        <v>266</v>
      </c>
      <c r="K19" s="34" t="s">
        <v>95</v>
      </c>
      <c r="L19" s="38" t="s">
        <v>2462</v>
      </c>
      <c r="M19" s="34" t="s">
        <v>117</v>
      </c>
      <c r="N19" s="34" t="s">
        <v>309</v>
      </c>
      <c r="O19" s="34" t="s">
        <v>84</v>
      </c>
      <c r="P19" s="34" t="s">
        <v>10</v>
      </c>
      <c r="Q19" s="34">
        <v>5.0</v>
      </c>
      <c r="S19" s="40" t="s">
        <v>134</v>
      </c>
      <c r="U19" s="38" t="s">
        <v>2463</v>
      </c>
      <c r="V19" s="34" t="s">
        <v>2464</v>
      </c>
    </row>
    <row hidden="1" r="20" ht="55.0">
      <c r="A20" s="36">
        <v>46149</v>
      </c>
      <c r="B20" s="34" t="s">
        <v>34</v>
      </c>
      <c r="C20" s="34" t="s">
        <v>108</v>
      </c>
      <c r="D20" s="37" t="s">
        <v>2465</v>
      </c>
      <c r="E20" s="34" t="s">
        <v>2435</v>
      </c>
      <c r="F20" s="38" t="s">
        <v>2466</v>
      </c>
      <c r="G20" s="34" t="s">
        <v>2467</v>
      </c>
      <c r="H20" s="34" t="s">
        <v>163</v>
      </c>
      <c r="K20" s="34" t="s">
        <v>95</v>
      </c>
      <c r="L20" s="34" t="s">
        <v>681</v>
      </c>
      <c r="M20" s="34" t="s">
        <v>97</v>
      </c>
      <c r="N20" s="34" t="s">
        <v>71</v>
      </c>
      <c r="O20" s="34" t="s">
        <v>84</v>
      </c>
      <c r="P20" s="34" t="s">
        <v>10</v>
      </c>
      <c r="Q20" s="34" t="s">
        <v>2468</v>
      </c>
      <c r="S20" s="40" t="s">
        <v>127</v>
      </c>
      <c r="U20" s="38" t="s">
        <v>2469</v>
      </c>
      <c r="V20" s="34" t="s">
        <v>2470</v>
      </c>
    </row>
    <row hidden="1" r="21" ht="68.0">
      <c r="A21" s="36">
        <v>46149</v>
      </c>
      <c r="B21" s="34" t="s">
        <v>34</v>
      </c>
      <c r="C21" s="34" t="s">
        <v>108</v>
      </c>
      <c r="D21" s="37" t="s">
        <v>2471</v>
      </c>
      <c r="E21" s="34" t="s">
        <v>2472</v>
      </c>
      <c r="F21" s="38" t="s">
        <v>2473</v>
      </c>
      <c r="G21" s="34" t="s">
        <v>2474</v>
      </c>
      <c r="H21" s="34" t="s">
        <v>163</v>
      </c>
      <c r="I21" s="34" t="s">
        <v>2475</v>
      </c>
      <c r="J21" s="34" t="s">
        <v>216</v>
      </c>
      <c r="K21" s="34" t="s">
        <v>95</v>
      </c>
      <c r="L21" s="34" t="s">
        <v>681</v>
      </c>
      <c r="M21" s="34" t="s">
        <v>97</v>
      </c>
      <c r="N21" s="34" t="s">
        <v>71</v>
      </c>
      <c r="O21" s="34" t="s">
        <v>84</v>
      </c>
      <c r="P21" s="34" t="s">
        <v>535</v>
      </c>
      <c r="Q21" s="34">
        <v>10.0</v>
      </c>
      <c r="S21" s="40" t="s">
        <v>127</v>
      </c>
      <c r="U21" s="38" t="s">
        <v>2476</v>
      </c>
      <c r="V21" s="34" t="s">
        <v>2477</v>
      </c>
    </row>
    <row hidden="1" r="22" ht="41.0">
      <c r="A22" s="36">
        <v>46149</v>
      </c>
      <c r="B22" s="34" t="s">
        <v>35</v>
      </c>
      <c r="C22" s="34" t="s">
        <v>108</v>
      </c>
      <c r="D22" s="37" t="s">
        <v>2478</v>
      </c>
      <c r="E22" s="34" t="s">
        <v>199</v>
      </c>
      <c r="F22" s="38" t="s">
        <v>2479</v>
      </c>
      <c r="G22" s="34" t="s">
        <v>2480</v>
      </c>
      <c r="H22" s="34" t="s">
        <v>163</v>
      </c>
      <c r="J22" s="34" t="s">
        <v>1015</v>
      </c>
      <c r="K22" s="34" t="s">
        <v>125</v>
      </c>
      <c r="L22" s="34" t="s">
        <v>681</v>
      </c>
      <c r="M22" s="34" t="s">
        <v>97</v>
      </c>
      <c r="N22" s="34" t="s">
        <v>71</v>
      </c>
      <c r="O22" s="34" t="s">
        <v>84</v>
      </c>
      <c r="P22" s="34" t="s">
        <v>9</v>
      </c>
      <c r="Q22" s="34">
        <v>5.0</v>
      </c>
      <c r="S22" s="40" t="s">
        <v>127</v>
      </c>
      <c r="U22" s="38" t="s">
        <v>2481</v>
      </c>
      <c r="V22" s="34" t="s">
        <v>2482</v>
      </c>
    </row>
    <row hidden="1" r="23" ht="27.0">
      <c r="A23" s="36">
        <v>46149</v>
      </c>
      <c r="B23" s="34" t="s">
        <v>34</v>
      </c>
      <c r="C23" s="34" t="s">
        <v>76</v>
      </c>
      <c r="D23" s="37" t="s">
        <v>2483</v>
      </c>
      <c r="E23" s="34" t="s">
        <v>78</v>
      </c>
      <c r="F23" s="38" t="s">
        <v>2484</v>
      </c>
      <c r="G23" s="34" t="s">
        <v>2485</v>
      </c>
      <c r="H23" s="34" t="s">
        <v>163</v>
      </c>
      <c r="K23" s="34" t="s">
        <v>95</v>
      </c>
      <c r="M23" s="34" t="s">
        <v>97</v>
      </c>
      <c r="N23" s="34" t="s">
        <v>71</v>
      </c>
      <c r="O23" s="34" t="s">
        <v>84</v>
      </c>
      <c r="P23" s="34" t="s">
        <v>10</v>
      </c>
      <c r="Q23" s="34">
        <v>3.0</v>
      </c>
      <c r="S23" s="40" t="s">
        <v>134</v>
      </c>
      <c r="U23" s="34" t="s">
        <v>2486</v>
      </c>
      <c r="V23" s="34" t="s">
        <v>2487</v>
      </c>
    </row>
    <row hidden="1" r="24" ht="41.0">
      <c r="A24" s="36">
        <v>46150</v>
      </c>
      <c r="B24" s="34" t="s">
        <v>34</v>
      </c>
      <c r="C24" s="34" t="s">
        <v>88</v>
      </c>
      <c r="D24" s="37" t="s">
        <v>2488</v>
      </c>
      <c r="E24" s="34" t="s">
        <v>2489</v>
      </c>
      <c r="F24" s="38" t="s">
        <v>2490</v>
      </c>
      <c r="G24" s="34" t="s">
        <v>2491</v>
      </c>
      <c r="K24" s="34" t="s">
        <v>95</v>
      </c>
      <c r="L24" s="34" t="s">
        <v>681</v>
      </c>
      <c r="M24" s="34" t="s">
        <v>97</v>
      </c>
      <c r="N24" s="34" t="s">
        <v>71</v>
      </c>
      <c r="O24" s="34" t="s">
        <v>98</v>
      </c>
      <c r="P24" s="34" t="s">
        <v>10</v>
      </c>
      <c r="Q24" s="34" t="s">
        <v>2492</v>
      </c>
      <c r="S24" s="40"/>
      <c r="U24" s="34" t="s">
        <v>2493</v>
      </c>
      <c r="V24" s="34" t="s">
        <v>2494</v>
      </c>
    </row>
    <row hidden="1" r="25" ht="55.0">
      <c r="A25" s="36">
        <v>46150</v>
      </c>
      <c r="B25" s="34" t="s">
        <v>34</v>
      </c>
      <c r="C25" s="34" t="s">
        <v>88</v>
      </c>
      <c r="D25" s="74" t="s">
        <v>2495</v>
      </c>
      <c r="E25" s="34" t="s">
        <v>1746</v>
      </c>
      <c r="F25" s="38" t="s">
        <v>2496</v>
      </c>
      <c r="G25" s="34" t="s">
        <v>2497</v>
      </c>
      <c r="J25" s="34" t="s">
        <v>607</v>
      </c>
      <c r="K25" s="34" t="s">
        <v>95</v>
      </c>
      <c r="L25" s="34" t="s">
        <v>681</v>
      </c>
      <c r="M25" s="34" t="s">
        <v>97</v>
      </c>
      <c r="N25" s="34" t="s">
        <v>71</v>
      </c>
      <c r="O25" s="34" t="s">
        <v>98</v>
      </c>
      <c r="P25" s="34" t="s">
        <v>10</v>
      </c>
      <c r="Q25" s="34">
        <v>2.0</v>
      </c>
      <c r="S25" s="40"/>
      <c r="U25" s="38" t="s">
        <v>2498</v>
      </c>
      <c r="V25" s="34" t="s">
        <v>1890</v>
      </c>
    </row>
    <row r="26" ht="27.0">
      <c r="A26" s="36">
        <v>46148</v>
      </c>
      <c r="B26" s="34" t="s">
        <v>34</v>
      </c>
      <c r="C26" s="34" t="s">
        <v>63</v>
      </c>
      <c r="D26" s="37" t="s">
        <v>2499</v>
      </c>
      <c r="E26" s="34" t="s">
        <v>2500</v>
      </c>
      <c r="G26" s="34" t="s">
        <v>2501</v>
      </c>
      <c r="K26" s="34" t="s">
        <v>95</v>
      </c>
      <c r="M26" s="34" t="s">
        <v>97</v>
      </c>
      <c r="N26" s="34" t="s">
        <v>71</v>
      </c>
      <c r="O26" s="34" t="s">
        <v>84</v>
      </c>
      <c r="P26" s="34" t="s">
        <v>11</v>
      </c>
      <c r="Q26" s="34">
        <v>50.0</v>
      </c>
      <c r="S26" s="40" t="s">
        <v>127</v>
      </c>
      <c r="U26" s="34" t="s">
        <v>2502</v>
      </c>
    </row>
    <row r="27" ht="27.0">
      <c r="A27" s="36">
        <v>46149</v>
      </c>
      <c r="B27" s="34" t="s">
        <v>34</v>
      </c>
      <c r="C27" s="34" t="s">
        <v>63</v>
      </c>
      <c r="D27" s="37" t="s">
        <v>2503</v>
      </c>
      <c r="E27" s="34" t="s">
        <v>2504</v>
      </c>
      <c r="F27" s="38" t="s">
        <v>2505</v>
      </c>
      <c r="G27" s="34" t="s">
        <v>2506</v>
      </c>
      <c r="K27" s="34" t="s">
        <v>125</v>
      </c>
      <c r="M27" s="34" t="s">
        <v>97</v>
      </c>
      <c r="N27" s="34" t="s">
        <v>71</v>
      </c>
      <c r="O27" s="34" t="s">
        <v>72</v>
      </c>
      <c r="P27" s="34" t="s">
        <v>9</v>
      </c>
      <c r="Q27" s="34">
        <v>5.0</v>
      </c>
      <c r="R27" s="39">
        <v>353.1</v>
      </c>
      <c r="S27" s="40" t="s">
        <v>127</v>
      </c>
      <c r="U27" s="38" t="s">
        <v>2507</v>
      </c>
    </row>
    <row r="28" ht="27.0">
      <c r="A28" s="36">
        <v>46149</v>
      </c>
      <c r="B28" s="34" t="s">
        <v>34</v>
      </c>
      <c r="C28" s="34" t="s">
        <v>63</v>
      </c>
      <c r="D28" s="37" t="s">
        <v>2508</v>
      </c>
      <c r="E28" s="34" t="s">
        <v>170</v>
      </c>
      <c r="F28" s="38" t="s">
        <v>2509</v>
      </c>
      <c r="G28" s="34" t="s">
        <v>2510</v>
      </c>
      <c r="K28" s="34" t="s">
        <v>95</v>
      </c>
      <c r="M28" s="34" t="s">
        <v>97</v>
      </c>
      <c r="N28" s="34" t="s">
        <v>71</v>
      </c>
      <c r="O28" s="34" t="s">
        <v>84</v>
      </c>
      <c r="P28" s="34" t="s">
        <v>10</v>
      </c>
      <c r="Q28" s="34">
        <v>3.0</v>
      </c>
      <c r="S28" s="40" t="s">
        <v>134</v>
      </c>
      <c r="U28" s="38" t="s">
        <v>2511</v>
      </c>
      <c r="V28" s="34" t="s">
        <v>2512</v>
      </c>
    </row>
    <row r="29" ht="15.0">
      <c r="A29" s="36">
        <v>46153</v>
      </c>
      <c r="B29" s="34" t="s">
        <v>34</v>
      </c>
      <c r="C29" s="34" t="s">
        <v>63</v>
      </c>
      <c r="D29" s="37" t="s">
        <v>2359</v>
      </c>
      <c r="E29" s="34" t="s">
        <v>2360</v>
      </c>
      <c r="F29" s="38" t="s">
        <v>2513</v>
      </c>
      <c r="G29" s="34" t="s">
        <v>2514</v>
      </c>
      <c r="K29" s="34" t="s">
        <v>125</v>
      </c>
      <c r="M29" s="34" t="s">
        <v>97</v>
      </c>
      <c r="N29" s="34" t="s">
        <v>71</v>
      </c>
      <c r="O29" s="34" t="s">
        <v>84</v>
      </c>
      <c r="P29" s="34" t="s">
        <v>9</v>
      </c>
      <c r="Q29" s="34">
        <v>3.0</v>
      </c>
      <c r="S29" s="40" t="s">
        <v>134</v>
      </c>
      <c r="U29" s="34" t="s">
        <v>456</v>
      </c>
    </row>
    <row r="30" ht="27.0">
      <c r="A30" s="36">
        <v>46153</v>
      </c>
      <c r="B30" s="34" t="s">
        <v>34</v>
      </c>
      <c r="C30" s="34" t="s">
        <v>63</v>
      </c>
      <c r="D30" s="37" t="s">
        <v>2515</v>
      </c>
      <c r="E30" s="34" t="s">
        <v>2516</v>
      </c>
      <c r="F30" s="38" t="s">
        <v>2517</v>
      </c>
      <c r="G30" s="34" t="s">
        <v>2518</v>
      </c>
      <c r="K30" s="34" t="s">
        <v>95</v>
      </c>
      <c r="M30" s="34" t="s">
        <v>97</v>
      </c>
      <c r="N30" s="34" t="s">
        <v>71</v>
      </c>
      <c r="O30" s="34" t="s">
        <v>84</v>
      </c>
      <c r="P30" s="34" t="s">
        <v>9</v>
      </c>
      <c r="Q30" s="34">
        <v>5.0</v>
      </c>
      <c r="S30" s="40" t="s">
        <v>134</v>
      </c>
      <c r="U30" s="38" t="s">
        <v>2519</v>
      </c>
    </row>
    <row hidden="1" r="31" ht="27.0">
      <c r="A31" s="36">
        <v>46153</v>
      </c>
      <c r="B31" s="34" t="s">
        <v>34</v>
      </c>
      <c r="C31" s="34" t="s">
        <v>2520</v>
      </c>
      <c r="D31" s="37" t="s">
        <v>2521</v>
      </c>
      <c r="E31" s="34" t="s">
        <v>2522</v>
      </c>
      <c r="F31" s="38" t="s">
        <v>2523</v>
      </c>
      <c r="G31" s="34" t="s">
        <v>2524</v>
      </c>
      <c r="K31" s="34" t="s">
        <v>69</v>
      </c>
      <c r="M31" s="34" t="s">
        <v>97</v>
      </c>
      <c r="N31" s="34" t="s">
        <v>156</v>
      </c>
      <c r="O31" s="34" t="s">
        <v>157</v>
      </c>
      <c r="P31" s="34" t="s">
        <v>158</v>
      </c>
      <c r="Q31" s="34">
        <v>3.0</v>
      </c>
      <c r="S31" s="40" t="s">
        <v>134</v>
      </c>
    </row>
    <row hidden="1" r="32" ht="27.0">
      <c r="A32" s="36">
        <v>46153</v>
      </c>
      <c r="B32" s="34" t="s">
        <v>34</v>
      </c>
      <c r="C32" s="34" t="s">
        <v>108</v>
      </c>
      <c r="D32" s="37" t="s">
        <v>2525</v>
      </c>
      <c r="E32" s="34" t="s">
        <v>1033</v>
      </c>
      <c r="F32" s="38" t="s">
        <v>2526</v>
      </c>
      <c r="G32" s="34" t="s">
        <v>2527</v>
      </c>
      <c r="I32" s="34" t="s">
        <v>140</v>
      </c>
      <c r="K32" s="34" t="s">
        <v>69</v>
      </c>
      <c r="M32" s="34" t="s">
        <v>97</v>
      </c>
      <c r="N32" s="34" t="s">
        <v>156</v>
      </c>
      <c r="O32" s="34" t="s">
        <v>157</v>
      </c>
      <c r="P32" s="34" t="s">
        <v>158</v>
      </c>
      <c r="Q32" s="34">
        <v>13.0</v>
      </c>
      <c r="S32" s="40" t="s">
        <v>118</v>
      </c>
    </row>
    <row hidden="1" r="33" ht="15.0" customFormat="1" s="34">
      <c r="A33" s="36">
        <v>46154</v>
      </c>
      <c r="B33" s="34" t="s">
        <v>34</v>
      </c>
      <c r="C33" s="34" t="s">
        <v>88</v>
      </c>
      <c r="D33" s="37" t="s">
        <v>1948</v>
      </c>
      <c r="E33" s="34" t="s">
        <v>530</v>
      </c>
      <c r="F33" s="38" t="s">
        <v>1949</v>
      </c>
      <c r="G33" s="34" t="s">
        <v>2528</v>
      </c>
      <c r="H33" s="34" t="s">
        <v>163</v>
      </c>
      <c r="I33" s="34" t="s">
        <v>351</v>
      </c>
      <c r="J33" s="34" t="s">
        <v>1951</v>
      </c>
      <c r="K33" s="34" t="s">
        <v>69</v>
      </c>
      <c r="L33" s="38" t="s">
        <v>1952</v>
      </c>
      <c r="M33" s="34" t="s">
        <v>117</v>
      </c>
      <c r="N33" s="34" t="s">
        <v>309</v>
      </c>
      <c r="O33" s="34" t="s">
        <v>84</v>
      </c>
      <c r="P33" s="34" t="s">
        <v>9</v>
      </c>
      <c r="Q33" s="34" t="s">
        <v>1953</v>
      </c>
      <c r="S33" s="40" t="s">
        <v>99</v>
      </c>
    </row>
    <row hidden="1" r="34" ht="41.0">
      <c r="A34" s="36">
        <v>46154</v>
      </c>
      <c r="B34" s="34" t="s">
        <v>34</v>
      </c>
      <c r="C34" s="34" t="s">
        <v>88</v>
      </c>
      <c r="D34" s="37" t="s">
        <v>2529</v>
      </c>
      <c r="E34" s="34" t="s">
        <v>2530</v>
      </c>
      <c r="F34" s="38" t="s">
        <v>2531</v>
      </c>
      <c r="G34" s="34" t="s">
        <v>2532</v>
      </c>
      <c r="H34" s="34" t="s">
        <v>2533</v>
      </c>
      <c r="I34" s="34" t="s">
        <v>940</v>
      </c>
      <c r="K34" s="34" t="s">
        <v>69</v>
      </c>
      <c r="M34" s="34" t="s">
        <v>117</v>
      </c>
      <c r="N34" s="34" t="s">
        <v>309</v>
      </c>
      <c r="O34" s="34" t="s">
        <v>98</v>
      </c>
      <c r="P34" s="34" t="s">
        <v>11</v>
      </c>
      <c r="Q34" s="34">
        <v>14.0</v>
      </c>
      <c r="S34" s="40"/>
      <c r="U34" s="34" t="s">
        <v>2534</v>
      </c>
    </row>
    <row hidden="1" r="35" ht="27.0">
      <c r="A35" s="36">
        <v>46154</v>
      </c>
      <c r="B35" s="34" t="s">
        <v>34</v>
      </c>
      <c r="C35" s="34" t="s">
        <v>108</v>
      </c>
      <c r="D35" s="37" t="s">
        <v>2535</v>
      </c>
      <c r="E35" s="34" t="s">
        <v>2536</v>
      </c>
      <c r="F35" s="38" t="s">
        <v>2537</v>
      </c>
      <c r="G35" s="34" t="s">
        <v>2538</v>
      </c>
      <c r="I35" s="34" t="s">
        <v>140</v>
      </c>
      <c r="J35" s="34" t="s">
        <v>2539</v>
      </c>
      <c r="K35" s="34" t="s">
        <v>95</v>
      </c>
      <c r="L35" s="34" t="s">
        <v>681</v>
      </c>
      <c r="M35" s="34" t="s">
        <v>70</v>
      </c>
      <c r="N35" s="34" t="s">
        <v>71</v>
      </c>
      <c r="O35" s="34" t="s">
        <v>84</v>
      </c>
      <c r="P35" s="34" t="s">
        <v>9</v>
      </c>
      <c r="Q35" s="34">
        <v>30.0</v>
      </c>
      <c r="R35" s="44">
        <v>14670.0</v>
      </c>
      <c r="S35" s="40" t="s">
        <v>118</v>
      </c>
    </row>
    <row hidden="1" r="36" ht="68.0">
      <c r="A36" s="36">
        <v>46154</v>
      </c>
      <c r="B36" s="34" t="s">
        <v>36</v>
      </c>
      <c r="C36" s="34" t="s">
        <v>108</v>
      </c>
      <c r="D36" s="37" t="s">
        <v>2540</v>
      </c>
      <c r="E36" s="34" t="s">
        <v>2541</v>
      </c>
      <c r="F36" s="38" t="s">
        <v>2542</v>
      </c>
      <c r="G36" s="34" t="s">
        <v>2543</v>
      </c>
      <c r="I36" s="34" t="s">
        <v>140</v>
      </c>
      <c r="K36" s="34" t="s">
        <v>69</v>
      </c>
      <c r="L36" s="34" t="s">
        <v>681</v>
      </c>
      <c r="M36" s="34" t="s">
        <v>97</v>
      </c>
      <c r="N36" s="34" t="s">
        <v>156</v>
      </c>
      <c r="O36" s="34" t="s">
        <v>157</v>
      </c>
      <c r="P36" s="34" t="s">
        <v>158</v>
      </c>
      <c r="Q36" s="34">
        <v>12.0</v>
      </c>
      <c r="S36" s="40" t="s">
        <v>85</v>
      </c>
      <c r="U36" s="38" t="s">
        <v>2544</v>
      </c>
    </row>
    <row hidden="1" r="37" ht="68.0">
      <c r="A37" s="36">
        <v>46154</v>
      </c>
      <c r="B37" s="34" t="s">
        <v>34</v>
      </c>
      <c r="C37" s="34" t="s">
        <v>108</v>
      </c>
      <c r="D37" s="37" t="s">
        <v>2545</v>
      </c>
      <c r="E37" s="34" t="s">
        <v>2546</v>
      </c>
      <c r="F37" s="38" t="s">
        <v>2547</v>
      </c>
      <c r="G37" s="34" t="s">
        <v>2548</v>
      </c>
      <c r="I37" s="34" t="s">
        <v>2549</v>
      </c>
      <c r="K37" s="34" t="s">
        <v>95</v>
      </c>
      <c r="L37" s="38" t="s">
        <v>2550</v>
      </c>
      <c r="M37" s="34" t="s">
        <v>117</v>
      </c>
      <c r="N37" s="34" t="s">
        <v>71</v>
      </c>
      <c r="O37" s="34" t="s">
        <v>98</v>
      </c>
      <c r="P37" s="34" t="s">
        <v>10</v>
      </c>
      <c r="Q37" s="34" t="s">
        <v>2551</v>
      </c>
      <c r="S37" s="40" t="s">
        <v>118</v>
      </c>
      <c r="U37" s="38" t="s">
        <v>2552</v>
      </c>
    </row>
    <row hidden="1" r="38" customHeight="1" ht="23.0">
      <c r="A38" s="36">
        <v>46154</v>
      </c>
      <c r="B38" s="34" t="s">
        <v>34</v>
      </c>
      <c r="C38" s="34" t="s">
        <v>108</v>
      </c>
      <c r="D38" s="37" t="s">
        <v>2553</v>
      </c>
      <c r="E38" s="34" t="s">
        <v>2554</v>
      </c>
      <c r="F38" s="38" t="s">
        <v>2555</v>
      </c>
      <c r="G38" s="34" t="s">
        <v>1907</v>
      </c>
      <c r="K38" s="34" t="s">
        <v>69</v>
      </c>
      <c r="L38" s="38" t="s">
        <v>2556</v>
      </c>
      <c r="M38" s="34" t="s">
        <v>83</v>
      </c>
      <c r="N38" s="34" t="s">
        <v>309</v>
      </c>
      <c r="O38" s="34" t="s">
        <v>84</v>
      </c>
      <c r="P38" s="34" t="s">
        <v>9</v>
      </c>
      <c r="Q38" s="34">
        <v>25.0</v>
      </c>
      <c r="S38" s="40" t="s">
        <v>127</v>
      </c>
      <c r="U38" s="38" t="s">
        <v>2557</v>
      </c>
    </row>
    <row hidden="1" r="39" ht="41.0">
      <c r="A39" s="36">
        <v>46155</v>
      </c>
      <c r="B39" s="34" t="s">
        <v>34</v>
      </c>
      <c r="C39" s="34" t="s">
        <v>88</v>
      </c>
      <c r="D39" s="37" t="s">
        <v>2558</v>
      </c>
      <c r="E39" s="34" t="s">
        <v>130</v>
      </c>
      <c r="F39" s="38" t="s">
        <v>2559</v>
      </c>
      <c r="G39" s="34" t="s">
        <v>2560</v>
      </c>
      <c r="I39" s="34" t="s">
        <v>2561</v>
      </c>
      <c r="K39" s="34" t="s">
        <v>125</v>
      </c>
      <c r="L39" s="38" t="s">
        <v>2562</v>
      </c>
      <c r="M39" s="34" t="s">
        <v>117</v>
      </c>
      <c r="N39" s="34" t="s">
        <v>71</v>
      </c>
      <c r="O39" s="34" t="s">
        <v>98</v>
      </c>
      <c r="P39" s="34" t="s">
        <v>11</v>
      </c>
      <c r="Q39" s="34">
        <v>15.0</v>
      </c>
      <c r="S39" s="40" t="s">
        <v>127</v>
      </c>
      <c r="U39" s="38" t="s">
        <v>2563</v>
      </c>
      <c r="V39" s="34" t="s">
        <v>2564</v>
      </c>
    </row>
    <row hidden="1" r="40" ht="41.0">
      <c r="A40" s="36">
        <v>46155</v>
      </c>
      <c r="B40" s="34" t="s">
        <v>34</v>
      </c>
      <c r="C40" s="34" t="s">
        <v>88</v>
      </c>
      <c r="D40" s="37" t="s">
        <v>2565</v>
      </c>
      <c r="E40" s="34" t="s">
        <v>2554</v>
      </c>
      <c r="F40" s="38" t="s">
        <v>2566</v>
      </c>
      <c r="G40" s="34" t="s">
        <v>2567</v>
      </c>
      <c r="K40" s="34" t="s">
        <v>95</v>
      </c>
      <c r="L40" s="34" t="s">
        <v>681</v>
      </c>
      <c r="M40" s="34" t="s">
        <v>97</v>
      </c>
      <c r="N40" s="34" t="s">
        <v>71</v>
      </c>
      <c r="O40" s="34" t="s">
        <v>98</v>
      </c>
      <c r="P40" s="34" t="s">
        <v>10</v>
      </c>
      <c r="Q40" s="34">
        <v>5.0</v>
      </c>
      <c r="S40" s="40"/>
      <c r="U40" s="38" t="s">
        <v>2568</v>
      </c>
      <c r="V40" s="34" t="s">
        <v>2569</v>
      </c>
    </row>
    <row hidden="1" r="41" ht="27.0">
      <c r="A41" s="36">
        <v>46155</v>
      </c>
      <c r="B41" s="34" t="s">
        <v>34</v>
      </c>
      <c r="C41" s="34" t="s">
        <v>88</v>
      </c>
      <c r="D41" s="37" t="s">
        <v>2570</v>
      </c>
      <c r="E41" s="34" t="s">
        <v>2571</v>
      </c>
      <c r="F41" s="38" t="s">
        <v>2572</v>
      </c>
      <c r="G41" s="34" t="s">
        <v>2573</v>
      </c>
      <c r="I41" s="34" t="s">
        <v>2574</v>
      </c>
      <c r="J41" s="34" t="s">
        <v>591</v>
      </c>
      <c r="K41" s="34" t="s">
        <v>125</v>
      </c>
      <c r="L41" s="34" t="s">
        <v>681</v>
      </c>
      <c r="M41" s="34" t="s">
        <v>97</v>
      </c>
      <c r="N41" s="34" t="s">
        <v>71</v>
      </c>
      <c r="O41" s="34" t="s">
        <v>98</v>
      </c>
      <c r="P41" s="34" t="s">
        <v>11</v>
      </c>
      <c r="Q41" s="34" t="s">
        <v>248</v>
      </c>
      <c r="S41" s="40"/>
      <c r="U41" s="38" t="s">
        <v>2575</v>
      </c>
    </row>
    <row r="42" ht="27.0">
      <c r="A42" s="36">
        <v>46155</v>
      </c>
      <c r="B42" s="34" t="s">
        <v>34</v>
      </c>
      <c r="C42" s="34" t="s">
        <v>63</v>
      </c>
      <c r="D42" s="37" t="s">
        <v>2503</v>
      </c>
      <c r="E42" s="34" t="s">
        <v>2504</v>
      </c>
      <c r="F42" s="38" t="s">
        <v>2505</v>
      </c>
      <c r="G42" s="34" t="s">
        <v>2576</v>
      </c>
      <c r="K42" s="34" t="s">
        <v>267</v>
      </c>
      <c r="M42" s="34" t="s">
        <v>97</v>
      </c>
      <c r="N42" s="34" t="s">
        <v>71</v>
      </c>
      <c r="O42" s="34" t="s">
        <v>72</v>
      </c>
      <c r="P42" s="34" t="s">
        <v>9</v>
      </c>
      <c r="Q42" s="34">
        <v>5.0</v>
      </c>
      <c r="S42" s="40" t="s">
        <v>127</v>
      </c>
      <c r="U42" s="38" t="s">
        <v>2577</v>
      </c>
    </row>
    <row hidden="1" r="43" ht="27.0">
      <c r="A43" s="36">
        <v>46155</v>
      </c>
      <c r="B43" s="34" t="s">
        <v>37</v>
      </c>
      <c r="C43" s="34" t="s">
        <v>108</v>
      </c>
      <c r="D43" s="37" t="s">
        <v>2578</v>
      </c>
      <c r="E43" s="34" t="s">
        <v>199</v>
      </c>
      <c r="F43" s="38" t="s">
        <v>2579</v>
      </c>
      <c r="G43" s="34" t="s">
        <v>2580</v>
      </c>
      <c r="I43" s="34" t="s">
        <v>1327</v>
      </c>
      <c r="K43" s="34" t="s">
        <v>95</v>
      </c>
      <c r="M43" s="34" t="s">
        <v>97</v>
      </c>
      <c r="N43" s="34" t="s">
        <v>71</v>
      </c>
      <c r="O43" s="34" t="s">
        <v>98</v>
      </c>
      <c r="P43" s="34" t="s">
        <v>10</v>
      </c>
      <c r="S43" s="40"/>
      <c r="U43" s="34" t="s">
        <v>1368</v>
      </c>
    </row>
    <row hidden="1" r="44" ht="27.0">
      <c r="A44" s="36">
        <v>46155</v>
      </c>
      <c r="B44" s="34" t="s">
        <v>35</v>
      </c>
      <c r="C44" s="34" t="s">
        <v>76</v>
      </c>
      <c r="D44" s="75" t="s">
        <v>2581</v>
      </c>
      <c r="E44" s="34" t="s">
        <v>377</v>
      </c>
      <c r="F44" s="38" t="s">
        <v>2582</v>
      </c>
      <c r="G44" s="34" t="s">
        <v>2583</v>
      </c>
      <c r="J44" s="34" t="s">
        <v>206</v>
      </c>
      <c r="K44" s="34" t="s">
        <v>95</v>
      </c>
      <c r="M44" s="34" t="s">
        <v>97</v>
      </c>
      <c r="N44" s="34" t="s">
        <v>71</v>
      </c>
      <c r="O44" s="34" t="s">
        <v>98</v>
      </c>
      <c r="P44" s="34" t="s">
        <v>10</v>
      </c>
      <c r="Q44" s="34">
        <v>3.0</v>
      </c>
      <c r="S44" s="40" t="s">
        <v>134</v>
      </c>
      <c r="U44" s="38" t="s">
        <v>2584</v>
      </c>
    </row>
    <row hidden="1" r="45" ht="41.0">
      <c r="A45" s="36">
        <v>46156</v>
      </c>
      <c r="B45" s="34" t="s">
        <v>35</v>
      </c>
      <c r="C45" s="34" t="s">
        <v>76</v>
      </c>
      <c r="D45" s="75" t="s">
        <v>2585</v>
      </c>
      <c r="E45" s="34" t="s">
        <v>2586</v>
      </c>
      <c r="F45" s="38" t="s">
        <v>2587</v>
      </c>
      <c r="G45" s="34" t="s">
        <v>2588</v>
      </c>
      <c r="J45" s="34" t="s">
        <v>206</v>
      </c>
      <c r="K45" s="34" t="s">
        <v>267</v>
      </c>
      <c r="M45" s="34" t="s">
        <v>97</v>
      </c>
      <c r="N45" s="34" t="s">
        <v>71</v>
      </c>
      <c r="O45" s="34" t="s">
        <v>84</v>
      </c>
      <c r="P45" s="34" t="s">
        <v>9</v>
      </c>
      <c r="Q45" s="34">
        <v>3.0</v>
      </c>
      <c r="S45" s="40" t="s">
        <v>127</v>
      </c>
    </row>
    <row hidden="1" r="46" ht="27.0">
      <c r="A46" s="36">
        <v>46156</v>
      </c>
      <c r="B46" s="34" t="s">
        <v>34</v>
      </c>
      <c r="C46" s="34" t="s">
        <v>88</v>
      </c>
      <c r="D46" s="37" t="s">
        <v>2589</v>
      </c>
      <c r="E46" s="34" t="s">
        <v>2187</v>
      </c>
      <c r="F46" s="38" t="s">
        <v>2590</v>
      </c>
      <c r="G46" s="34" t="s">
        <v>2591</v>
      </c>
      <c r="J46" s="34" t="s">
        <v>2592</v>
      </c>
      <c r="K46" s="34" t="s">
        <v>115</v>
      </c>
      <c r="L46" s="34" t="s">
        <v>681</v>
      </c>
      <c r="M46" s="34" t="s">
        <v>97</v>
      </c>
      <c r="N46" s="34" t="s">
        <v>71</v>
      </c>
      <c r="O46" s="34" t="s">
        <v>84</v>
      </c>
      <c r="P46" s="34" t="s">
        <v>9</v>
      </c>
      <c r="Q46" s="34">
        <v>15.0</v>
      </c>
      <c r="R46" s="44">
        <v>3400.0</v>
      </c>
      <c r="S46" s="40" t="s">
        <v>134</v>
      </c>
      <c r="U46" s="34" t="s">
        <v>2593</v>
      </c>
    </row>
    <row hidden="1" r="47" ht="82.0">
      <c r="A47" s="36">
        <v>46156</v>
      </c>
      <c r="B47" s="34" t="s">
        <v>36</v>
      </c>
      <c r="C47" s="34" t="s">
        <v>108</v>
      </c>
      <c r="D47" s="37" t="s">
        <v>2594</v>
      </c>
      <c r="E47" s="34" t="s">
        <v>2595</v>
      </c>
      <c r="G47" s="34" t="s">
        <v>2596</v>
      </c>
      <c r="K47" s="34" t="s">
        <v>69</v>
      </c>
      <c r="L47" s="34" t="s">
        <v>681</v>
      </c>
      <c r="M47" s="34" t="s">
        <v>70</v>
      </c>
      <c r="N47" s="34" t="s">
        <v>71</v>
      </c>
      <c r="O47" s="34" t="s">
        <v>84</v>
      </c>
      <c r="P47" s="34" t="s">
        <v>10</v>
      </c>
      <c r="R47" s="44"/>
      <c r="S47" s="40"/>
      <c r="T47" s="34" t="s">
        <v>2597</v>
      </c>
    </row>
    <row hidden="1" r="48" ht="27.0">
      <c r="A48" s="36">
        <v>46156</v>
      </c>
      <c r="B48" s="34" t="s">
        <v>36</v>
      </c>
      <c r="C48" s="34" t="s">
        <v>108</v>
      </c>
      <c r="D48" s="37" t="s">
        <v>2598</v>
      </c>
      <c r="E48" s="34" t="s">
        <v>2599</v>
      </c>
      <c r="F48" s="34" t="s">
        <v>2600</v>
      </c>
      <c r="G48" s="34" t="s">
        <v>2601</v>
      </c>
      <c r="K48" s="34" t="s">
        <v>69</v>
      </c>
      <c r="L48" s="34" t="s">
        <v>681</v>
      </c>
      <c r="M48" s="34" t="s">
        <v>97</v>
      </c>
      <c r="N48" s="34" t="s">
        <v>156</v>
      </c>
      <c r="O48" s="34" t="s">
        <v>157</v>
      </c>
      <c r="P48" s="34" t="s">
        <v>158</v>
      </c>
      <c r="Q48" s="34">
        <v>10.0</v>
      </c>
      <c r="S48" s="40" t="s">
        <v>294</v>
      </c>
      <c r="U48" s="34" t="s">
        <v>456</v>
      </c>
    </row>
    <row hidden="1" r="49" ht="41.0">
      <c r="A49" s="36">
        <v>46156</v>
      </c>
      <c r="B49" s="34" t="s">
        <v>36</v>
      </c>
      <c r="C49" s="34" t="s">
        <v>108</v>
      </c>
      <c r="D49" s="37" t="s">
        <v>2602</v>
      </c>
      <c r="E49" s="34" t="s">
        <v>2603</v>
      </c>
      <c r="F49" s="34" t="s">
        <v>2604</v>
      </c>
      <c r="G49" s="34" t="s">
        <v>2605</v>
      </c>
      <c r="H49" s="34" t="s">
        <v>163</v>
      </c>
      <c r="I49" s="34" t="s">
        <v>266</v>
      </c>
      <c r="K49" s="34" t="s">
        <v>173</v>
      </c>
      <c r="L49" s="34" t="s">
        <v>681</v>
      </c>
      <c r="M49" s="34" t="s">
        <v>83</v>
      </c>
      <c r="N49" s="34" t="s">
        <v>71</v>
      </c>
      <c r="O49" s="34" t="s">
        <v>84</v>
      </c>
      <c r="P49" s="34" t="s">
        <v>10</v>
      </c>
      <c r="Q49" s="34" t="s">
        <v>2551</v>
      </c>
      <c r="S49" s="40"/>
      <c r="T49" s="34" t="s">
        <v>2606</v>
      </c>
      <c r="U49" s="38" t="s">
        <v>2607</v>
      </c>
    </row>
    <row hidden="1" r="50" ht="27.0">
      <c r="A50" s="36">
        <v>46156</v>
      </c>
      <c r="B50" s="34" t="s">
        <v>34</v>
      </c>
      <c r="C50" s="34" t="s">
        <v>108</v>
      </c>
      <c r="D50" s="37" t="s">
        <v>2608</v>
      </c>
      <c r="E50" s="34" t="s">
        <v>2609</v>
      </c>
      <c r="F50" s="34" t="s">
        <v>2610</v>
      </c>
      <c r="G50" s="34" t="s">
        <v>2611</v>
      </c>
      <c r="H50" s="34" t="s">
        <v>163</v>
      </c>
      <c r="I50" s="34" t="s">
        <v>266</v>
      </c>
      <c r="J50" s="34" t="s">
        <v>1091</v>
      </c>
      <c r="K50" s="34" t="s">
        <v>95</v>
      </c>
      <c r="L50" s="38" t="s">
        <v>2612</v>
      </c>
      <c r="M50" s="34" t="s">
        <v>97</v>
      </c>
      <c r="N50" s="34" t="s">
        <v>71</v>
      </c>
      <c r="O50" s="34" t="s">
        <v>84</v>
      </c>
      <c r="P50" s="34" t="s">
        <v>10</v>
      </c>
      <c r="Q50" s="34">
        <v>3.0</v>
      </c>
      <c r="S50" s="40" t="s">
        <v>134</v>
      </c>
      <c r="U50" s="38" t="s">
        <v>2613</v>
      </c>
      <c r="V50" s="34" t="s">
        <v>2614</v>
      </c>
    </row>
    <row hidden="1" r="51" customHeight="1" ht="23.0" customFormat="1" s="33">
      <c r="A51" s="36">
        <v>46157</v>
      </c>
      <c r="B51" s="34" t="s">
        <v>36</v>
      </c>
      <c r="C51" s="34" t="s">
        <v>88</v>
      </c>
      <c r="D51" s="37" t="s">
        <v>334</v>
      </c>
      <c r="E51" s="34" t="s">
        <v>244</v>
      </c>
      <c r="F51" s="38" t="s">
        <v>335</v>
      </c>
      <c r="G51" s="34" t="s">
        <v>2615</v>
      </c>
      <c r="H51" s="34" t="s">
        <v>163</v>
      </c>
      <c r="I51" s="34" t="s">
        <v>337</v>
      </c>
      <c r="J51" s="34"/>
      <c r="K51" s="34" t="s">
        <v>69</v>
      </c>
      <c r="L51" s="38" t="s">
        <v>338</v>
      </c>
      <c r="M51" s="34" t="s">
        <v>97</v>
      </c>
      <c r="N51" s="34" t="s">
        <v>156</v>
      </c>
      <c r="O51" s="34" t="s">
        <v>157</v>
      </c>
      <c r="P51" s="34" t="s">
        <v>158</v>
      </c>
      <c r="Q51" s="34">
        <v>10.0</v>
      </c>
      <c r="R51" s="44">
        <v>47880.0</v>
      </c>
      <c r="S51" s="40" t="s">
        <v>118</v>
      </c>
      <c r="T51" s="34" t="s">
        <v>2616</v>
      </c>
      <c r="U51" s="38" t="s">
        <v>340</v>
      </c>
      <c r="V51" s="34" t="s">
        <v>341</v>
      </c>
      <c r="W51" s="34"/>
      <c r="X51" s="34"/>
      <c r="Y51" s="34"/>
      <c r="Z51" s="34"/>
      <c r="AA51" s="34"/>
      <c r="AB51" s="34"/>
      <c r="AC51" s="34"/>
      <c r="AD51" s="34"/>
      <c r="AE51" s="34"/>
      <c r="AF51" s="34"/>
      <c r="AG51" s="34"/>
      <c r="AH51" s="34"/>
      <c r="AI51" s="34"/>
      <c r="AJ51" s="34"/>
      <c r="AK51" s="34"/>
      <c r="AL51" s="34"/>
      <c r="AM51" s="34"/>
      <c r="AN51" s="34"/>
      <c r="AO51" s="34"/>
      <c r="AP51" s="34"/>
      <c r="AQ51" s="34"/>
      <c r="AR51" s="34"/>
      <c r="AS51" s="34"/>
      <c r="AT51" s="34"/>
      <c r="AU51" s="34"/>
      <c r="AV51" s="34"/>
      <c r="AW51" s="34"/>
      <c r="AX51" s="34"/>
    </row>
    <row hidden="1" r="52" customHeight="1" ht="25.0" customFormat="1" s="1">
      <c r="A52" s="36">
        <v>46157</v>
      </c>
      <c r="B52" s="34" t="s">
        <v>34</v>
      </c>
      <c r="C52" s="34" t="s">
        <v>88</v>
      </c>
      <c r="D52" s="37" t="s">
        <v>2617</v>
      </c>
      <c r="E52" s="34" t="s">
        <v>2618</v>
      </c>
      <c r="F52" s="38" t="s">
        <v>2619</v>
      </c>
      <c r="G52" s="34" t="s">
        <v>2620</v>
      </c>
      <c r="H52" s="34"/>
      <c r="I52" s="34"/>
      <c r="J52" s="34"/>
      <c r="K52" s="34" t="s">
        <v>69</v>
      </c>
      <c r="L52" s="34" t="s">
        <v>681</v>
      </c>
      <c r="M52" s="34" t="s">
        <v>97</v>
      </c>
      <c r="N52" s="34" t="s">
        <v>156</v>
      </c>
      <c r="O52" s="34" t="s">
        <v>157</v>
      </c>
      <c r="P52" s="34" t="s">
        <v>158</v>
      </c>
      <c r="Q52" s="40">
        <v>50.0</v>
      </c>
      <c r="R52" s="34"/>
      <c r="S52" s="40" t="s">
        <v>294</v>
      </c>
      <c r="T52" s="34"/>
      <c r="U52" s="34"/>
      <c r="V52" s="66"/>
    </row>
    <row hidden="1" r="53" ht="27.0">
      <c r="A53" s="36">
        <v>46157</v>
      </c>
      <c r="B53" s="34" t="s">
        <v>34</v>
      </c>
      <c r="C53" s="34" t="s">
        <v>88</v>
      </c>
      <c r="D53" s="37" t="s">
        <v>2621</v>
      </c>
      <c r="E53" s="34" t="s">
        <v>2622</v>
      </c>
      <c r="F53" s="38" t="s">
        <v>2623</v>
      </c>
      <c r="G53" s="34" t="s">
        <v>2624</v>
      </c>
      <c r="K53" s="34" t="s">
        <v>69</v>
      </c>
      <c r="L53" s="34" t="s">
        <v>681</v>
      </c>
      <c r="M53" s="34" t="s">
        <v>117</v>
      </c>
      <c r="N53" s="34" t="s">
        <v>534</v>
      </c>
      <c r="O53" s="34" t="s">
        <v>207</v>
      </c>
      <c r="P53" s="34" t="s">
        <v>535</v>
      </c>
      <c r="S53" s="40"/>
    </row>
    <row hidden="1" r="54" ht="68.0">
      <c r="A54" s="36">
        <v>46157</v>
      </c>
      <c r="B54" s="34" t="s">
        <v>37</v>
      </c>
      <c r="C54" s="34" t="s">
        <v>108</v>
      </c>
      <c r="D54" s="37" t="s">
        <v>2625</v>
      </c>
      <c r="E54" s="34" t="s">
        <v>2546</v>
      </c>
      <c r="F54" s="38" t="s">
        <v>2626</v>
      </c>
      <c r="G54" s="34" t="s">
        <v>2627</v>
      </c>
      <c r="H54" s="34" t="s">
        <v>163</v>
      </c>
      <c r="I54" s="34" t="s">
        <v>2628</v>
      </c>
      <c r="K54" s="34" t="s">
        <v>69</v>
      </c>
      <c r="L54" s="34" t="s">
        <v>681</v>
      </c>
      <c r="M54" s="34" t="s">
        <v>97</v>
      </c>
      <c r="N54" s="34" t="s">
        <v>156</v>
      </c>
      <c r="O54" s="34" t="s">
        <v>157</v>
      </c>
      <c r="P54" s="34" t="s">
        <v>158</v>
      </c>
      <c r="Q54" s="34">
        <v>10.0</v>
      </c>
      <c r="S54" s="40" t="s">
        <v>127</v>
      </c>
      <c r="U54" s="38" t="s">
        <v>2629</v>
      </c>
    </row>
    <row hidden="1" r="55" ht="82.0">
      <c r="A55" s="36">
        <v>46157</v>
      </c>
      <c r="B55" s="34" t="s">
        <v>34</v>
      </c>
      <c r="C55" s="34" t="s">
        <v>108</v>
      </c>
      <c r="D55" s="37" t="s">
        <v>2630</v>
      </c>
      <c r="E55" s="34" t="s">
        <v>2541</v>
      </c>
      <c r="F55" s="38" t="s">
        <v>2631</v>
      </c>
      <c r="G55" s="34" t="s">
        <v>2632</v>
      </c>
      <c r="K55" s="34" t="s">
        <v>69</v>
      </c>
      <c r="L55" s="34" t="s">
        <v>681</v>
      </c>
      <c r="M55" s="34" t="s">
        <v>97</v>
      </c>
      <c r="N55" s="34" t="s">
        <v>71</v>
      </c>
      <c r="O55" s="34" t="s">
        <v>98</v>
      </c>
      <c r="P55" s="34" t="s">
        <v>395</v>
      </c>
      <c r="S55" s="40"/>
      <c r="T55" s="34" t="s">
        <v>2633</v>
      </c>
      <c r="U55" s="38" t="s">
        <v>2634</v>
      </c>
    </row>
    <row hidden="1" r="56" ht="55.0">
      <c r="A56" s="36">
        <v>46157</v>
      </c>
      <c r="B56" s="34" t="s">
        <v>34</v>
      </c>
      <c r="C56" s="34" t="s">
        <v>108</v>
      </c>
      <c r="D56" s="37" t="s">
        <v>2635</v>
      </c>
      <c r="E56" s="34" t="s">
        <v>2636</v>
      </c>
      <c r="F56" s="38" t="s">
        <v>2637</v>
      </c>
      <c r="G56" s="34" t="s">
        <v>2638</v>
      </c>
      <c r="H56" s="34" t="s">
        <v>163</v>
      </c>
      <c r="I56" s="34" t="s">
        <v>2639</v>
      </c>
      <c r="K56" s="34" t="s">
        <v>95</v>
      </c>
      <c r="L56" s="34" t="s">
        <v>681</v>
      </c>
      <c r="M56" s="34" t="s">
        <v>97</v>
      </c>
      <c r="N56" s="34" t="s">
        <v>71</v>
      </c>
      <c r="O56" s="34" t="s">
        <v>84</v>
      </c>
      <c r="P56" s="34" t="s">
        <v>10</v>
      </c>
      <c r="Q56" s="34">
        <v>10.0</v>
      </c>
      <c r="S56" s="40" t="s">
        <v>134</v>
      </c>
      <c r="U56" s="34" t="s">
        <v>101</v>
      </c>
    </row>
    <row hidden="1" r="57" ht="41.0">
      <c r="A57" s="36">
        <v>46160</v>
      </c>
      <c r="B57" s="34" t="s">
        <v>34</v>
      </c>
      <c r="C57" s="34" t="s">
        <v>88</v>
      </c>
      <c r="D57" s="37" t="s">
        <v>2640</v>
      </c>
      <c r="E57" s="34" t="s">
        <v>672</v>
      </c>
      <c r="F57" s="38" t="s">
        <v>2641</v>
      </c>
      <c r="G57" s="34" t="s">
        <v>2642</v>
      </c>
      <c r="K57" s="34" t="s">
        <v>95</v>
      </c>
      <c r="L57" s="34" t="s">
        <v>681</v>
      </c>
      <c r="M57" s="34" t="s">
        <v>117</v>
      </c>
      <c r="N57" s="34" t="s">
        <v>71</v>
      </c>
      <c r="O57" s="34" t="s">
        <v>98</v>
      </c>
      <c r="P57" s="34" t="s">
        <v>10</v>
      </c>
      <c r="Q57" s="34">
        <v>6.0</v>
      </c>
      <c r="S57" s="40"/>
      <c r="V57" s="34" t="s">
        <v>2643</v>
      </c>
    </row>
    <row hidden="1" r="58" ht="41.0">
      <c r="A58" s="36">
        <v>46160</v>
      </c>
      <c r="B58" s="34" t="s">
        <v>34</v>
      </c>
      <c r="C58" s="34" t="s">
        <v>88</v>
      </c>
      <c r="D58" s="37" t="s">
        <v>2644</v>
      </c>
      <c r="E58" s="34" t="s">
        <v>2645</v>
      </c>
      <c r="F58" s="38" t="s">
        <v>2646</v>
      </c>
      <c r="G58" s="34" t="s">
        <v>2647</v>
      </c>
      <c r="K58" s="34" t="s">
        <v>69</v>
      </c>
      <c r="L58" s="34" t="s">
        <v>681</v>
      </c>
      <c r="M58" s="34" t="s">
        <v>83</v>
      </c>
      <c r="N58" s="34" t="s">
        <v>882</v>
      </c>
      <c r="O58" s="34" t="s">
        <v>893</v>
      </c>
      <c r="P58" s="34" t="s">
        <v>893</v>
      </c>
      <c r="S58" s="40"/>
    </row>
    <row hidden="1" r="59" ht="55.0">
      <c r="A59" s="36">
        <v>46160</v>
      </c>
      <c r="B59" s="34" t="s">
        <v>36</v>
      </c>
      <c r="C59" s="34" t="s">
        <v>108</v>
      </c>
      <c r="D59" s="37" t="s">
        <v>2648</v>
      </c>
      <c r="E59" s="34" t="s">
        <v>2649</v>
      </c>
      <c r="F59" s="38" t="s">
        <v>2650</v>
      </c>
      <c r="G59" s="34" t="s">
        <v>2651</v>
      </c>
      <c r="I59" s="34" t="s">
        <v>2652</v>
      </c>
      <c r="K59" s="34" t="s">
        <v>69</v>
      </c>
      <c r="L59" s="34" t="s">
        <v>681</v>
      </c>
      <c r="M59" s="34" t="s">
        <v>97</v>
      </c>
      <c r="N59" s="34" t="s">
        <v>71</v>
      </c>
      <c r="O59" s="34" t="s">
        <v>98</v>
      </c>
      <c r="P59" s="34" t="s">
        <v>10</v>
      </c>
      <c r="Q59" s="34">
        <v>10.0</v>
      </c>
      <c r="S59" s="40" t="s">
        <v>85</v>
      </c>
      <c r="T59" s="34" t="s">
        <v>2653</v>
      </c>
    </row>
    <row hidden="1" r="60" ht="55.0">
      <c r="A60" s="36">
        <v>46160</v>
      </c>
      <c r="B60" s="34" t="s">
        <v>35</v>
      </c>
      <c r="C60" s="34" t="s">
        <v>76</v>
      </c>
      <c r="D60" s="37" t="s">
        <v>2654</v>
      </c>
      <c r="E60" s="34" t="s">
        <v>2655</v>
      </c>
      <c r="F60" s="38" t="s">
        <v>2656</v>
      </c>
      <c r="G60" s="34" t="s">
        <v>2657</v>
      </c>
      <c r="H60" s="34" t="s">
        <v>2658</v>
      </c>
      <c r="J60" s="34" t="s">
        <v>1666</v>
      </c>
      <c r="K60" s="34" t="s">
        <v>173</v>
      </c>
      <c r="M60" s="34" t="s">
        <v>97</v>
      </c>
      <c r="N60" s="34" t="s">
        <v>71</v>
      </c>
      <c r="O60" s="34" t="s">
        <v>98</v>
      </c>
      <c r="P60" s="34" t="s">
        <v>10</v>
      </c>
      <c r="Q60" s="43">
        <v>46298</v>
      </c>
      <c r="S60" s="40" t="s">
        <v>127</v>
      </c>
      <c r="U60" s="38" t="s">
        <v>2659</v>
      </c>
      <c r="V60" s="34" t="s">
        <v>2660</v>
      </c>
    </row>
    <row hidden="1" r="61" ht="43.0">
      <c r="A61" s="36">
        <v>46160</v>
      </c>
      <c r="B61" s="34" t="s">
        <v>34</v>
      </c>
      <c r="C61" s="34" t="s">
        <v>76</v>
      </c>
      <c r="D61" s="37" t="s">
        <v>2661</v>
      </c>
      <c r="E61" s="34" t="s">
        <v>78</v>
      </c>
      <c r="F61" s="38" t="s">
        <v>2662</v>
      </c>
      <c r="G61" s="53" t="s">
        <v>2663</v>
      </c>
      <c r="J61" s="34" t="s">
        <v>874</v>
      </c>
      <c r="K61" s="34" t="s">
        <v>173</v>
      </c>
      <c r="M61" s="34" t="s">
        <v>97</v>
      </c>
      <c r="N61" s="34" t="s">
        <v>71</v>
      </c>
      <c r="O61" s="34" t="s">
        <v>98</v>
      </c>
      <c r="P61" s="34" t="s">
        <v>10</v>
      </c>
      <c r="Q61" s="34">
        <v>10.0</v>
      </c>
      <c r="S61" s="40" t="s">
        <v>99</v>
      </c>
      <c r="U61" s="38" t="s">
        <v>2664</v>
      </c>
    </row>
    <row hidden="1" r="62" ht="27.0" customFormat="1" s="34">
      <c r="A62" s="36">
        <v>46161</v>
      </c>
      <c r="B62" s="34" t="s">
        <v>34</v>
      </c>
      <c r="C62" s="34" t="s">
        <v>88</v>
      </c>
      <c r="D62" s="73" t="s">
        <v>2665</v>
      </c>
      <c r="E62" s="34" t="s">
        <v>672</v>
      </c>
      <c r="F62" s="38" t="s">
        <v>2666</v>
      </c>
      <c r="G62" s="34" t="s">
        <v>2667</v>
      </c>
      <c r="K62" s="34" t="s">
        <v>95</v>
      </c>
      <c r="L62" s="38" t="s">
        <v>2668</v>
      </c>
      <c r="M62" s="34" t="s">
        <v>97</v>
      </c>
      <c r="N62" s="34" t="s">
        <v>71</v>
      </c>
      <c r="O62" s="34" t="s">
        <v>98</v>
      </c>
      <c r="P62" s="34" t="s">
        <v>10</v>
      </c>
      <c r="Q62" s="34" t="s">
        <v>248</v>
      </c>
      <c r="S62" s="40"/>
      <c r="U62" s="38" t="s">
        <v>2669</v>
      </c>
    </row>
    <row hidden="1" r="63" ht="27.0">
      <c r="A63" s="36">
        <v>46161</v>
      </c>
      <c r="B63" s="34" t="s">
        <v>34</v>
      </c>
      <c r="C63" s="34" t="s">
        <v>88</v>
      </c>
      <c r="D63" s="37" t="s">
        <v>2670</v>
      </c>
      <c r="E63" s="34" t="s">
        <v>2671</v>
      </c>
      <c r="F63" s="38" t="s">
        <v>2672</v>
      </c>
      <c r="G63" s="34" t="s">
        <v>2673</v>
      </c>
      <c r="J63" s="34" t="s">
        <v>591</v>
      </c>
      <c r="K63" s="34" t="s">
        <v>95</v>
      </c>
      <c r="L63" s="38" t="s">
        <v>2674</v>
      </c>
      <c r="M63" s="34" t="s">
        <v>117</v>
      </c>
      <c r="N63" s="34" t="s">
        <v>71</v>
      </c>
      <c r="O63" s="34" t="s">
        <v>84</v>
      </c>
      <c r="P63" s="34" t="s">
        <v>10</v>
      </c>
      <c r="Q63" s="34">
        <v>5.0</v>
      </c>
      <c r="S63" s="40"/>
      <c r="U63" s="38" t="s">
        <v>2675</v>
      </c>
      <c r="V63" s="34" t="s">
        <v>2676</v>
      </c>
    </row>
    <row hidden="1" r="64" ht="68.0">
      <c r="A64" s="36">
        <v>46161</v>
      </c>
      <c r="B64" s="34" t="s">
        <v>34</v>
      </c>
      <c r="C64" s="34" t="s">
        <v>108</v>
      </c>
      <c r="D64" s="37" t="s">
        <v>2677</v>
      </c>
      <c r="E64" s="34" t="s">
        <v>130</v>
      </c>
      <c r="F64" s="38" t="s">
        <v>2678</v>
      </c>
      <c r="G64" s="34" t="s">
        <v>2679</v>
      </c>
      <c r="H64" s="34" t="s">
        <v>2680</v>
      </c>
      <c r="I64" s="34" t="s">
        <v>140</v>
      </c>
      <c r="K64" s="34" t="s">
        <v>95</v>
      </c>
      <c r="L64" s="34" t="s">
        <v>681</v>
      </c>
      <c r="M64" s="34" t="s">
        <v>97</v>
      </c>
      <c r="N64" s="34" t="s">
        <v>71</v>
      </c>
      <c r="O64" s="34" t="s">
        <v>84</v>
      </c>
      <c r="P64" s="34" t="s">
        <v>10</v>
      </c>
      <c r="Q64" s="43">
        <v>46298</v>
      </c>
      <c r="S64" s="40" t="s">
        <v>127</v>
      </c>
      <c r="U64" s="38" t="s">
        <v>2681</v>
      </c>
      <c r="V64" s="34" t="s">
        <v>2682</v>
      </c>
    </row>
    <row hidden="1" r="65" ht="55.0">
      <c r="A65" s="36">
        <v>46161</v>
      </c>
      <c r="B65" s="34" t="s">
        <v>34</v>
      </c>
      <c r="C65" s="34" t="s">
        <v>108</v>
      </c>
      <c r="D65" s="37" t="s">
        <v>2683</v>
      </c>
      <c r="E65" s="34" t="s">
        <v>2684</v>
      </c>
      <c r="F65" s="38" t="s">
        <v>2685</v>
      </c>
      <c r="G65" s="34" t="s">
        <v>2686</v>
      </c>
      <c r="K65" s="34" t="s">
        <v>69</v>
      </c>
      <c r="L65" s="34" t="s">
        <v>681</v>
      </c>
      <c r="M65" s="34" t="s">
        <v>97</v>
      </c>
      <c r="N65" s="34" t="s">
        <v>71</v>
      </c>
      <c r="O65" s="34" t="s">
        <v>98</v>
      </c>
      <c r="P65" s="34" t="s">
        <v>395</v>
      </c>
      <c r="S65" s="40"/>
      <c r="U65" s="38" t="s">
        <v>2687</v>
      </c>
    </row>
    <row hidden="1" r="66" ht="55.0">
      <c r="A66" s="36">
        <v>46162</v>
      </c>
      <c r="B66" s="34" t="s">
        <v>34</v>
      </c>
      <c r="C66" s="34" t="s">
        <v>88</v>
      </c>
      <c r="D66" s="37" t="s">
        <v>2688</v>
      </c>
      <c r="E66" s="34" t="s">
        <v>885</v>
      </c>
      <c r="F66" s="38" t="s">
        <v>2689</v>
      </c>
      <c r="G66" s="34" t="s">
        <v>2690</v>
      </c>
      <c r="I66" s="34" t="s">
        <v>140</v>
      </c>
      <c r="K66" s="34" t="s">
        <v>95</v>
      </c>
      <c r="L66" s="34" t="s">
        <v>681</v>
      </c>
      <c r="M66" s="34" t="s">
        <v>97</v>
      </c>
      <c r="N66" s="34" t="s">
        <v>71</v>
      </c>
      <c r="O66" s="34" t="s">
        <v>84</v>
      </c>
      <c r="P66" s="34" t="s">
        <v>10</v>
      </c>
      <c r="Q66" s="34">
        <v>20.0</v>
      </c>
      <c r="S66" s="40"/>
      <c r="V66" s="34" t="s">
        <v>2691</v>
      </c>
    </row>
    <row hidden="1" r="67" customHeight="1" ht="19.0">
      <c r="A67" s="36">
        <v>46162</v>
      </c>
      <c r="B67" s="34" t="s">
        <v>36</v>
      </c>
      <c r="C67" s="34" t="s">
        <v>108</v>
      </c>
      <c r="D67" s="37" t="s">
        <v>2478</v>
      </c>
      <c r="E67" s="34" t="s">
        <v>199</v>
      </c>
      <c r="F67" s="38" t="s">
        <v>2479</v>
      </c>
      <c r="G67" s="34" t="s">
        <v>2692</v>
      </c>
      <c r="H67" s="34" t="s">
        <v>163</v>
      </c>
      <c r="J67" s="34" t="s">
        <v>1015</v>
      </c>
      <c r="K67" s="34" t="s">
        <v>125</v>
      </c>
      <c r="L67" s="34" t="s">
        <v>681</v>
      </c>
      <c r="M67" s="34" t="s">
        <v>97</v>
      </c>
      <c r="N67" s="34" t="s">
        <v>71</v>
      </c>
      <c r="O67" s="34" t="s">
        <v>84</v>
      </c>
      <c r="P67" s="34" t="s">
        <v>10</v>
      </c>
      <c r="Q67" s="43"/>
      <c r="S67" s="40" t="s">
        <v>127</v>
      </c>
    </row>
    <row hidden="1" r="68" ht="27.0">
      <c r="A68" s="36">
        <v>46162</v>
      </c>
      <c r="B68" s="34" t="s">
        <v>34</v>
      </c>
      <c r="C68" s="34" t="s">
        <v>108</v>
      </c>
      <c r="D68" s="37" t="s">
        <v>2693</v>
      </c>
      <c r="E68" s="34" t="s">
        <v>2694</v>
      </c>
      <c r="F68" s="38" t="s">
        <v>2695</v>
      </c>
      <c r="G68" s="34" t="s">
        <v>2696</v>
      </c>
      <c r="K68" s="34" t="s">
        <v>69</v>
      </c>
      <c r="L68" s="34" t="s">
        <v>681</v>
      </c>
      <c r="M68" s="34" t="s">
        <v>117</v>
      </c>
      <c r="N68" s="34" t="s">
        <v>71</v>
      </c>
      <c r="O68" s="34" t="s">
        <v>98</v>
      </c>
      <c r="P68" s="34" t="s">
        <v>395</v>
      </c>
      <c r="S68" s="40"/>
    </row>
    <row hidden="1" r="69" ht="55.0">
      <c r="A69" s="36">
        <v>46163</v>
      </c>
      <c r="B69" s="34" t="s">
        <v>34</v>
      </c>
      <c r="C69" s="34" t="s">
        <v>88</v>
      </c>
      <c r="D69" s="37" t="s">
        <v>2697</v>
      </c>
      <c r="E69" s="34" t="s">
        <v>2694</v>
      </c>
      <c r="F69" s="38" t="s">
        <v>2698</v>
      </c>
      <c r="G69" s="34" t="s">
        <v>2699</v>
      </c>
      <c r="J69" s="34" t="s">
        <v>2592</v>
      </c>
      <c r="K69" s="34" t="s">
        <v>95</v>
      </c>
      <c r="L69" s="34" t="s">
        <v>681</v>
      </c>
      <c r="M69" s="34" t="s">
        <v>70</v>
      </c>
      <c r="N69" s="34" t="s">
        <v>71</v>
      </c>
      <c r="O69" s="34" t="s">
        <v>84</v>
      </c>
      <c r="P69" s="34" t="s">
        <v>10</v>
      </c>
      <c r="Q69" s="43">
        <v>46082</v>
      </c>
      <c r="S69" s="40"/>
      <c r="U69" s="38" t="s">
        <v>2700</v>
      </c>
    </row>
    <row hidden="1" r="70" ht="41.0">
      <c r="A70" s="36">
        <v>46163</v>
      </c>
      <c r="B70" s="34" t="s">
        <v>34</v>
      </c>
      <c r="C70" s="34" t="s">
        <v>88</v>
      </c>
      <c r="D70" s="37" t="s">
        <v>2701</v>
      </c>
      <c r="E70" s="34" t="s">
        <v>2459</v>
      </c>
      <c r="F70" s="38" t="s">
        <v>2702</v>
      </c>
      <c r="G70" s="34" t="s">
        <v>2703</v>
      </c>
      <c r="K70" s="34" t="s">
        <v>95</v>
      </c>
      <c r="L70" s="34" t="s">
        <v>681</v>
      </c>
      <c r="M70" s="34" t="s">
        <v>97</v>
      </c>
      <c r="N70" s="34" t="s">
        <v>71</v>
      </c>
      <c r="O70" s="34" t="s">
        <v>98</v>
      </c>
      <c r="P70" s="34" t="s">
        <v>10</v>
      </c>
      <c r="Q70" s="34">
        <v>10.0</v>
      </c>
      <c r="S70" s="40"/>
      <c r="U70" s="38" t="s">
        <v>2704</v>
      </c>
      <c r="V70" s="34" t="s">
        <v>2705</v>
      </c>
    </row>
    <row hidden="1" r="71" ht="68.0">
      <c r="A71" s="36">
        <v>46163</v>
      </c>
      <c r="B71" s="34" t="s">
        <v>34</v>
      </c>
      <c r="C71" s="34" t="s">
        <v>108</v>
      </c>
      <c r="D71" s="37" t="s">
        <v>2706</v>
      </c>
      <c r="E71" s="34" t="s">
        <v>2707</v>
      </c>
      <c r="F71" s="38" t="s">
        <v>2708</v>
      </c>
      <c r="G71" s="34" t="s">
        <v>2709</v>
      </c>
      <c r="H71" s="34" t="s">
        <v>163</v>
      </c>
      <c r="I71" s="34" t="s">
        <v>2710</v>
      </c>
      <c r="K71" s="34" t="s">
        <v>95</v>
      </c>
      <c r="L71" s="34" t="s">
        <v>681</v>
      </c>
      <c r="M71" s="34" t="s">
        <v>97</v>
      </c>
      <c r="N71" s="34" t="s">
        <v>71</v>
      </c>
      <c r="O71" s="34" t="s">
        <v>98</v>
      </c>
      <c r="P71" s="34" t="s">
        <v>10</v>
      </c>
      <c r="Q71" s="34">
        <v>3.0</v>
      </c>
      <c r="S71" s="40"/>
      <c r="U71" s="38" t="s">
        <v>2711</v>
      </c>
    </row>
    <row hidden="1" r="72" ht="15.0">
      <c r="A72" s="36">
        <v>46163</v>
      </c>
      <c r="B72" s="34" t="s">
        <v>36</v>
      </c>
      <c r="C72" s="34" t="s">
        <v>108</v>
      </c>
      <c r="D72" s="37" t="s">
        <v>1331</v>
      </c>
      <c r="E72" s="34" t="s">
        <v>382</v>
      </c>
      <c r="F72" s="38" t="s">
        <v>2320</v>
      </c>
      <c r="G72" s="34" t="s">
        <v>2712</v>
      </c>
      <c r="K72" s="34" t="s">
        <v>95</v>
      </c>
      <c r="M72" s="34" t="s">
        <v>117</v>
      </c>
      <c r="N72" s="34" t="s">
        <v>309</v>
      </c>
      <c r="O72" s="34" t="s">
        <v>84</v>
      </c>
      <c r="P72" s="34" t="s">
        <v>10</v>
      </c>
      <c r="S72" s="40" t="s">
        <v>127</v>
      </c>
    </row>
    <row r="73" ht="27.0">
      <c r="A73" s="36">
        <v>46163</v>
      </c>
      <c r="B73" s="34" t="s">
        <v>39</v>
      </c>
      <c r="C73" s="34" t="s">
        <v>63</v>
      </c>
      <c r="D73" s="37" t="s">
        <v>2713</v>
      </c>
      <c r="E73" s="34" t="s">
        <v>517</v>
      </c>
      <c r="F73" s="38" t="s">
        <v>2714</v>
      </c>
      <c r="G73" s="34" t="s">
        <v>2715</v>
      </c>
      <c r="I73" s="34" t="s">
        <v>2716</v>
      </c>
      <c r="K73" s="34" t="s">
        <v>267</v>
      </c>
      <c r="M73" s="34" t="s">
        <v>97</v>
      </c>
      <c r="N73" s="34" t="s">
        <v>71</v>
      </c>
      <c r="O73" s="34" t="s">
        <v>98</v>
      </c>
      <c r="P73" s="34" t="s">
        <v>11</v>
      </c>
      <c r="Q73" s="34">
        <v>90.0</v>
      </c>
      <c r="S73" s="40" t="s">
        <v>127</v>
      </c>
      <c r="U73" s="38" t="s">
        <v>2717</v>
      </c>
    </row>
    <row hidden="1" r="74" ht="27.0">
      <c r="A74" s="36">
        <v>46163</v>
      </c>
      <c r="B74" s="34" t="s">
        <v>35</v>
      </c>
      <c r="C74" s="34" t="s">
        <v>76</v>
      </c>
      <c r="D74" s="37" t="s">
        <v>2718</v>
      </c>
      <c r="E74" s="34" t="s">
        <v>2719</v>
      </c>
      <c r="F74" s="38" t="s">
        <v>2720</v>
      </c>
      <c r="G74" s="34" t="s">
        <v>2721</v>
      </c>
      <c r="H74" s="34" t="s">
        <v>2722</v>
      </c>
      <c r="I74" s="34" t="s">
        <v>2723</v>
      </c>
      <c r="K74" s="34" t="s">
        <v>95</v>
      </c>
      <c r="M74" s="34" t="s">
        <v>83</v>
      </c>
      <c r="N74" s="34" t="s">
        <v>71</v>
      </c>
      <c r="O74" s="34" t="s">
        <v>84</v>
      </c>
      <c r="P74" s="34" t="s">
        <v>11</v>
      </c>
      <c r="Q74" s="34">
        <v>10.0</v>
      </c>
      <c r="S74" s="40" t="s">
        <v>134</v>
      </c>
      <c r="U74" s="38" t="s">
        <v>2724</v>
      </c>
      <c r="V74" s="34" t="s">
        <v>2725</v>
      </c>
    </row>
    <row hidden="1" r="75" ht="41.0">
      <c r="A75" s="36">
        <v>46164</v>
      </c>
      <c r="B75" s="34" t="s">
        <v>34</v>
      </c>
      <c r="C75" s="34" t="s">
        <v>88</v>
      </c>
      <c r="D75" s="37" t="s">
        <v>2726</v>
      </c>
      <c r="E75" s="34" t="s">
        <v>2727</v>
      </c>
      <c r="F75" s="38" t="s">
        <v>2728</v>
      </c>
      <c r="G75" s="34" t="s">
        <v>2729</v>
      </c>
      <c r="I75" s="34" t="s">
        <v>2088</v>
      </c>
      <c r="J75" s="34" t="s">
        <v>2730</v>
      </c>
      <c r="K75" s="34" t="s">
        <v>95</v>
      </c>
      <c r="L75" s="34" t="s">
        <v>681</v>
      </c>
      <c r="M75" s="34" t="s">
        <v>97</v>
      </c>
      <c r="N75" s="34" t="s">
        <v>71</v>
      </c>
      <c r="O75" s="34" t="s">
        <v>609</v>
      </c>
      <c r="P75" s="34" t="s">
        <v>10</v>
      </c>
      <c r="Q75" s="34">
        <v>1.0</v>
      </c>
      <c r="S75" s="40"/>
      <c r="U75" s="34" t="s">
        <v>2593</v>
      </c>
      <c r="V75" s="34" t="s">
        <v>2731</v>
      </c>
    </row>
    <row hidden="1" r="76" ht="137.0">
      <c r="A76" s="36">
        <v>46164</v>
      </c>
      <c r="B76" s="34" t="s">
        <v>34</v>
      </c>
      <c r="C76" s="34" t="s">
        <v>108</v>
      </c>
      <c r="D76" s="37" t="s">
        <v>2732</v>
      </c>
      <c r="E76" s="34" t="s">
        <v>2599</v>
      </c>
      <c r="F76" s="38" t="s">
        <v>2733</v>
      </c>
      <c r="G76" s="34" t="s">
        <v>2734</v>
      </c>
      <c r="H76" s="34" t="s">
        <v>2735</v>
      </c>
      <c r="I76" s="34" t="s">
        <v>2736</v>
      </c>
      <c r="J76" s="34" t="s">
        <v>2737</v>
      </c>
      <c r="K76" s="34" t="s">
        <v>267</v>
      </c>
      <c r="L76" s="34" t="s">
        <v>681</v>
      </c>
      <c r="M76" s="34" t="s">
        <v>474</v>
      </c>
      <c r="N76" s="34" t="s">
        <v>71</v>
      </c>
      <c r="O76" s="34" t="s">
        <v>98</v>
      </c>
      <c r="P76" s="34" t="s">
        <v>395</v>
      </c>
      <c r="S76" s="40"/>
      <c r="U76" s="38" t="s">
        <v>2738</v>
      </c>
    </row>
    <row r="77" ht="41.0">
      <c r="A77" s="36">
        <v>46164</v>
      </c>
      <c r="B77" s="34" t="s">
        <v>34</v>
      </c>
      <c r="C77" s="34" t="s">
        <v>63</v>
      </c>
      <c r="D77" s="37" t="s">
        <v>2375</v>
      </c>
      <c r="E77" s="34" t="s">
        <v>2739</v>
      </c>
      <c r="F77" s="38" t="s">
        <v>2740</v>
      </c>
      <c r="G77" s="34" t="s">
        <v>2741</v>
      </c>
      <c r="I77" s="34" t="s">
        <v>277</v>
      </c>
      <c r="K77" s="34" t="s">
        <v>69</v>
      </c>
      <c r="M77" s="34" t="s">
        <v>97</v>
      </c>
      <c r="N77" s="34" t="s">
        <v>309</v>
      </c>
      <c r="O77" s="34" t="s">
        <v>84</v>
      </c>
      <c r="P77" s="34" t="s">
        <v>10</v>
      </c>
      <c r="Q77" s="34" t="s">
        <v>2742</v>
      </c>
      <c r="S77" s="40" t="s">
        <v>127</v>
      </c>
      <c r="U77" s="34" t="s">
        <v>456</v>
      </c>
    </row>
    <row hidden="1" r="78" ht="41.0">
      <c r="A78" s="36">
        <v>46164</v>
      </c>
      <c r="B78" s="34" t="s">
        <v>35</v>
      </c>
      <c r="C78" s="34" t="s">
        <v>76</v>
      </c>
      <c r="D78" s="37" t="s">
        <v>2743</v>
      </c>
      <c r="E78" s="34" t="s">
        <v>2744</v>
      </c>
      <c r="F78" s="38" t="s">
        <v>2745</v>
      </c>
      <c r="G78" s="34" t="s">
        <v>2746</v>
      </c>
      <c r="K78" s="34" t="s">
        <v>125</v>
      </c>
      <c r="M78" s="34" t="s">
        <v>117</v>
      </c>
      <c r="N78" s="34" t="s">
        <v>71</v>
      </c>
      <c r="O78" s="34" t="s">
        <v>84</v>
      </c>
      <c r="P78" s="34" t="s">
        <v>11</v>
      </c>
      <c r="Q78" s="34">
        <v>20.0</v>
      </c>
      <c r="S78" s="40" t="s">
        <v>127</v>
      </c>
      <c r="U78" s="38" t="s">
        <v>2747</v>
      </c>
      <c r="V78" s="34" t="s">
        <v>2487</v>
      </c>
    </row>
    <row hidden="1" r="79" ht="41.0">
      <c r="A79" s="36">
        <v>46167</v>
      </c>
      <c r="B79" s="34" t="s">
        <v>34</v>
      </c>
      <c r="C79" s="34" t="s">
        <v>108</v>
      </c>
      <c r="D79" s="37" t="s">
        <v>2748</v>
      </c>
      <c r="E79" s="34" t="s">
        <v>2749</v>
      </c>
      <c r="F79" s="38" t="s">
        <v>2750</v>
      </c>
      <c r="G79" s="34" t="s">
        <v>2751</v>
      </c>
      <c r="I79" s="34" t="s">
        <v>2752</v>
      </c>
      <c r="K79" s="34" t="s">
        <v>125</v>
      </c>
      <c r="L79" s="38" t="s">
        <v>2753</v>
      </c>
      <c r="M79" s="34" t="s">
        <v>117</v>
      </c>
      <c r="N79" s="34" t="s">
        <v>309</v>
      </c>
      <c r="O79" s="34" t="s">
        <v>84</v>
      </c>
      <c r="P79" s="34" t="s">
        <v>11</v>
      </c>
      <c r="S79" s="40"/>
      <c r="U79" s="38" t="s">
        <v>2754</v>
      </c>
    </row>
    <row hidden="1" r="80" ht="55.0">
      <c r="A80" s="36">
        <v>46167</v>
      </c>
      <c r="B80" s="34" t="s">
        <v>34</v>
      </c>
      <c r="C80" s="34" t="s">
        <v>108</v>
      </c>
      <c r="D80" s="37" t="s">
        <v>2755</v>
      </c>
      <c r="E80" s="34" t="s">
        <v>1900</v>
      </c>
      <c r="F80" s="38" t="s">
        <v>2756</v>
      </c>
      <c r="G80" s="34" t="s">
        <v>2757</v>
      </c>
      <c r="H80" s="34" t="s">
        <v>163</v>
      </c>
      <c r="I80" s="34" t="s">
        <v>2758</v>
      </c>
      <c r="J80" s="34" t="s">
        <v>2759</v>
      </c>
      <c r="K80" s="34" t="s">
        <v>125</v>
      </c>
      <c r="L80" s="34" t="s">
        <v>681</v>
      </c>
      <c r="M80" s="34" t="s">
        <v>97</v>
      </c>
      <c r="N80" s="34" t="s">
        <v>71</v>
      </c>
      <c r="O80" s="34" t="s">
        <v>84</v>
      </c>
      <c r="P80" s="34" t="s">
        <v>11</v>
      </c>
      <c r="Q80" s="34" t="s">
        <v>2760</v>
      </c>
      <c r="S80" s="40" t="s">
        <v>134</v>
      </c>
      <c r="U80" s="38" t="s">
        <v>2761</v>
      </c>
    </row>
    <row hidden="1" r="81" ht="41.0" customFormat="1" s="34">
      <c r="A81" s="36">
        <v>46168</v>
      </c>
      <c r="B81" s="34" t="s">
        <v>34</v>
      </c>
      <c r="C81" s="34" t="s">
        <v>88</v>
      </c>
      <c r="D81" s="37" t="s">
        <v>2375</v>
      </c>
      <c r="E81" s="34" t="s">
        <v>2739</v>
      </c>
      <c r="F81" s="38" t="s">
        <v>2740</v>
      </c>
      <c r="G81" s="34" t="s">
        <v>2762</v>
      </c>
      <c r="I81" s="34" t="s">
        <v>277</v>
      </c>
      <c r="K81" s="34" t="s">
        <v>69</v>
      </c>
      <c r="M81" s="34" t="s">
        <v>97</v>
      </c>
      <c r="N81" s="34" t="s">
        <v>309</v>
      </c>
      <c r="O81" s="34" t="s">
        <v>84</v>
      </c>
      <c r="P81" s="34" t="s">
        <v>10</v>
      </c>
      <c r="Q81" s="34" t="s">
        <v>2742</v>
      </c>
      <c r="S81" s="40" t="s">
        <v>127</v>
      </c>
      <c r="U81" s="34" t="s">
        <v>456</v>
      </c>
      <c r="V81" s="34" t="s">
        <v>2763</v>
      </c>
    </row>
    <row hidden="1" r="82" ht="27.0">
      <c r="A82" s="36">
        <v>46168</v>
      </c>
      <c r="B82" s="34" t="s">
        <v>34</v>
      </c>
      <c r="C82" s="34" t="s">
        <v>88</v>
      </c>
      <c r="D82" s="37" t="s">
        <v>2764</v>
      </c>
      <c r="E82" s="34" t="s">
        <v>2765</v>
      </c>
      <c r="F82" s="38" t="s">
        <v>2766</v>
      </c>
      <c r="G82" s="34" t="s">
        <v>2767</v>
      </c>
      <c r="I82" s="34" t="s">
        <v>277</v>
      </c>
      <c r="K82" s="34" t="s">
        <v>95</v>
      </c>
      <c r="L82" s="34" t="s">
        <v>681</v>
      </c>
      <c r="M82" s="34" t="s">
        <v>97</v>
      </c>
      <c r="N82" s="34" t="s">
        <v>71</v>
      </c>
      <c r="O82" s="34" t="s">
        <v>98</v>
      </c>
      <c r="P82" s="34" t="s">
        <v>10</v>
      </c>
      <c r="Q82" s="34" t="s">
        <v>2768</v>
      </c>
      <c r="S82" s="40"/>
      <c r="U82" s="38" t="s">
        <v>2769</v>
      </c>
    </row>
    <row hidden="1" r="83" ht="41.0">
      <c r="A83" s="36">
        <v>46168</v>
      </c>
      <c r="B83" s="34" t="s">
        <v>34</v>
      </c>
      <c r="C83" s="34" t="s">
        <v>108</v>
      </c>
      <c r="D83" s="37" t="s">
        <v>2770</v>
      </c>
      <c r="E83" s="34" t="s">
        <v>809</v>
      </c>
      <c r="F83" s="38" t="s">
        <v>2771</v>
      </c>
      <c r="G83" s="34" t="s">
        <v>2772</v>
      </c>
      <c r="K83" s="34" t="s">
        <v>69</v>
      </c>
      <c r="L83" s="34" t="s">
        <v>681</v>
      </c>
      <c r="M83" s="34" t="s">
        <v>83</v>
      </c>
      <c r="N83" s="34" t="s">
        <v>71</v>
      </c>
      <c r="O83" s="34" t="s">
        <v>98</v>
      </c>
      <c r="P83" s="34" t="s">
        <v>395</v>
      </c>
      <c r="S83" s="40"/>
    </row>
    <row hidden="1" r="84" ht="55.0">
      <c r="A84" s="36">
        <v>46168</v>
      </c>
      <c r="B84" s="34" t="s">
        <v>34</v>
      </c>
      <c r="C84" s="34" t="s">
        <v>108</v>
      </c>
      <c r="D84" s="37" t="s">
        <v>2773</v>
      </c>
      <c r="E84" s="34" t="s">
        <v>2125</v>
      </c>
      <c r="F84" s="38" t="s">
        <v>2774</v>
      </c>
      <c r="G84" s="34" t="s">
        <v>2775</v>
      </c>
      <c r="H84" s="34" t="s">
        <v>163</v>
      </c>
      <c r="I84" s="34" t="s">
        <v>266</v>
      </c>
      <c r="K84" s="34" t="s">
        <v>115</v>
      </c>
      <c r="L84" s="38" t="s">
        <v>2776</v>
      </c>
      <c r="M84" s="34" t="s">
        <v>117</v>
      </c>
      <c r="N84" s="34" t="s">
        <v>71</v>
      </c>
      <c r="O84" s="34" t="s">
        <v>98</v>
      </c>
      <c r="P84" s="34" t="s">
        <v>9</v>
      </c>
      <c r="Q84" s="34">
        <v>5.0</v>
      </c>
      <c r="S84" s="40" t="s">
        <v>294</v>
      </c>
      <c r="U84" s="38" t="s">
        <v>2777</v>
      </c>
    </row>
    <row hidden="1" r="85" ht="27.0">
      <c r="A85" s="36">
        <v>46168</v>
      </c>
      <c r="B85" s="34" t="s">
        <v>35</v>
      </c>
      <c r="C85" s="34" t="s">
        <v>76</v>
      </c>
      <c r="D85" s="37" t="s">
        <v>2743</v>
      </c>
      <c r="E85" s="34" t="s">
        <v>2744</v>
      </c>
      <c r="F85" s="38" t="s">
        <v>2745</v>
      </c>
      <c r="G85" s="34" t="s">
        <v>2778</v>
      </c>
      <c r="H85" s="34" t="s">
        <v>2779</v>
      </c>
      <c r="K85" s="34" t="s">
        <v>69</v>
      </c>
      <c r="M85" s="34" t="s">
        <v>117</v>
      </c>
      <c r="N85" s="34" t="s">
        <v>309</v>
      </c>
      <c r="O85" s="34" t="s">
        <v>84</v>
      </c>
      <c r="P85" s="34" t="s">
        <v>11</v>
      </c>
      <c r="Q85" s="34">
        <v>20.0</v>
      </c>
      <c r="S85" s="40" t="s">
        <v>99</v>
      </c>
    </row>
    <row hidden="1" r="86" ht="27.0">
      <c r="A86" s="36">
        <v>46169</v>
      </c>
      <c r="B86" s="34" t="s">
        <v>38</v>
      </c>
      <c r="C86" s="34" t="s">
        <v>88</v>
      </c>
      <c r="D86" s="37" t="s">
        <v>2780</v>
      </c>
      <c r="E86" s="34" t="s">
        <v>594</v>
      </c>
      <c r="F86" s="38" t="s">
        <v>2781</v>
      </c>
      <c r="G86" s="34" t="s">
        <v>2782</v>
      </c>
      <c r="K86" s="34" t="s">
        <v>69</v>
      </c>
      <c r="M86" s="34" t="s">
        <v>97</v>
      </c>
      <c r="N86" s="34" t="s">
        <v>156</v>
      </c>
      <c r="O86" s="34" t="s">
        <v>157</v>
      </c>
      <c r="P86" s="34" t="s">
        <v>158</v>
      </c>
      <c r="S86" s="40"/>
    </row>
    <row hidden="1" r="87" ht="27.0">
      <c r="A87" s="36">
        <v>46169</v>
      </c>
      <c r="B87" s="34" t="s">
        <v>35</v>
      </c>
      <c r="C87" s="34" t="s">
        <v>76</v>
      </c>
      <c r="D87" s="37" t="s">
        <v>2783</v>
      </c>
      <c r="F87" s="38" t="s">
        <v>2784</v>
      </c>
      <c r="G87" s="34" t="s">
        <v>2785</v>
      </c>
      <c r="K87" s="34" t="s">
        <v>69</v>
      </c>
      <c r="M87" s="34" t="s">
        <v>97</v>
      </c>
      <c r="N87" s="34" t="s">
        <v>71</v>
      </c>
      <c r="O87" s="34" t="s">
        <v>98</v>
      </c>
      <c r="P87" s="34" t="s">
        <v>395</v>
      </c>
      <c r="S87" s="40" t="s">
        <v>134</v>
      </c>
    </row>
    <row hidden="1" r="88" ht="27.0">
      <c r="A88" s="36">
        <v>46170</v>
      </c>
      <c r="B88" s="34" t="s">
        <v>34</v>
      </c>
      <c r="C88" s="34" t="s">
        <v>88</v>
      </c>
      <c r="D88" s="37" t="s">
        <v>2786</v>
      </c>
      <c r="E88" s="34" t="s">
        <v>2187</v>
      </c>
      <c r="F88" s="38" t="s">
        <v>2787</v>
      </c>
      <c r="G88" s="34" t="s">
        <v>2788</v>
      </c>
      <c r="I88" s="34" t="s">
        <v>140</v>
      </c>
      <c r="K88" s="34" t="s">
        <v>125</v>
      </c>
      <c r="L88" s="34" t="s">
        <v>681</v>
      </c>
      <c r="M88" s="34" t="s">
        <v>97</v>
      </c>
      <c r="N88" s="34" t="s">
        <v>71</v>
      </c>
      <c r="O88" s="34" t="s">
        <v>98</v>
      </c>
      <c r="P88" s="34" t="s">
        <v>11</v>
      </c>
      <c r="Q88" s="34">
        <v>3.0</v>
      </c>
      <c r="S88" s="40"/>
      <c r="U88" s="38" t="s">
        <v>2789</v>
      </c>
      <c r="V88" s="34" t="s">
        <v>1890</v>
      </c>
    </row>
    <row hidden="1" r="89" ht="41.0">
      <c r="A89" s="36">
        <v>46170</v>
      </c>
      <c r="B89" s="34" t="s">
        <v>35</v>
      </c>
      <c r="C89" s="34" t="s">
        <v>76</v>
      </c>
      <c r="D89" s="37" t="s">
        <v>2790</v>
      </c>
      <c r="E89" s="34" t="s">
        <v>2791</v>
      </c>
      <c r="F89" s="38" t="s">
        <v>2792</v>
      </c>
      <c r="G89" s="34" t="s">
        <v>2793</v>
      </c>
      <c r="K89" s="34" t="s">
        <v>95</v>
      </c>
      <c r="M89" s="34" t="s">
        <v>97</v>
      </c>
      <c r="N89" s="34" t="s">
        <v>71</v>
      </c>
      <c r="O89" s="34" t="s">
        <v>98</v>
      </c>
      <c r="P89" s="34" t="s">
        <v>10</v>
      </c>
      <c r="Q89" s="34">
        <v>10.0</v>
      </c>
      <c r="S89" s="40" t="s">
        <v>134</v>
      </c>
    </row>
    <row hidden="1" r="90" ht="41.0">
      <c r="A90" s="36">
        <v>46170</v>
      </c>
      <c r="B90" s="34" t="s">
        <v>35</v>
      </c>
      <c r="C90" s="34" t="s">
        <v>76</v>
      </c>
      <c r="D90" s="37" t="s">
        <v>2794</v>
      </c>
      <c r="E90" s="34" t="s">
        <v>2795</v>
      </c>
      <c r="F90" s="38" t="s">
        <v>2796</v>
      </c>
      <c r="G90" s="34" t="s">
        <v>2797</v>
      </c>
      <c r="K90" s="34" t="s">
        <v>95</v>
      </c>
      <c r="M90" s="34" t="s">
        <v>97</v>
      </c>
      <c r="N90" s="34" t="s">
        <v>71</v>
      </c>
      <c r="O90" s="76" t="s">
        <v>98</v>
      </c>
      <c r="P90" s="34" t="s">
        <v>10</v>
      </c>
      <c r="Q90" s="43">
        <v>46298</v>
      </c>
      <c r="S90" s="77" t="s">
        <v>134</v>
      </c>
      <c r="U90" s="38"/>
    </row>
    <row hidden="1" r="91" ht="27.0">
      <c r="A91" s="36">
        <v>46171</v>
      </c>
      <c r="B91" s="34" t="s">
        <v>35</v>
      </c>
      <c r="C91" s="34" t="s">
        <v>76</v>
      </c>
      <c r="D91" s="37" t="s">
        <v>1948</v>
      </c>
      <c r="E91" s="34" t="s">
        <v>1468</v>
      </c>
      <c r="F91" s="38" t="s">
        <v>2798</v>
      </c>
      <c r="G91" s="34" t="s">
        <v>2799</v>
      </c>
      <c r="K91" s="34" t="s">
        <v>69</v>
      </c>
      <c r="M91" s="34" t="s">
        <v>97</v>
      </c>
      <c r="N91" s="34" t="s">
        <v>309</v>
      </c>
      <c r="O91" s="34" t="s">
        <v>84</v>
      </c>
      <c r="P91" s="34" t="s">
        <v>9</v>
      </c>
      <c r="Q91" s="34">
        <v>3.0</v>
      </c>
      <c r="S91" s="77" t="s">
        <v>134</v>
      </c>
    </row>
    <row hidden="1" r="92" ht="55.0">
      <c r="A92" s="36">
        <v>46171</v>
      </c>
      <c r="B92" s="34" t="s">
        <v>34</v>
      </c>
      <c r="C92" s="34" t="s">
        <v>88</v>
      </c>
      <c r="D92" s="37" t="s">
        <v>2800</v>
      </c>
      <c r="E92" s="34" t="s">
        <v>2459</v>
      </c>
      <c r="F92" s="38" t="s">
        <v>2801</v>
      </c>
      <c r="G92" s="34" t="s">
        <v>2802</v>
      </c>
      <c r="I92" s="34" t="s">
        <v>2803</v>
      </c>
      <c r="J92" s="34" t="s">
        <v>2804</v>
      </c>
      <c r="K92" s="34" t="s">
        <v>125</v>
      </c>
      <c r="L92" s="34" t="s">
        <v>681</v>
      </c>
      <c r="M92" s="34" t="s">
        <v>83</v>
      </c>
      <c r="N92" s="34" t="s">
        <v>71</v>
      </c>
      <c r="O92" s="34" t="s">
        <v>207</v>
      </c>
      <c r="P92" s="34" t="s">
        <v>535</v>
      </c>
      <c r="Q92" s="34" t="s">
        <v>248</v>
      </c>
      <c r="S92" s="40"/>
      <c r="T92" s="34" t="s">
        <v>2805</v>
      </c>
      <c r="U92" s="38" t="s">
        <v>2806</v>
      </c>
    </row>
    <row hidden="1" r="93" ht="41.0">
      <c r="A93" s="36">
        <v>46171</v>
      </c>
      <c r="B93" s="34" t="s">
        <v>34</v>
      </c>
      <c r="C93" s="34" t="s">
        <v>88</v>
      </c>
      <c r="D93" s="37" t="s">
        <v>2807</v>
      </c>
      <c r="E93" s="34" t="s">
        <v>1208</v>
      </c>
      <c r="F93" s="38" t="s">
        <v>2808</v>
      </c>
      <c r="G93" s="34" t="s">
        <v>2809</v>
      </c>
      <c r="I93" s="34" t="s">
        <v>277</v>
      </c>
      <c r="K93" s="34" t="s">
        <v>184</v>
      </c>
      <c r="L93" s="34" t="s">
        <v>681</v>
      </c>
      <c r="M93" s="34" t="s">
        <v>83</v>
      </c>
      <c r="N93" s="34" t="s">
        <v>71</v>
      </c>
      <c r="O93" s="34" t="s">
        <v>98</v>
      </c>
      <c r="P93" s="34" t="s">
        <v>11</v>
      </c>
      <c r="Q93" s="34">
        <v>10.0</v>
      </c>
      <c r="S93" s="40"/>
      <c r="U93" s="38" t="s">
        <v>2810</v>
      </c>
      <c r="V93" s="34" t="s">
        <v>2811</v>
      </c>
    </row>
    <row hidden="1" r="94" ht="41.0">
      <c r="A94" s="36">
        <v>46171</v>
      </c>
      <c r="B94" s="34" t="s">
        <v>34</v>
      </c>
      <c r="C94" s="34" t="s">
        <v>88</v>
      </c>
      <c r="D94" s="37" t="s">
        <v>2812</v>
      </c>
      <c r="F94" s="38" t="s">
        <v>2813</v>
      </c>
      <c r="G94" s="34" t="s">
        <v>2814</v>
      </c>
      <c r="H94" s="34" t="s">
        <v>2815</v>
      </c>
      <c r="K94" s="34" t="s">
        <v>95</v>
      </c>
      <c r="L94" s="38" t="s">
        <v>2816</v>
      </c>
      <c r="M94" s="34" t="s">
        <v>117</v>
      </c>
      <c r="N94" s="34" t="s">
        <v>71</v>
      </c>
      <c r="O94" s="34" t="s">
        <v>98</v>
      </c>
      <c r="P94" s="34" t="s">
        <v>10</v>
      </c>
      <c r="Q94" s="34" t="s">
        <v>248</v>
      </c>
      <c r="S94" s="40"/>
      <c r="W94" s="38" t="s">
        <v>2817</v>
      </c>
    </row>
    <row r="95" ht="178.0">
      <c r="A95" s="36">
        <v>46170</v>
      </c>
      <c r="B95" s="34" t="s">
        <v>34</v>
      </c>
      <c r="C95" s="34" t="s">
        <v>63</v>
      </c>
      <c r="D95" s="37" t="s">
        <v>2818</v>
      </c>
      <c r="E95" s="34" t="s">
        <v>170</v>
      </c>
      <c r="F95" s="38" t="s">
        <v>2819</v>
      </c>
      <c r="G95" s="34" t="s">
        <v>2820</v>
      </c>
      <c r="H95" s="34" t="s">
        <v>2821</v>
      </c>
      <c r="I95" s="34" t="s">
        <v>107</v>
      </c>
      <c r="K95" s="34" t="s">
        <v>69</v>
      </c>
      <c r="M95" s="34" t="s">
        <v>474</v>
      </c>
      <c r="N95" s="34" t="s">
        <v>71</v>
      </c>
      <c r="O95" s="34" t="s">
        <v>72</v>
      </c>
      <c r="P95" s="34" t="s">
        <v>11</v>
      </c>
      <c r="Q95" s="34">
        <v>10000.0</v>
      </c>
      <c r="S95" s="40" t="s">
        <v>73</v>
      </c>
      <c r="U95" s="34" t="s">
        <v>668</v>
      </c>
    </row>
    <row r="96" ht="27.0">
      <c r="A96" s="36">
        <v>46171</v>
      </c>
      <c r="B96" s="34" t="s">
        <v>34</v>
      </c>
      <c r="C96" s="34" t="s">
        <v>63</v>
      </c>
      <c r="D96" s="37" t="s">
        <v>2822</v>
      </c>
      <c r="E96" s="34" t="s">
        <v>2410</v>
      </c>
      <c r="F96" s="38" t="s">
        <v>2823</v>
      </c>
      <c r="G96" s="34" t="s">
        <v>2824</v>
      </c>
      <c r="J96" s="34" t="s">
        <v>2825</v>
      </c>
      <c r="K96" s="34" t="s">
        <v>69</v>
      </c>
      <c r="M96" s="34" t="s">
        <v>474</v>
      </c>
      <c r="N96" s="34" t="s">
        <v>71</v>
      </c>
      <c r="O96" s="34" t="s">
        <v>72</v>
      </c>
      <c r="P96" s="34" t="s">
        <v>11</v>
      </c>
      <c r="Q96" s="34">
        <v>6000.0</v>
      </c>
      <c r="S96" s="40" t="s">
        <v>73</v>
      </c>
      <c r="U96" s="34" t="s">
        <v>2826</v>
      </c>
    </row>
    <row r="97" ht="27.0">
      <c r="A97" s="36">
        <v>46171</v>
      </c>
      <c r="B97" s="34" t="s">
        <v>34</v>
      </c>
      <c r="C97" s="34" t="s">
        <v>63</v>
      </c>
      <c r="D97" s="37" t="s">
        <v>2827</v>
      </c>
      <c r="E97" s="34" t="s">
        <v>2828</v>
      </c>
      <c r="F97" s="38" t="s">
        <v>2829</v>
      </c>
      <c r="G97" s="34" t="s">
        <v>2830</v>
      </c>
      <c r="I97" s="34" t="s">
        <v>2831</v>
      </c>
      <c r="K97" s="34" t="s">
        <v>95</v>
      </c>
      <c r="M97" s="34" t="s">
        <v>97</v>
      </c>
      <c r="N97" s="34" t="s">
        <v>71</v>
      </c>
      <c r="O97" s="34" t="s">
        <v>98</v>
      </c>
      <c r="P97" s="34" t="s">
        <v>11</v>
      </c>
      <c r="Q97" s="34">
        <v>3.0</v>
      </c>
      <c r="S97" s="40" t="s">
        <v>134</v>
      </c>
      <c r="U97" s="38" t="s">
        <v>2832</v>
      </c>
    </row>
    <row hidden="1" r="98" ht="27.0">
      <c r="A98" s="36">
        <v>46172</v>
      </c>
      <c r="B98" s="34" t="s">
        <v>34</v>
      </c>
      <c r="C98" s="34" t="s">
        <v>76</v>
      </c>
      <c r="D98" s="37" t="s">
        <v>2833</v>
      </c>
      <c r="E98" s="34" t="s">
        <v>2834</v>
      </c>
      <c r="F98" s="38" t="s">
        <v>2835</v>
      </c>
      <c r="G98" s="34" t="s">
        <v>2836</v>
      </c>
      <c r="I98" s="34" t="s">
        <v>277</v>
      </c>
      <c r="J98" s="34" t="s">
        <v>2592</v>
      </c>
      <c r="K98" s="34" t="s">
        <v>125</v>
      </c>
      <c r="M98" s="34" t="s">
        <v>97</v>
      </c>
      <c r="N98" s="34" t="s">
        <v>71</v>
      </c>
      <c r="O98" s="34" t="s">
        <v>98</v>
      </c>
      <c r="P98" s="34" t="s">
        <v>11</v>
      </c>
      <c r="Q98" s="34">
        <v>3.0</v>
      </c>
      <c r="S98" s="40" t="s">
        <v>134</v>
      </c>
      <c r="U98" s="38" t="s">
        <v>2837</v>
      </c>
    </row>
    <row hidden="1" r="99">
      <c r="A99" s="36"/>
      <c r="B99" s="34"/>
      <c r="C99" s="34"/>
      <c r="D99" s="37"/>
      <c r="K99" s="34"/>
      <c r="M99" s="34"/>
      <c r="N99" s="34"/>
      <c r="O99" s="34"/>
      <c r="P99" s="34"/>
      <c r="S99" s="40"/>
    </row>
    <row hidden="1" r="100">
      <c r="A100" s="36"/>
      <c r="B100" s="34"/>
      <c r="C100" s="34"/>
      <c r="D100" s="37"/>
      <c r="K100" s="34"/>
      <c r="M100" s="34"/>
      <c r="N100" s="34"/>
      <c r="O100" s="34"/>
      <c r="P100" s="34"/>
      <c r="S100" s="40"/>
    </row>
    <row hidden="1" r="101">
      <c r="A101" s="36"/>
      <c r="B101" s="34"/>
      <c r="C101" s="34"/>
      <c r="D101" s="37"/>
      <c r="K101" s="34"/>
      <c r="M101" s="34"/>
      <c r="N101" s="34"/>
      <c r="O101" s="34"/>
      <c r="P101" s="34"/>
      <c r="S101" s="40"/>
    </row>
    <row hidden="1" r="102">
      <c r="A102" s="36"/>
      <c r="B102" s="34"/>
      <c r="C102" s="34"/>
      <c r="D102" s="37"/>
      <c r="K102" s="34"/>
      <c r="M102" s="34"/>
      <c r="N102" s="34"/>
      <c r="O102" s="34"/>
      <c r="P102" s="34"/>
      <c r="S102" s="40"/>
    </row>
    <row hidden="1" r="103">
      <c r="A103" s="36"/>
      <c r="B103" s="34"/>
      <c r="C103" s="34"/>
      <c r="D103" s="37"/>
      <c r="K103" s="34"/>
      <c r="M103" s="34"/>
      <c r="N103" s="34"/>
      <c r="O103" s="34"/>
      <c r="P103" s="34"/>
      <c r="S103" s="40"/>
    </row>
    <row hidden="1" r="104">
      <c r="A104" s="36"/>
      <c r="B104" s="34"/>
      <c r="C104" s="34"/>
      <c r="D104" s="37"/>
      <c r="K104" s="34"/>
      <c r="M104" s="34"/>
      <c r="N104" s="34"/>
      <c r="O104" s="34"/>
      <c r="P104" s="34"/>
      <c r="S104" s="40"/>
    </row>
    <row hidden="1" r="105" customFormat="1" s="34">
      <c r="S105" s="40"/>
    </row>
    <row hidden="1" r="106" customFormat="1" s="34">
      <c r="S106" s="40"/>
    </row>
    <row hidden="1" r="107" customFormat="1" s="34">
      <c r="S107" s="40"/>
    </row>
    <row hidden="1" r="108" customFormat="1" s="34">
      <c r="S108" s="40"/>
    </row>
    <row hidden="1" r="109" customFormat="1" s="34">
      <c r="S109" s="40"/>
    </row>
    <row hidden="1" r="110" customFormat="1" s="34"/>
    <row r="111" customFormat="1" s="34"/>
    <row r="112" customFormat="1" s="34"/>
    <row r="113" customFormat="1" s="34"/>
    <row r="114" customFormat="1" s="34"/>
    <row r="115" customFormat="1" s="34"/>
    <row r="116" customFormat="1" s="34"/>
    <row r="117" customFormat="1" s="34"/>
    <row r="118" customFormat="1" s="34"/>
    <row r="119" customFormat="1" s="34"/>
    <row r="120" customFormat="1" s="34"/>
    <row r="121" customFormat="1" s="34"/>
    <row r="122" customFormat="1" s="34"/>
    <row r="123" customFormat="1" s="34"/>
    <row r="124" customFormat="1" s="34"/>
    <row r="125" customFormat="1" s="34"/>
    <row r="126" customFormat="1" s="34"/>
    <row r="127" customFormat="1" s="34"/>
    <row r="128" customFormat="1" s="34"/>
    <row r="129" customFormat="1" s="34"/>
    <row r="130" customFormat="1" s="34"/>
    <row r="131" customFormat="1" s="34"/>
    <row r="132" customFormat="1" s="34"/>
    <row r="133" customFormat="1" s="34"/>
    <row r="134" customFormat="1" s="34"/>
    <row r="135" customFormat="1" s="34"/>
    <row r="136" customFormat="1" s="34"/>
    <row r="137" customFormat="1" s="34"/>
    <row r="138" customFormat="1" s="34"/>
    <row r="139" customFormat="1" s="34"/>
    <row r="140" customFormat="1" s="34"/>
    <row r="141" customFormat="1" s="34"/>
    <row r="142" customFormat="1" s="34"/>
    <row r="143" customFormat="1" s="34"/>
    <row r="144" customFormat="1" s="34"/>
    <row r="145" customFormat="1" s="34"/>
    <row r="146" customFormat="1" s="34"/>
    <row r="147" customFormat="1" s="34"/>
    <row r="148" customFormat="1" s="34"/>
    <row r="149" customFormat="1" s="34"/>
    <row r="150" customFormat="1" s="34"/>
    <row r="151" customFormat="1" s="34"/>
    <row r="152" customFormat="1" s="34"/>
    <row r="153" customFormat="1" s="34"/>
    <row r="154" customFormat="1" s="34"/>
    <row r="155" customFormat="1" s="34"/>
    <row r="156" customFormat="1" s="34"/>
    <row r="157" customFormat="1" s="34"/>
    <row r="158" customFormat="1" s="34"/>
    <row r="159" customFormat="1" s="34"/>
    <row r="160" customFormat="1" s="34"/>
    <row r="161" customFormat="1" s="34"/>
    <row r="162" customFormat="1" s="34"/>
    <row r="163" customFormat="1" s="34"/>
    <row r="164" customFormat="1" s="34"/>
    <row r="165" customFormat="1" s="34"/>
    <row r="166" customFormat="1" s="34"/>
    <row r="167" customFormat="1" s="34"/>
    <row r="168" customFormat="1" s="34"/>
    <row r="169" customFormat="1" s="34"/>
    <row r="170" customFormat="1" s="34"/>
    <row r="171" customFormat="1" s="34"/>
    <row r="172" customFormat="1" s="34"/>
    <row r="173" customFormat="1" s="34"/>
    <row r="174" customFormat="1" s="34"/>
    <row r="175" customFormat="1" s="34"/>
    <row r="176" customFormat="1" s="34"/>
    <row r="177" customFormat="1" s="34"/>
    <row r="178" customFormat="1" s="34"/>
    <row r="179" customFormat="1" s="34"/>
    <row r="180" customFormat="1" s="34"/>
    <row r="181" customFormat="1" s="34"/>
    <row r="182" customFormat="1" s="34"/>
    <row r="183" customFormat="1" s="34"/>
    <row r="184" customFormat="1" s="34"/>
    <row r="185" customFormat="1" s="34"/>
    <row r="186" customFormat="1" s="34"/>
    <row r="187" customFormat="1" s="34"/>
    <row r="188" customFormat="1" s="34"/>
    <row r="189" customFormat="1" s="34"/>
    <row r="190" customFormat="1" s="34"/>
    <row r="191" customFormat="1" s="34"/>
    <row r="192" customFormat="1" s="34"/>
    <row r="193" customFormat="1" s="34"/>
    <row r="194" customFormat="1" s="34"/>
    <row r="195" customFormat="1" s="34"/>
    <row r="196" customFormat="1" s="34"/>
    <row r="197" customFormat="1" s="34"/>
    <row r="198" customFormat="1" s="34"/>
    <row r="199" customFormat="1" s="34"/>
    <row r="200" customFormat="1" s="34"/>
    <row r="201" customFormat="1" s="34"/>
    <row r="202" customFormat="1" s="34"/>
    <row r="203" customFormat="1" s="34"/>
    <row r="204" customFormat="1" s="34"/>
    <row r="205" customFormat="1" s="34"/>
    <row r="206" customFormat="1" s="34"/>
    <row r="207" customFormat="1" s="34"/>
    <row r="208" customFormat="1" s="34"/>
    <row r="209" customFormat="1" s="34"/>
    <row r="210" customFormat="1" s="34"/>
    <row r="211" customFormat="1" s="34"/>
    <row r="212" customFormat="1" s="34"/>
    <row r="213" customFormat="1" s="34"/>
    <row r="214" customFormat="1" s="34"/>
    <row r="215" customFormat="1" s="34"/>
    <row r="216" customFormat="1" s="34"/>
    <row r="217" customFormat="1" s="34"/>
    <row r="218" customFormat="1" s="34"/>
    <row r="219" customFormat="1" s="34"/>
    <row r="220" customFormat="1" s="34"/>
    <row r="221" customFormat="1" s="34"/>
    <row r="222" customFormat="1" s="34"/>
    <row r="223" customFormat="1" s="34"/>
    <row r="224" customFormat="1" s="34"/>
    <row r="225" customFormat="1" s="34"/>
    <row r="226" customFormat="1" s="34"/>
    <row r="227" customFormat="1" s="34"/>
    <row r="228" customFormat="1" s="34"/>
    <row r="229" customFormat="1" s="34"/>
    <row r="230" customFormat="1" s="34"/>
    <row r="231" customFormat="1" s="34"/>
    <row r="232" customFormat="1" s="34"/>
    <row r="233" customFormat="1" s="34"/>
    <row r="234" customFormat="1" s="34"/>
    <row r="235" customFormat="1" s="34"/>
    <row r="236" customFormat="1" s="34"/>
    <row r="237" customFormat="1" s="34"/>
    <row r="238" customFormat="1" s="34"/>
    <row r="239" customFormat="1" s="34"/>
    <row r="240" customFormat="1" s="34"/>
    <row r="241" customFormat="1" s="34"/>
    <row r="242" customFormat="1" s="34"/>
    <row r="243" customFormat="1" s="34"/>
    <row r="244" customFormat="1" s="34"/>
    <row r="245" customFormat="1" s="34"/>
    <row r="246" customFormat="1" s="34"/>
    <row r="247" customFormat="1" s="34"/>
    <row r="248" customFormat="1" s="34"/>
    <row r="249" customFormat="1" s="34"/>
    <row r="250" customFormat="1" s="34"/>
    <row r="251" customFormat="1" s="34"/>
    <row r="252" customFormat="1" s="34"/>
    <row r="253" customFormat="1" s="34"/>
    <row r="254" customFormat="1" s="34"/>
    <row r="255" customFormat="1" s="34"/>
    <row r="256" customFormat="1" s="34"/>
    <row r="257" customFormat="1" s="34"/>
    <row r="258" customFormat="1" s="34"/>
    <row r="259" customFormat="1" s="34"/>
    <row r="260" customFormat="1" s="34"/>
    <row r="261" customFormat="1" s="34"/>
    <row r="262" customFormat="1" s="34"/>
    <row r="263" customFormat="1" s="34"/>
    <row r="264" customFormat="1" s="34"/>
    <row r="265" customFormat="1" s="34"/>
    <row r="266" customFormat="1" s="34"/>
    <row r="267" customFormat="1" s="34"/>
    <row r="268" customFormat="1" s="34"/>
    <row r="269" customFormat="1" s="34"/>
    <row r="270" customFormat="1" s="34"/>
    <row r="271" customFormat="1" s="34"/>
    <row r="272" customFormat="1" s="34"/>
    <row r="273" customFormat="1" s="34"/>
    <row r="274" customFormat="1" s="34"/>
    <row r="275" customFormat="1" s="34"/>
    <row r="276" customFormat="1" s="34"/>
    <row r="277" customFormat="1" s="34"/>
    <row r="278" customFormat="1" s="34"/>
    <row r="279" customFormat="1" s="34"/>
    <row r="280" customFormat="1" s="34"/>
    <row r="281" customFormat="1" s="34"/>
    <row r="282" customFormat="1" s="34"/>
    <row r="283" customFormat="1" s="34"/>
    <row r="284" customFormat="1" s="34"/>
    <row r="285" customFormat="1" s="34"/>
    <row r="286" customFormat="1" s="34"/>
    <row r="287" customFormat="1" s="34"/>
    <row r="288" customFormat="1" s="34"/>
    <row r="289" customFormat="1" s="34"/>
    <row r="290" customFormat="1" s="34"/>
    <row r="291" customFormat="1" s="34"/>
    <row r="292" customFormat="1" s="34"/>
    <row r="293" customFormat="1" s="34"/>
    <row r="294" customFormat="1" s="34"/>
    <row r="295" customFormat="1" s="34"/>
    <row r="296" customFormat="1" s="34"/>
    <row r="297" customFormat="1" s="34"/>
    <row r="298" customFormat="1" s="34"/>
    <row r="299" customFormat="1" s="34"/>
    <row r="300" customFormat="1" s="34"/>
    <row r="301" customFormat="1" s="34"/>
    <row r="302" customFormat="1" s="34"/>
    <row r="303" customFormat="1" s="34"/>
    <row r="304" customFormat="1" s="34"/>
    <row r="305" customFormat="1" s="34"/>
    <row r="306" customFormat="1" s="34"/>
    <row r="307" customFormat="1" s="34"/>
    <row r="308" customFormat="1" s="34"/>
    <row r="309" customFormat="1" s="34"/>
    <row r="310" customFormat="1" s="34"/>
    <row r="311" customFormat="1" s="34"/>
    <row r="312" customFormat="1" s="34"/>
    <row r="313" customFormat="1" s="34"/>
    <row r="314" customFormat="1" s="34"/>
    <row r="315" customFormat="1" s="34"/>
    <row r="316" customFormat="1" s="34"/>
    <row r="317" customFormat="1" s="34"/>
    <row r="318" customFormat="1" s="34"/>
    <row r="319" customFormat="1" s="34"/>
    <row r="320" customFormat="1" s="34"/>
    <row r="321" customFormat="1" s="34"/>
    <row r="322" customFormat="1" s="34"/>
    <row r="323" customFormat="1" s="34"/>
    <row r="324" customFormat="1" s="34"/>
    <row r="325" customFormat="1" s="34"/>
    <row r="326" customFormat="1" s="34"/>
    <row r="327" customFormat="1" s="34"/>
    <row r="328" customFormat="1" s="34"/>
    <row r="329" customFormat="1" s="34"/>
    <row r="330" customFormat="1" s="34"/>
    <row r="331" customFormat="1" s="34"/>
    <row r="332" customFormat="1" s="34"/>
    <row r="333" customFormat="1" s="34"/>
    <row r="334" customFormat="1" s="34"/>
    <row r="335" customFormat="1" s="34"/>
    <row r="336" customFormat="1" s="34"/>
    <row r="337" customFormat="1" s="34"/>
    <row r="338" customFormat="1" s="34"/>
    <row r="339" customFormat="1" s="34"/>
    <row r="340" customFormat="1" s="34"/>
    <row r="341" customFormat="1" s="34"/>
    <row r="342" customFormat="1" s="34"/>
    <row r="343" customFormat="1" s="34"/>
    <row r="344" customFormat="1" s="34"/>
    <row r="345" customFormat="1" s="34"/>
    <row r="346" customFormat="1" s="34"/>
    <row r="347" customFormat="1" s="34"/>
    <row r="348" customFormat="1" s="34"/>
    <row r="349" customFormat="1" s="34"/>
    <row r="350" customFormat="1" s="34"/>
    <row r="351" customFormat="1" s="34"/>
    <row r="352" customFormat="1" s="34"/>
    <row r="353" customFormat="1" s="34"/>
    <row r="354" customFormat="1" s="34"/>
    <row r="355" customFormat="1" s="34"/>
    <row r="356" customFormat="1" s="34"/>
    <row r="357" customFormat="1" s="34"/>
    <row r="358" customFormat="1" s="34"/>
    <row r="359" customFormat="1" s="34"/>
    <row r="360" customFormat="1" s="34"/>
    <row r="361" customFormat="1" s="34"/>
    <row r="362" customFormat="1" s="34"/>
    <row r="363" customFormat="1" s="34"/>
    <row r="364" customFormat="1" s="34"/>
    <row r="365" customFormat="1" s="34"/>
    <row r="366" customFormat="1" s="34"/>
    <row r="367" customFormat="1" s="34"/>
    <row r="368" customFormat="1" s="34"/>
    <row r="369" customFormat="1" s="34"/>
    <row r="370" customFormat="1" s="34"/>
    <row r="371" customFormat="1" s="34"/>
    <row r="372" customFormat="1" s="34"/>
    <row r="373" customFormat="1" s="34"/>
    <row r="374" customFormat="1" s="34"/>
    <row r="375" customFormat="1" s="34"/>
    <row r="376" customFormat="1" s="34"/>
    <row r="377" customFormat="1" s="34"/>
    <row r="378" customFormat="1" s="34"/>
    <row r="379" customFormat="1" s="34"/>
    <row r="380" customFormat="1" s="34"/>
    <row r="381" customFormat="1" s="34"/>
    <row r="382" customFormat="1" s="34"/>
    <row r="383" customFormat="1" s="34"/>
    <row r="384" customFormat="1" s="34"/>
    <row r="385" customFormat="1" s="34"/>
    <row r="386" customFormat="1" s="34"/>
    <row r="387" customFormat="1" s="34"/>
    <row r="388" customFormat="1" s="34"/>
    <row r="389" customFormat="1" s="34"/>
    <row r="390" customFormat="1" s="34"/>
    <row r="391" customFormat="1" s="34"/>
    <row r="392" customFormat="1" s="34"/>
    <row r="393" customFormat="1" s="34"/>
    <row r="394" customFormat="1" s="34"/>
    <row r="395" customFormat="1" s="34"/>
    <row r="396" customFormat="1" s="34"/>
    <row r="397" customFormat="1" s="34"/>
    <row r="398" customFormat="1" s="34"/>
    <row r="399" customFormat="1" s="34"/>
    <row r="400" customFormat="1" s="34"/>
    <row r="401" customFormat="1" s="34"/>
    <row r="402" customFormat="1" s="34"/>
    <row r="403" customFormat="1" s="34"/>
    <row r="404" customFormat="1" s="34"/>
    <row r="405" customFormat="1" s="34"/>
    <row r="406" customFormat="1" s="34"/>
    <row r="407" customFormat="1" s="34"/>
    <row r="408" customFormat="1" s="34"/>
    <row r="409" customFormat="1" s="34"/>
    <row r="410" customFormat="1" s="34"/>
    <row r="411" customFormat="1" s="34"/>
    <row r="412" customFormat="1" s="34"/>
    <row r="413" customFormat="1" s="34"/>
    <row r="414" customFormat="1" s="34"/>
    <row r="415" customFormat="1" s="34"/>
    <row r="416" customFormat="1" s="34"/>
    <row r="417" customFormat="1" s="34"/>
    <row r="418" customFormat="1" s="34"/>
    <row r="419" customFormat="1" s="34"/>
    <row r="420" customFormat="1" s="34"/>
    <row r="421" customFormat="1" s="34"/>
    <row r="422" customFormat="1" s="34"/>
    <row r="423" customFormat="1" s="34"/>
    <row r="424" customFormat="1" s="34"/>
    <row r="425" customFormat="1" s="34"/>
    <row r="426" customFormat="1" s="34"/>
    <row r="427" customFormat="1" s="34"/>
    <row r="428" customFormat="1" s="34"/>
    <row r="429" customFormat="1" s="34"/>
    <row r="430" customFormat="1" s="34"/>
    <row r="431" customFormat="1" s="34"/>
    <row r="432" customFormat="1" s="34"/>
    <row r="433" customFormat="1" s="34"/>
    <row r="434" customFormat="1" s="34"/>
    <row r="435" customFormat="1" s="34"/>
    <row r="436" customFormat="1" s="34"/>
    <row r="437" customFormat="1" s="34"/>
    <row r="438" customFormat="1" s="34"/>
    <row r="439" customFormat="1" s="34"/>
    <row r="440" customFormat="1" s="34"/>
    <row r="441" customFormat="1" s="34"/>
    <row r="442" customFormat="1" s="34"/>
    <row r="443" customFormat="1" s="34"/>
    <row r="444" customFormat="1" s="34"/>
    <row r="445" customFormat="1" s="34"/>
    <row r="446" customFormat="1" s="34"/>
    <row r="447" customFormat="1" s="34"/>
    <row r="448" customFormat="1" s="34"/>
    <row r="449" customFormat="1" s="34"/>
    <row r="450" customFormat="1" s="34"/>
    <row r="451" customFormat="1" s="34"/>
    <row r="452" customFormat="1" s="34"/>
    <row r="453" customFormat="1" s="34"/>
    <row r="454" customFormat="1" s="34"/>
    <row r="455" customFormat="1" s="34"/>
    <row r="456" customFormat="1" s="34"/>
    <row r="457" customFormat="1" s="34"/>
    <row r="458" customFormat="1" s="34"/>
    <row r="459" customFormat="1" s="34"/>
    <row r="460" customFormat="1" s="34"/>
    <row r="461" customFormat="1" s="34"/>
    <row r="462" customFormat="1" s="34"/>
    <row r="463" customFormat="1" s="34"/>
    <row r="464" customFormat="1" s="34"/>
    <row r="465" customFormat="1" s="34"/>
    <row r="466" customFormat="1" s="34"/>
    <row r="467" customFormat="1" s="34"/>
    <row r="468" customFormat="1" s="34"/>
    <row r="469" customFormat="1" s="34"/>
    <row r="470" customFormat="1" s="34"/>
    <row r="471" customFormat="1" s="34"/>
    <row r="472" customFormat="1" s="34"/>
    <row r="473" customFormat="1" s="34"/>
    <row r="474" customFormat="1" s="34"/>
    <row r="475" customFormat="1" s="34"/>
    <row r="476" customFormat="1" s="34"/>
    <row r="477" customFormat="1" s="34"/>
    <row r="478" customFormat="1" s="34"/>
    <row r="479" customFormat="1" s="34"/>
    <row r="480" customFormat="1" s="34"/>
    <row r="481" customFormat="1" s="34"/>
    <row r="482" customFormat="1" s="34"/>
    <row r="483" customFormat="1" s="34"/>
    <row r="484" customFormat="1" s="34"/>
    <row r="485" customFormat="1" s="34"/>
    <row r="486" customFormat="1" s="34"/>
    <row r="487" customFormat="1" s="34"/>
    <row r="488" customFormat="1" s="34"/>
    <row r="489" customFormat="1" s="34"/>
    <row r="490" customFormat="1" s="34"/>
    <row r="491" customFormat="1" s="34"/>
    <row r="492" customFormat="1" s="34"/>
    <row r="493" customFormat="1" s="34"/>
    <row r="494" customFormat="1" s="34"/>
    <row r="495" customFormat="1" s="34"/>
    <row r="496" customFormat="1" s="34"/>
    <row r="497" customFormat="1" s="34"/>
    <row r="498" customFormat="1" s="34"/>
    <row r="499" customFormat="1" s="34"/>
    <row r="500" customFormat="1" s="34"/>
    <row r="501" customFormat="1" s="34"/>
    <row r="502" customFormat="1" s="34"/>
    <row r="503" customFormat="1" s="34"/>
    <row r="504" customFormat="1" s="34"/>
    <row r="505" customFormat="1" s="34"/>
    <row r="506" customFormat="1" s="34"/>
    <row r="507" customFormat="1" s="34"/>
    <row r="508" customFormat="1" s="34"/>
    <row r="509" customFormat="1" s="34"/>
    <row r="510" customFormat="1" s="34"/>
    <row r="511" customFormat="1" s="34"/>
    <row r="512" customFormat="1" s="34"/>
    <row r="513" customFormat="1" s="34"/>
    <row r="514" customFormat="1" s="34"/>
    <row r="515" customFormat="1" s="34"/>
    <row r="516" customFormat="1" s="34"/>
    <row r="517" customFormat="1" s="34"/>
    <row r="518" customFormat="1" s="34"/>
    <row r="519" customFormat="1" s="34"/>
    <row r="520" customFormat="1" s="34"/>
    <row r="521" customFormat="1" s="34"/>
    <row r="522" customFormat="1" s="34"/>
    <row r="523" customFormat="1" s="34"/>
    <row r="524" customFormat="1" s="34"/>
    <row r="525" customFormat="1" s="34"/>
    <row r="526" customFormat="1" s="34"/>
    <row r="527" customFormat="1" s="34"/>
    <row r="528" customFormat="1" s="34"/>
    <row r="529" customFormat="1" s="34"/>
    <row r="530" customFormat="1" s="34"/>
    <row r="531" customFormat="1" s="34"/>
    <row r="532" customFormat="1" s="34"/>
    <row r="533" customFormat="1" s="34"/>
    <row r="534" customFormat="1" s="34"/>
    <row r="535" customFormat="1" s="34"/>
    <row r="536" customFormat="1" s="34"/>
    <row r="537" customFormat="1" s="34"/>
    <row r="538" customFormat="1" s="34"/>
    <row r="539" customFormat="1" s="34"/>
    <row r="540" customFormat="1" s="34"/>
    <row r="541" customFormat="1" s="34"/>
    <row r="542" customFormat="1" s="34"/>
    <row r="543" customFormat="1" s="34"/>
    <row r="544" customFormat="1" s="34"/>
    <row r="545" customFormat="1" s="34"/>
    <row r="546" customFormat="1" s="34"/>
    <row r="547" customFormat="1" s="34"/>
    <row r="548" customFormat="1" s="34"/>
    <row r="549" customFormat="1" s="34"/>
    <row r="550" customFormat="1" s="34"/>
    <row r="551" customFormat="1" s="34"/>
    <row r="552" customFormat="1" s="34"/>
    <row r="553" customFormat="1" s="34"/>
    <row r="554" customFormat="1" s="34"/>
    <row r="555" customFormat="1" s="34"/>
    <row r="556" customFormat="1" s="34"/>
    <row r="557" customFormat="1" s="34"/>
    <row r="558" customFormat="1" s="34"/>
    <row r="559" customFormat="1" s="34"/>
    <row r="560" customFormat="1" s="34"/>
    <row r="561" customFormat="1" s="34"/>
    <row r="562" customFormat="1" s="34"/>
    <row r="563" customFormat="1" s="34"/>
    <row r="564" customFormat="1" s="34"/>
    <row r="565" customFormat="1" s="34"/>
    <row r="566" customFormat="1" s="34"/>
    <row r="567" customFormat="1" s="34"/>
    <row r="568" customFormat="1" s="34"/>
    <row r="569" customFormat="1" s="34"/>
    <row r="570" customFormat="1" s="34"/>
    <row r="571" customFormat="1" s="34"/>
    <row r="572" customFormat="1" s="34"/>
    <row r="573" customFormat="1" s="34"/>
    <row r="574" customFormat="1" s="34"/>
    <row r="575" customFormat="1" s="34"/>
    <row r="576" customFormat="1" s="34"/>
    <row r="577" customFormat="1" s="34"/>
    <row r="578" customFormat="1" s="34"/>
    <row r="579" customFormat="1" s="34"/>
    <row r="580" customFormat="1" s="34"/>
    <row r="581" customFormat="1" s="34"/>
    <row r="582" customFormat="1" s="34"/>
    <row r="583" customFormat="1" s="34"/>
    <row r="584" customFormat="1" s="34"/>
    <row r="585" customFormat="1" s="34"/>
    <row r="586" customFormat="1" s="34"/>
    <row r="587" customFormat="1" s="34"/>
    <row r="588" customFormat="1" s="34"/>
    <row r="589" customFormat="1" s="34"/>
    <row r="590" customFormat="1" s="34"/>
    <row r="591" customFormat="1" s="34"/>
    <row r="592" customFormat="1" s="34"/>
    <row r="593" customFormat="1" s="34"/>
    <row r="594" customFormat="1" s="34"/>
    <row r="595" customFormat="1" s="34"/>
    <row r="596" customFormat="1" s="34"/>
    <row r="597" customFormat="1" s="34"/>
    <row r="598" customFormat="1" s="34"/>
    <row r="599" customFormat="1" s="34"/>
    <row r="600" customFormat="1" s="34"/>
    <row r="601" customFormat="1" s="34"/>
    <row r="602" customFormat="1" s="34"/>
    <row r="603" customFormat="1" s="34"/>
    <row r="604" customFormat="1" s="34"/>
    <row r="605" customFormat="1" s="34"/>
    <row r="606" customFormat="1" s="34"/>
    <row r="607" customFormat="1" s="34"/>
    <row r="608" customFormat="1" s="34"/>
    <row r="609" customFormat="1" s="34"/>
    <row r="610" customFormat="1" s="34"/>
    <row r="611" customFormat="1" s="34"/>
    <row r="612" customFormat="1" s="34"/>
    <row r="613" customFormat="1" s="34"/>
    <row r="614" customFormat="1" s="34"/>
    <row r="615" customFormat="1" s="34"/>
    <row r="616" customFormat="1" s="34"/>
    <row r="617" customFormat="1" s="34"/>
    <row r="618" customFormat="1" s="34"/>
    <row r="619" customFormat="1" s="34"/>
    <row r="620" customFormat="1" s="34"/>
    <row r="621" customFormat="1" s="34"/>
    <row r="622" customFormat="1" s="34"/>
    <row r="623" customFormat="1" s="34"/>
    <row r="624" customFormat="1" s="34"/>
    <row r="625" customFormat="1" s="34"/>
    <row r="626" customFormat="1" s="34"/>
    <row r="627" customFormat="1" s="34"/>
    <row r="628" customFormat="1" s="34"/>
    <row r="629" customFormat="1" s="34"/>
    <row r="630" customFormat="1" s="34"/>
    <row r="631" customFormat="1" s="34"/>
    <row r="632" customFormat="1" s="34"/>
    <row r="633" customFormat="1" s="34"/>
    <row r="634" customFormat="1" s="34"/>
    <row r="635" customFormat="1" s="34"/>
    <row r="636" customFormat="1" s="34"/>
    <row r="637" customFormat="1" s="34"/>
    <row r="638" customFormat="1" s="34"/>
    <row r="639" customFormat="1" s="34"/>
    <row r="640" customFormat="1" s="34"/>
    <row r="641" customFormat="1" s="34"/>
    <row r="642" customFormat="1" s="34"/>
    <row r="643" customFormat="1" s="34"/>
    <row r="644" customFormat="1" s="34"/>
    <row r="645" customFormat="1" s="34"/>
    <row r="646" customFormat="1" s="34"/>
    <row r="647" customFormat="1" s="34"/>
    <row r="648" customFormat="1" s="34"/>
    <row r="649" customFormat="1" s="34"/>
    <row r="650" customFormat="1" s="34"/>
    <row r="651" customFormat="1" s="34"/>
    <row r="652" customFormat="1" s="34"/>
    <row r="653" customFormat="1" s="34"/>
    <row r="654" customFormat="1" s="34"/>
    <row r="655" customFormat="1" s="34"/>
    <row r="656" customFormat="1" s="34"/>
    <row r="657" customFormat="1" s="34"/>
    <row r="658" customFormat="1" s="34"/>
    <row r="659" customFormat="1" s="34"/>
    <row r="660" customFormat="1" s="34"/>
    <row r="661" customFormat="1" s="34"/>
    <row r="662" customFormat="1" s="34"/>
    <row r="663" customFormat="1" s="34"/>
    <row r="664" customFormat="1" s="34"/>
    <row r="665" customFormat="1" s="34"/>
    <row r="666" customFormat="1" s="34"/>
    <row r="667" customFormat="1" s="34"/>
    <row r="668" customFormat="1" s="34"/>
    <row r="669" customFormat="1" s="34"/>
    <row r="670" customFormat="1" s="34"/>
    <row r="671" customFormat="1" s="34"/>
    <row r="672" customFormat="1" s="34"/>
    <row r="673" customFormat="1" s="34"/>
    <row r="674" customFormat="1" s="34"/>
    <row r="675" customFormat="1" s="34"/>
    <row r="676" customFormat="1" s="34"/>
    <row r="677" customFormat="1" s="34"/>
    <row r="678" customFormat="1" s="34"/>
    <row r="679" customFormat="1" s="34"/>
    <row r="680" customFormat="1" s="34"/>
    <row r="681" customFormat="1" s="34"/>
    <row r="682" customFormat="1" s="34"/>
    <row r="683" customFormat="1" s="34"/>
    <row r="684" customFormat="1" s="34"/>
    <row r="685" customFormat="1" s="34"/>
    <row r="686" customFormat="1" s="34"/>
    <row r="687" customFormat="1" s="34"/>
    <row r="688" customFormat="1" s="34"/>
    <row r="689" customFormat="1" s="34"/>
    <row r="690" customFormat="1" s="34"/>
    <row r="691" customFormat="1" s="34"/>
    <row r="692" customFormat="1" s="34"/>
    <row r="693" customFormat="1" s="34"/>
    <row r="694" customFormat="1" s="34"/>
    <row r="695" customFormat="1" s="34"/>
    <row r="696" customFormat="1" s="34"/>
    <row r="697" customFormat="1" s="34"/>
    <row r="698" customFormat="1" s="34"/>
    <row r="699" customFormat="1" s="34"/>
    <row r="700" customFormat="1" s="34"/>
    <row r="701" customFormat="1" s="34"/>
    <row r="702" customFormat="1" s="34"/>
    <row r="703" customFormat="1" s="34"/>
    <row r="704" customFormat="1" s="34"/>
    <row r="705" customFormat="1" s="34"/>
    <row r="706" customFormat="1" s="34"/>
    <row r="707" customFormat="1" s="34"/>
    <row r="708" customFormat="1" s="34"/>
    <row r="709" customFormat="1" s="34"/>
    <row r="710" customFormat="1" s="34"/>
    <row r="711" customFormat="1" s="34"/>
    <row r="712" customFormat="1" s="34"/>
    <row r="713" customFormat="1" s="34"/>
    <row r="714" customFormat="1" s="34"/>
    <row r="715" customFormat="1" s="34"/>
    <row r="716" customFormat="1" s="34"/>
    <row r="717" customFormat="1" s="34"/>
    <row r="718" customFormat="1" s="34"/>
    <row r="719" customFormat="1" s="34"/>
    <row r="720" customFormat="1" s="34"/>
    <row r="721" customFormat="1" s="34"/>
    <row r="722" customFormat="1" s="34"/>
    <row r="723" customFormat="1" s="34"/>
    <row r="724" customFormat="1" s="34"/>
    <row r="725" customFormat="1" s="34"/>
    <row r="726" customFormat="1" s="34"/>
    <row r="727" customFormat="1" s="34"/>
    <row r="728" customFormat="1" s="34"/>
    <row r="729" customFormat="1" s="34"/>
    <row r="730" customFormat="1" s="34"/>
    <row r="731" customFormat="1" s="34"/>
    <row r="732" customFormat="1" s="34"/>
    <row r="733" customFormat="1" s="34"/>
    <row r="734" customFormat="1" s="34"/>
    <row r="735" customFormat="1" s="34"/>
    <row r="736" customFormat="1" s="34"/>
    <row r="737" customFormat="1" s="34"/>
    <row r="738" customFormat="1" s="34"/>
    <row r="739" customFormat="1" s="34"/>
    <row r="740" customFormat="1" s="34"/>
    <row r="741" customFormat="1" s="34"/>
    <row r="742" customFormat="1" s="34"/>
    <row r="743" customFormat="1" s="34"/>
    <row r="744" customFormat="1" s="34"/>
    <row r="745" customFormat="1" s="34"/>
    <row r="746" customFormat="1" s="34"/>
    <row r="747" customFormat="1" s="34"/>
    <row r="748" customFormat="1" s="34"/>
    <row r="749" customFormat="1" s="34"/>
    <row r="750" customFormat="1" s="34"/>
    <row r="751" customFormat="1" s="34"/>
    <row r="752" customFormat="1" s="34"/>
    <row r="753" customFormat="1" s="34"/>
    <row r="754" customFormat="1" s="34"/>
    <row r="755" customFormat="1" s="34"/>
    <row r="756" customFormat="1" s="34"/>
    <row r="757" customFormat="1" s="34"/>
    <row r="758" customFormat="1" s="34"/>
    <row r="759" customFormat="1" s="34"/>
    <row r="760" customFormat="1" s="34"/>
    <row r="761" customFormat="1" s="34"/>
    <row r="762" customFormat="1" s="34"/>
    <row r="763" customFormat="1" s="34"/>
    <row r="764" customFormat="1" s="34"/>
    <row r="765" customFormat="1" s="34"/>
    <row r="766" customFormat="1" s="34"/>
    <row r="767" customFormat="1" s="34"/>
    <row r="768" customFormat="1" s="34"/>
    <row r="769" customFormat="1" s="34"/>
    <row r="770" customFormat="1" s="34"/>
    <row r="771" customFormat="1" s="34"/>
    <row r="772" customFormat="1" s="34"/>
    <row r="773" customFormat="1" s="34"/>
    <row r="774" customFormat="1" s="34"/>
    <row r="775" customFormat="1" s="34"/>
    <row r="776" customFormat="1" s="34"/>
    <row r="777" customFormat="1" s="34"/>
    <row r="778" customFormat="1" s="34"/>
    <row r="779" customFormat="1" s="34"/>
    <row r="780" customFormat="1" s="34"/>
    <row r="781" customFormat="1" s="34"/>
    <row r="782" customFormat="1" s="34"/>
    <row r="783" customFormat="1" s="34"/>
    <row r="784" customFormat="1" s="34"/>
    <row r="785" customFormat="1" s="34"/>
    <row r="786" customFormat="1" s="34"/>
    <row r="787" customFormat="1" s="34"/>
    <row r="788" customFormat="1" s="34"/>
    <row r="789" customFormat="1" s="34"/>
    <row r="790" customFormat="1" s="34"/>
    <row r="791" customFormat="1" s="34"/>
    <row r="792" customFormat="1" s="34"/>
    <row r="793" customFormat="1" s="34"/>
    <row r="794" customFormat="1" s="34"/>
    <row r="795" customFormat="1" s="34"/>
    <row r="796" customFormat="1" s="34"/>
    <row r="797" customFormat="1" s="34"/>
    <row r="798" customFormat="1" s="34"/>
    <row r="799" customFormat="1" s="34"/>
    <row r="800" customFormat="1" s="34"/>
    <row r="801" customFormat="1" s="34"/>
    <row r="802" customFormat="1" s="34"/>
    <row r="803" customFormat="1" s="34"/>
    <row r="804" customFormat="1" s="34"/>
    <row r="805" customFormat="1" s="34"/>
    <row r="806" customFormat="1" s="34"/>
    <row r="807" customFormat="1" s="34"/>
    <row r="808" customFormat="1" s="34"/>
    <row r="809" customFormat="1" s="34"/>
    <row r="810" customFormat="1" s="34"/>
    <row r="811" customFormat="1" s="34"/>
    <row r="812" customFormat="1" s="34"/>
    <row r="813" customFormat="1" s="34"/>
    <row r="814" customFormat="1" s="34"/>
    <row r="815" customFormat="1" s="34"/>
    <row r="816" customFormat="1" s="34"/>
    <row r="817" customFormat="1" s="34"/>
    <row r="818" customFormat="1" s="34"/>
    <row r="819" customFormat="1" s="34"/>
    <row r="820" customFormat="1" s="34"/>
    <row r="821" customFormat="1" s="34"/>
    <row r="822" customFormat="1" s="34"/>
    <row r="823" customFormat="1" s="34"/>
    <row r="824" customFormat="1" s="34"/>
    <row r="825" customFormat="1" s="34"/>
    <row r="826" customFormat="1" s="34"/>
    <row r="827" customFormat="1" s="34"/>
    <row r="828" customFormat="1" s="34"/>
    <row r="829" customFormat="1" s="34"/>
    <row r="830" customFormat="1" s="34"/>
    <row r="831" customFormat="1" s="34"/>
    <row r="832" customFormat="1" s="34"/>
    <row r="833" customFormat="1" s="34"/>
    <row r="834" customFormat="1" s="34"/>
    <row r="835" customFormat="1" s="34"/>
    <row r="836" customFormat="1" s="34"/>
    <row r="837" customFormat="1" s="34"/>
    <row r="838" customFormat="1" s="34"/>
    <row r="839" customFormat="1" s="34"/>
    <row r="840" customFormat="1" s="34"/>
    <row r="841" customFormat="1" s="34"/>
    <row r="842" customFormat="1" s="34"/>
    <row r="843" customFormat="1" s="34"/>
    <row r="844" customFormat="1" s="34"/>
    <row r="845" customFormat="1" s="34"/>
    <row r="846" customFormat="1" s="34"/>
    <row r="847" customFormat="1" s="34"/>
    <row r="848" customFormat="1" s="34"/>
    <row r="849" customFormat="1" s="34"/>
    <row r="850" customFormat="1" s="34"/>
    <row r="851" customFormat="1" s="34"/>
    <row r="852" customFormat="1" s="34"/>
    <row r="853" customFormat="1" s="34"/>
    <row r="854" customFormat="1" s="34"/>
    <row r="855" customFormat="1" s="34"/>
    <row r="856" customFormat="1" s="34"/>
    <row r="857" customFormat="1" s="34"/>
    <row r="858" customFormat="1" s="34"/>
    <row r="859" customFormat="1" s="34"/>
    <row r="860" customFormat="1" s="34"/>
    <row r="861" customFormat="1" s="34"/>
    <row r="862" customFormat="1" s="34"/>
    <row r="863" customFormat="1" s="34"/>
    <row r="864" customFormat="1" s="34"/>
    <row r="865" customFormat="1" s="34"/>
    <row r="866" customFormat="1" s="34"/>
    <row r="867" customFormat="1" s="34"/>
    <row r="868" customFormat="1" s="34"/>
    <row r="869" customFormat="1" s="34"/>
    <row r="870" customFormat="1" s="34"/>
    <row r="871" customFormat="1" s="34"/>
    <row r="872" customFormat="1" s="34"/>
    <row r="873" customFormat="1" s="34"/>
    <row r="874" customFormat="1" s="34"/>
    <row r="875" customFormat="1" s="34"/>
    <row r="876" customFormat="1" s="34"/>
    <row r="877" customFormat="1" s="34"/>
    <row r="878" customFormat="1" s="34"/>
    <row r="879" customFormat="1" s="34"/>
    <row r="880" customFormat="1" s="34"/>
    <row r="881" customFormat="1" s="34"/>
    <row r="882" customFormat="1" s="34"/>
    <row r="883" customFormat="1" s="34"/>
    <row r="884" customFormat="1" s="34"/>
    <row r="885" customFormat="1" s="34"/>
    <row r="886" customFormat="1" s="34"/>
    <row r="887" customFormat="1" s="34"/>
    <row r="888" customFormat="1" s="34"/>
    <row r="889" customFormat="1" s="34"/>
    <row r="890" customFormat="1" s="34"/>
    <row r="891" customFormat="1" s="34"/>
    <row r="892" customFormat="1" s="34"/>
    <row r="893" customFormat="1" s="34"/>
    <row r="894" customFormat="1" s="34"/>
    <row r="895" customFormat="1" s="34"/>
    <row r="896" customFormat="1" s="34"/>
    <row r="897" customFormat="1" s="34"/>
    <row r="898" customFormat="1" s="34"/>
    <row r="899" customFormat="1" s="34"/>
    <row r="900" customFormat="1" s="34"/>
    <row r="901" customFormat="1" s="34"/>
    <row r="902" customFormat="1" s="34"/>
    <row r="903" customFormat="1" s="34"/>
    <row r="904" customFormat="1" s="34"/>
    <row r="905" customFormat="1" s="34"/>
    <row r="906" customFormat="1" s="34"/>
    <row r="907" customFormat="1" s="34"/>
    <row r="908" customFormat="1" s="34"/>
    <row r="909" customFormat="1" s="34"/>
    <row r="910" customFormat="1" s="34"/>
    <row r="911" customFormat="1" s="34"/>
    <row r="912" customFormat="1" s="34"/>
    <row r="913" customFormat="1" s="34"/>
    <row r="914" customFormat="1" s="34"/>
    <row r="915" customFormat="1" s="34"/>
    <row r="916" customFormat="1" s="34"/>
    <row r="917" customFormat="1" s="34"/>
    <row r="918" customFormat="1" s="34"/>
    <row r="919" customFormat="1" s="34"/>
    <row r="920" customFormat="1" s="34"/>
    <row r="921" customFormat="1" s="34"/>
    <row r="922" customFormat="1" s="34"/>
    <row r="923" customFormat="1" s="34"/>
    <row r="924" customFormat="1" s="34"/>
    <row r="925" customFormat="1" s="34"/>
    <row r="926" customFormat="1" s="34"/>
    <row r="927" customFormat="1" s="34"/>
    <row r="928" customFormat="1" s="34"/>
    <row r="929" customFormat="1" s="34"/>
    <row r="930" customFormat="1" s="34"/>
    <row r="931" customFormat="1" s="34"/>
    <row r="932" customFormat="1" s="34"/>
    <row r="933" customFormat="1" s="34"/>
    <row r="934" customFormat="1" s="34"/>
    <row r="935" customFormat="1" s="34"/>
    <row r="936" customFormat="1" s="34"/>
    <row r="937" customFormat="1" s="34"/>
    <row r="938" customFormat="1" s="34"/>
    <row r="939" customFormat="1" s="34"/>
    <row r="940" customFormat="1" s="34"/>
    <row r="941" customFormat="1" s="34"/>
    <row r="942" customFormat="1" s="34"/>
    <row r="943" customFormat="1" s="34"/>
    <row r="944" customFormat="1" s="34"/>
    <row r="945" customFormat="1" s="34"/>
    <row r="946" customFormat="1" s="34"/>
    <row r="947" customFormat="1" s="34"/>
    <row r="948" customFormat="1" s="34"/>
    <row r="949" customFormat="1" s="34"/>
    <row r="950" customFormat="1" s="34"/>
    <row r="951" customFormat="1" s="34"/>
    <row r="952" customFormat="1" s="34"/>
    <row r="953" customFormat="1" s="34"/>
    <row r="954" customFormat="1" s="34"/>
    <row r="955" customFormat="1" s="34"/>
    <row r="956" customFormat="1" s="34"/>
    <row r="957" customFormat="1" s="34"/>
    <row r="958" customFormat="1" s="34"/>
    <row r="959" customFormat="1" s="34"/>
    <row r="960" customFormat="1" s="34"/>
    <row r="961" customFormat="1" s="34"/>
    <row r="962" customFormat="1" s="34"/>
    <row r="963" customFormat="1" s="34"/>
    <row r="964" customFormat="1" s="34"/>
    <row r="965" customFormat="1" s="34"/>
    <row r="966" customFormat="1" s="34"/>
    <row r="967" customFormat="1" s="34"/>
    <row r="968" customFormat="1" s="34"/>
    <row r="969" customFormat="1" s="34"/>
    <row r="970" customFormat="1" s="34"/>
    <row r="971" customFormat="1" s="34"/>
    <row r="972" customFormat="1" s="34"/>
    <row r="973" customFormat="1" s="34"/>
    <row r="974" customFormat="1" s="34"/>
    <row r="975" customFormat="1" s="34"/>
    <row r="976" customFormat="1" s="34"/>
    <row r="977" customFormat="1" s="34"/>
    <row r="978" customFormat="1" s="34"/>
    <row r="979" customFormat="1" s="34"/>
    <row r="980" customFormat="1" s="34"/>
    <row r="981" customFormat="1" s="34"/>
    <row r="982" customFormat="1" s="34"/>
    <row r="983" customFormat="1" s="34"/>
    <row r="984" customFormat="1" s="34"/>
    <row r="985" customFormat="1" s="34"/>
    <row r="986" customFormat="1" s="34"/>
    <row r="987" customFormat="1" s="34"/>
    <row r="988" customFormat="1" s="34"/>
    <row r="989" customFormat="1" s="34"/>
    <row r="990" customFormat="1" s="34"/>
    <row r="991" customFormat="1" s="34"/>
    <row r="992" customFormat="1" s="34"/>
    <row r="993" customFormat="1" s="34"/>
    <row r="994" customFormat="1" s="34"/>
    <row r="995" customFormat="1" s="34"/>
    <row r="996" customFormat="1" s="34"/>
    <row r="997" customFormat="1" s="34"/>
    <row r="998" customFormat="1" s="34"/>
    <row r="999" customFormat="1" s="34"/>
    <row r="1000" customFormat="1" s="34"/>
    <row r="1001" customFormat="1" s="34"/>
    <row r="1002" customFormat="1" s="34"/>
    <row r="1003" customFormat="1" s="34"/>
    <row r="1004" customFormat="1" s="34"/>
    <row r="1005" customFormat="1" s="34"/>
    <row r="1006" customFormat="1" s="34"/>
    <row r="1007" customFormat="1" s="34"/>
    <row r="1008" customFormat="1" s="34"/>
    <row r="1009" customFormat="1" s="34"/>
    <row r="1010" customFormat="1" s="34"/>
    <row r="1011" customFormat="1" s="34"/>
    <row r="1012" customFormat="1" s="34"/>
    <row r="1013" customFormat="1" s="34"/>
    <row r="1014" customFormat="1" s="34"/>
    <row r="1015" customFormat="1" s="34"/>
    <row r="1016" customFormat="1" s="34"/>
    <row r="1017" customFormat="1" s="34"/>
    <row r="1018" customFormat="1" s="34"/>
    <row r="1019" customFormat="1" s="34"/>
    <row r="1020" customFormat="1" s="34"/>
    <row r="1021" customFormat="1" s="34"/>
    <row r="1022" customFormat="1" s="34"/>
    <row r="1023" customFormat="1" s="34"/>
    <row r="1024" customFormat="1" s="34"/>
    <row r="1025" customFormat="1" s="34"/>
    <row r="1026" customFormat="1" s="34"/>
    <row r="1027" customFormat="1" s="34"/>
    <row r="1028" customFormat="1" s="34"/>
    <row r="1029" customFormat="1" s="34"/>
    <row r="1030" customFormat="1" s="34"/>
    <row r="1031" customFormat="1" s="34"/>
    <row r="1032" customFormat="1" s="34"/>
    <row r="1033" customFormat="1" s="34"/>
    <row r="1034" customFormat="1" s="34"/>
    <row r="1035" customFormat="1" s="34"/>
    <row r="1036" customFormat="1" s="34"/>
    <row r="1037" customFormat="1" s="34"/>
    <row r="1038" customFormat="1" s="34"/>
    <row r="1039" customFormat="1" s="34"/>
    <row r="1040" customFormat="1" s="34"/>
    <row r="1041" customFormat="1" s="34"/>
    <row r="1042" customFormat="1" s="34"/>
    <row r="1043" customFormat="1" s="34"/>
    <row r="1044" customFormat="1" s="34"/>
    <row r="1045" customFormat="1" s="34"/>
    <row r="1046" customFormat="1" s="34"/>
    <row r="1047" customFormat="1" s="34"/>
    <row r="1048" customFormat="1" s="34"/>
    <row r="1049" customFormat="1" s="34"/>
    <row r="1050" customFormat="1" s="34"/>
    <row r="1051" customFormat="1" s="34"/>
    <row r="1052" customFormat="1" s="34"/>
    <row r="1053" customFormat="1" s="34"/>
    <row r="1054" customFormat="1" s="34"/>
    <row r="1055" customFormat="1" s="34"/>
    <row r="1056" customFormat="1" s="34"/>
    <row r="1057" customFormat="1" s="34"/>
    <row r="1058" customFormat="1" s="34"/>
    <row r="1059" customFormat="1" s="34"/>
    <row r="1060" customFormat="1" s="34"/>
    <row r="1061" customFormat="1" s="34"/>
    <row r="1062" customFormat="1" s="34"/>
    <row r="1063" customFormat="1" s="34"/>
    <row r="1064" customFormat="1" s="34"/>
    <row r="1065" customFormat="1" s="34"/>
    <row r="1066" customFormat="1" s="34"/>
    <row r="1067" customFormat="1" s="34"/>
    <row r="1068" customFormat="1" s="34"/>
    <row r="1069" customFormat="1" s="34"/>
    <row r="1070" customFormat="1" s="34"/>
    <row r="1071" customFormat="1" s="34"/>
    <row r="1072" customFormat="1" s="34"/>
    <row r="1073" customFormat="1" s="34"/>
    <row r="1074" customFormat="1" s="34"/>
    <row r="1075" customFormat="1" s="34"/>
    <row r="1076" customFormat="1" s="34"/>
    <row r="1077" customFormat="1" s="34"/>
    <row r="1078" customFormat="1" s="34"/>
    <row r="1079" customFormat="1" s="34"/>
    <row r="1080" customFormat="1" s="34"/>
    <row r="1081" customFormat="1" s="34"/>
    <row r="1082" customFormat="1" s="34"/>
    <row r="1083" customFormat="1" s="34"/>
    <row r="1084" customFormat="1" s="34"/>
    <row r="1085" customFormat="1" s="34"/>
    <row r="1086" customFormat="1" s="34"/>
    <row r="1087" customFormat="1" s="34"/>
    <row r="1088" customFormat="1" s="34"/>
    <row r="1089" customFormat="1" s="34"/>
    <row r="1090" customFormat="1" s="34"/>
    <row r="1091" customFormat="1" s="34"/>
    <row r="1092" customFormat="1" s="34"/>
    <row r="1093" customFormat="1" s="34"/>
    <row r="1094" customFormat="1" s="34"/>
    <row r="1095" customFormat="1" s="34"/>
    <row r="1096" customFormat="1" s="34"/>
    <row r="1097" customFormat="1" s="34"/>
    <row r="1098" customFormat="1" s="34"/>
    <row r="1099" customFormat="1" s="34"/>
    <row r="1100" customFormat="1" s="34"/>
    <row r="1101" customFormat="1" s="34"/>
    <row r="1102" customFormat="1" s="34"/>
    <row r="1103" customFormat="1" s="34"/>
    <row r="1104" customFormat="1" s="34"/>
    <row r="1105" customFormat="1" s="34"/>
    <row r="1106" customFormat="1" s="34"/>
    <row r="1107" customFormat="1" s="34"/>
    <row r="1108" customFormat="1" s="34"/>
    <row r="1109" customFormat="1" s="34"/>
    <row r="1110" customFormat="1" s="34"/>
    <row r="1111" customFormat="1" s="34"/>
    <row r="1112" customFormat="1" s="34"/>
    <row r="1113" customFormat="1" s="34"/>
    <row r="1114" customFormat="1" s="34"/>
    <row r="1115" customFormat="1" s="34"/>
    <row r="1116" customFormat="1" s="34"/>
    <row r="1117" customFormat="1" s="34"/>
    <row r="1118" customFormat="1" s="34"/>
    <row r="1119" customFormat="1" s="34"/>
    <row r="1120" customFormat="1" s="34"/>
    <row r="1121" customFormat="1" s="34"/>
    <row r="1122" customFormat="1" s="34"/>
    <row r="1123" customFormat="1" s="34"/>
    <row r="1124" customFormat="1" s="34"/>
    <row r="1125" customFormat="1" s="34"/>
    <row r="1126" customFormat="1" s="34"/>
    <row r="1127" customFormat="1" s="34"/>
    <row r="1128" customFormat="1" s="34"/>
    <row r="1129" customFormat="1" s="34"/>
    <row r="1130" customFormat="1" s="34"/>
    <row r="1131" customFormat="1" s="34"/>
    <row r="1132" customFormat="1" s="34"/>
    <row r="1133" customFormat="1" s="34"/>
    <row r="1134" customFormat="1" s="34"/>
    <row r="1135" customFormat="1" s="34"/>
    <row r="1136" customFormat="1" s="34"/>
    <row r="1137" customFormat="1" s="34"/>
    <row r="1138" customFormat="1" s="34"/>
    <row r="1139" customFormat="1" s="34"/>
    <row r="1140" customFormat="1" s="34"/>
    <row r="1141" customFormat="1" s="34"/>
    <row r="1142" customFormat="1" s="34"/>
    <row r="1143" customFormat="1" s="34"/>
    <row r="1144" customFormat="1" s="34"/>
    <row r="1145" customFormat="1" s="34"/>
    <row r="1146" customFormat="1" s="34"/>
    <row r="1147" customFormat="1" s="34"/>
    <row r="1148" customFormat="1" s="34"/>
    <row r="1149" customFormat="1" s="34"/>
    <row r="1150" customFormat="1" s="34"/>
    <row r="1151" customFormat="1" s="34"/>
    <row r="1152" customFormat="1" s="34"/>
    <row r="1153" customFormat="1" s="34"/>
    <row r="1154" customFormat="1" s="34"/>
    <row r="1155" customFormat="1" s="34"/>
    <row r="1156" customFormat="1" s="34"/>
    <row r="1157" customFormat="1" s="34"/>
    <row r="1158" customFormat="1" s="34"/>
    <row r="1159" customFormat="1" s="34"/>
    <row r="1160" customFormat="1" s="34"/>
    <row r="1161" customFormat="1" s="34"/>
    <row r="1162" customFormat="1" s="34"/>
    <row r="1163" customFormat="1" s="34"/>
    <row r="1164" customFormat="1" s="34"/>
    <row r="1165" customFormat="1" s="34"/>
    <row r="1166" customFormat="1" s="34"/>
    <row r="1167" customFormat="1" s="34"/>
    <row r="1168" customFormat="1" s="34"/>
    <row r="1169" customFormat="1" s="34"/>
    <row r="1170" customFormat="1" s="34"/>
    <row r="1171" customFormat="1" s="34"/>
    <row r="1172" customFormat="1" s="34"/>
    <row r="1173" customFormat="1" s="34"/>
    <row r="1174" customFormat="1" s="34"/>
    <row r="1175" customFormat="1" s="34"/>
    <row r="1176" customFormat="1" s="34"/>
    <row r="1177" customFormat="1" s="34"/>
    <row r="1178" customFormat="1" s="34"/>
    <row r="1179" customFormat="1" s="34"/>
    <row r="1180" customFormat="1" s="34"/>
    <row r="1181" customFormat="1" s="34"/>
    <row r="1182" customFormat="1" s="34"/>
    <row r="1183" customFormat="1" s="34"/>
    <row r="1184" customFormat="1" s="34"/>
    <row r="1185" customFormat="1" s="34"/>
    <row r="1186" customFormat="1" s="34"/>
    <row r="1187" customFormat="1" s="34"/>
    <row r="1188" customFormat="1" s="34"/>
    <row r="1189" customFormat="1" s="34"/>
    <row r="1190" customFormat="1" s="34"/>
    <row r="1191" customFormat="1" s="34"/>
    <row r="1192" customFormat="1" s="34"/>
    <row r="1193" customFormat="1" s="34"/>
    <row r="1194" customFormat="1" s="34"/>
    <row r="1195" customFormat="1" s="34"/>
    <row r="1196" customFormat="1" s="34"/>
    <row r="1197" customFormat="1" s="34"/>
    <row r="1198" customFormat="1" s="34"/>
    <row r="1199" customFormat="1" s="34"/>
    <row r="1200" customFormat="1" s="34"/>
    <row r="1201" customFormat="1" s="34"/>
    <row r="1202" customFormat="1" s="34"/>
    <row r="1203" customFormat="1" s="34"/>
    <row r="1204" customFormat="1" s="34"/>
    <row r="1205" customFormat="1" s="34"/>
    <row r="1206" customFormat="1" s="34"/>
    <row r="1207" customFormat="1" s="34"/>
    <row r="1208" customFormat="1" s="34"/>
    <row r="1209" customFormat="1" s="34"/>
    <row r="1210" customFormat="1" s="34"/>
    <row r="1211" customFormat="1" s="34"/>
    <row r="1212" customFormat="1" s="34"/>
    <row r="1213" customFormat="1" s="34"/>
    <row r="1214" customFormat="1" s="34"/>
    <row r="1215" customFormat="1" s="34"/>
    <row r="1216" customFormat="1" s="34"/>
    <row r="1217" customFormat="1" s="34"/>
    <row r="1218" customFormat="1" s="34"/>
    <row r="1219" customFormat="1" s="34"/>
    <row r="1220" customFormat="1" s="34"/>
    <row r="1221" customFormat="1" s="34"/>
    <row r="1222" customFormat="1" s="34"/>
    <row r="1223" customFormat="1" s="34"/>
    <row r="1224" customFormat="1" s="34"/>
    <row r="1225" customFormat="1" s="34"/>
    <row r="1226" customFormat="1" s="34"/>
    <row r="1227" customFormat="1" s="34"/>
    <row r="1228" customFormat="1" s="34"/>
    <row r="1229" customFormat="1" s="34"/>
    <row r="1230" customFormat="1" s="34"/>
    <row r="1231" customFormat="1" s="34"/>
    <row r="1232" customFormat="1" s="34"/>
    <row r="1233" customFormat="1" s="34"/>
    <row r="1234" customFormat="1" s="34"/>
    <row r="1235" customFormat="1" s="34"/>
    <row r="1236" customFormat="1" s="34"/>
    <row r="1237" customFormat="1" s="34"/>
    <row r="1238" customFormat="1" s="34"/>
    <row r="1239" customFormat="1" s="34"/>
    <row r="1240" customFormat="1" s="34"/>
    <row r="1241" customFormat="1" s="34"/>
    <row r="1242" customFormat="1" s="34"/>
    <row r="1243" customFormat="1" s="34"/>
    <row r="1244" customFormat="1" s="34"/>
    <row r="1245" customFormat="1" s="34"/>
    <row r="1246" customFormat="1" s="34"/>
    <row r="1247" customFormat="1" s="34"/>
    <row r="1248" customFormat="1" s="34"/>
    <row r="1249" customFormat="1" s="34"/>
    <row r="1250" customFormat="1" s="34"/>
    <row r="1251" customFormat="1" s="34"/>
    <row r="1252" customFormat="1" s="34"/>
    <row r="1253" customFormat="1" s="34"/>
    <row r="1254" customFormat="1" s="34"/>
    <row r="1255" customFormat="1" s="34"/>
    <row r="1256" customFormat="1" s="34"/>
    <row r="1257" customFormat="1" s="34"/>
    <row r="1258" customFormat="1" s="34"/>
    <row r="1259" customFormat="1" s="34"/>
    <row r="1260" customFormat="1" s="34"/>
    <row r="1261" customFormat="1" s="34"/>
    <row r="1262" customFormat="1" s="34"/>
    <row r="1263" customFormat="1" s="34"/>
    <row r="1264" customFormat="1" s="34"/>
    <row r="1265" customFormat="1" s="34"/>
    <row r="1266" customFormat="1" s="34"/>
    <row r="1267" customFormat="1" s="34"/>
    <row r="1268" customFormat="1" s="34"/>
    <row r="1269" customFormat="1" s="34"/>
    <row r="1270" customFormat="1" s="34"/>
    <row r="1271" customFormat="1" s="34"/>
    <row r="1272" customFormat="1" s="34"/>
    <row r="1273" customFormat="1" s="34"/>
    <row r="1274" customFormat="1" s="34"/>
    <row r="1275" customFormat="1" s="34"/>
    <row r="1276" customFormat="1" s="34"/>
    <row r="1277" customFormat="1" s="34"/>
    <row r="1278" customFormat="1" s="34"/>
    <row r="1279" customFormat="1" s="34"/>
    <row r="1280" customFormat="1" s="34"/>
    <row r="1281" customFormat="1" s="34"/>
    <row r="1282" customFormat="1" s="34"/>
    <row r="1283" customFormat="1" s="34"/>
    <row r="1284" customFormat="1" s="34"/>
    <row r="1285" customFormat="1" s="34"/>
    <row r="1286" customFormat="1" s="34"/>
    <row r="1287" customFormat="1" s="34"/>
    <row r="1288" customFormat="1" s="34"/>
    <row r="1289" customFormat="1" s="34"/>
    <row r="1290" customFormat="1" s="34"/>
    <row r="1291" customFormat="1" s="34"/>
    <row r="1292" customFormat="1" s="34"/>
    <row r="1293" customFormat="1" s="34"/>
    <row r="1294" customFormat="1" s="34"/>
    <row r="1295" customFormat="1" s="34"/>
    <row r="1296" customFormat="1" s="34"/>
    <row r="1297" customFormat="1" s="34"/>
    <row r="1298" customFormat="1" s="34"/>
    <row r="1299" customFormat="1" s="34"/>
    <row r="1300" customFormat="1" s="34"/>
    <row r="1301" customFormat="1" s="34"/>
    <row r="1302" customFormat="1" s="34"/>
    <row r="1303" customFormat="1" s="34"/>
    <row r="1304" customFormat="1" s="34"/>
    <row r="1305" customFormat="1" s="34"/>
    <row r="1306" customFormat="1" s="34"/>
    <row r="1307" customFormat="1" s="34"/>
    <row r="1308" customFormat="1" s="34"/>
    <row r="1309" customFormat="1" s="34"/>
    <row r="1310" customFormat="1" s="34"/>
    <row r="1311" customFormat="1" s="34"/>
    <row r="1312" customFormat="1" s="34"/>
    <row r="1313" customFormat="1" s="34"/>
    <row r="1314" customFormat="1" s="34"/>
    <row r="1315" customFormat="1" s="34"/>
    <row r="1316" customFormat="1" s="34"/>
    <row r="1317" customFormat="1" s="34"/>
    <row r="1318" customFormat="1" s="34"/>
    <row r="1319" customFormat="1" s="34"/>
    <row r="1320" customFormat="1" s="34"/>
    <row r="1321" customFormat="1" s="34"/>
    <row r="1322" customFormat="1" s="34"/>
    <row r="1323" customFormat="1" s="34"/>
    <row r="1324" customFormat="1" s="34"/>
    <row r="1325" customFormat="1" s="34"/>
    <row r="1326" customFormat="1" s="34"/>
    <row r="1327" customFormat="1" s="34"/>
    <row r="1328" customFormat="1" s="34"/>
    <row r="1329" customFormat="1" s="34"/>
    <row r="1330" customFormat="1" s="34"/>
    <row r="1331" customFormat="1" s="34"/>
    <row r="1332" customFormat="1" s="34"/>
    <row r="1333" customFormat="1" s="34"/>
    <row r="1334" customFormat="1" s="34"/>
    <row r="1335" customFormat="1" s="34"/>
    <row r="1336" customFormat="1" s="34"/>
    <row r="1337" customFormat="1" s="34"/>
    <row r="1338" customFormat="1" s="34"/>
    <row r="1339" customFormat="1" s="34"/>
    <row r="1340" customFormat="1" s="34"/>
    <row r="1341" customFormat="1" s="34"/>
    <row r="1342" customFormat="1" s="34"/>
    <row r="1343" customFormat="1" s="34"/>
    <row r="1344" customFormat="1" s="34"/>
    <row r="1345" customFormat="1" s="34"/>
    <row r="1346" customFormat="1" s="34"/>
    <row r="1347" customFormat="1" s="34"/>
    <row r="1348" customFormat="1" s="34"/>
    <row r="1349" customFormat="1" s="34"/>
    <row r="1350" customFormat="1" s="34"/>
    <row r="1351" customFormat="1" s="34"/>
    <row r="1352" customFormat="1" s="34"/>
    <row r="1353" customFormat="1" s="34"/>
    <row r="1354" customFormat="1" s="34"/>
    <row r="1355" customFormat="1" s="34"/>
    <row r="1356" customFormat="1" s="34"/>
    <row r="1357" customFormat="1" s="34"/>
    <row r="1358" customFormat="1" s="34"/>
    <row r="1359" customFormat="1" s="34"/>
    <row r="1360" customFormat="1" s="34"/>
    <row r="1361" customFormat="1" s="34"/>
    <row r="1362" customFormat="1" s="34"/>
    <row r="1363" customFormat="1" s="34"/>
    <row r="1364" customFormat="1" s="34"/>
    <row r="1365" customFormat="1" s="34"/>
    <row r="1366" customFormat="1" s="34"/>
    <row r="1367" customFormat="1" s="34"/>
    <row r="1368" customFormat="1" s="34"/>
    <row r="1369" customFormat="1" s="34"/>
    <row r="1370" customFormat="1" s="34"/>
    <row r="1371" customFormat="1" s="34"/>
    <row r="1372" customFormat="1" s="34"/>
    <row r="1373" customFormat="1" s="34"/>
    <row r="1374" customFormat="1" s="34"/>
    <row r="1375" customFormat="1" s="34"/>
    <row r="1376" customFormat="1" s="34"/>
    <row r="1377" customFormat="1" s="34"/>
    <row r="1378" customFormat="1" s="34"/>
    <row r="1379" customFormat="1" s="34"/>
    <row r="1380" customFormat="1" s="34"/>
    <row r="1381" customFormat="1" s="34"/>
    <row r="1382" customFormat="1" s="34"/>
    <row r="1383" customFormat="1" s="34"/>
    <row r="1384" customFormat="1" s="34"/>
    <row r="1385" customFormat="1" s="34"/>
    <row r="1386" customFormat="1" s="34"/>
    <row r="1387" customFormat="1" s="34"/>
    <row r="1388" customFormat="1" s="34"/>
    <row r="1389" customFormat="1" s="34"/>
    <row r="1390" customFormat="1" s="34"/>
    <row r="1391" customFormat="1" s="34"/>
    <row r="1392" customFormat="1" s="34"/>
    <row r="1393" customFormat="1" s="34"/>
    <row r="1394" customFormat="1" s="34"/>
    <row r="1395" customFormat="1" s="34"/>
    <row r="1396" customFormat="1" s="34"/>
    <row r="1397" customFormat="1" s="34"/>
    <row r="1398" customFormat="1" s="34"/>
    <row r="1399" customFormat="1" s="34"/>
    <row r="1400" customFormat="1" s="34"/>
    <row r="1401" customFormat="1" s="34"/>
    <row r="1402" customFormat="1" s="34"/>
    <row r="1403" customFormat="1" s="34"/>
    <row r="1404" customFormat="1" s="34"/>
    <row r="1405" customFormat="1" s="34"/>
    <row r="1406" customFormat="1" s="34"/>
    <row r="1407" customFormat="1" s="34"/>
    <row r="1408" customFormat="1" s="34"/>
    <row r="1409" customFormat="1" s="34"/>
    <row r="1410" customFormat="1" s="34"/>
    <row r="1411" customFormat="1" s="34"/>
    <row r="1412" customFormat="1" s="34"/>
    <row r="1413" customFormat="1" s="34"/>
    <row r="1414" customFormat="1" s="34"/>
    <row r="1415" customFormat="1" s="34"/>
    <row r="1416" customFormat="1" s="34"/>
    <row r="1417" customFormat="1" s="34"/>
    <row r="1418" customFormat="1" s="34"/>
    <row r="1419" customFormat="1" s="34"/>
    <row r="1420" customFormat="1" s="34"/>
    <row r="1421" customFormat="1" s="34"/>
    <row r="1422" customFormat="1" s="34"/>
    <row r="1423" customFormat="1" s="34"/>
    <row r="1424" customFormat="1" s="34"/>
    <row r="1425" customFormat="1" s="34"/>
    <row r="1426" customFormat="1" s="34"/>
    <row r="1427" customFormat="1" s="34"/>
    <row r="1428" customFormat="1" s="34"/>
    <row r="1429" customFormat="1" s="34"/>
    <row r="1430" customFormat="1" s="34"/>
    <row r="1431" customFormat="1" s="34"/>
    <row r="1432" customFormat="1" s="34"/>
    <row r="1433" customFormat="1" s="34"/>
    <row r="1434" customFormat="1" s="34"/>
    <row r="1435" customFormat="1" s="34"/>
    <row r="1436" customFormat="1" s="34"/>
    <row r="1437" customFormat="1" s="34"/>
    <row r="1438" customFormat="1" s="34"/>
    <row r="1439" customFormat="1" s="34"/>
    <row r="1440" customFormat="1" s="34"/>
    <row r="1441" customFormat="1" s="34"/>
    <row r="1442" customFormat="1" s="34"/>
    <row r="1443" customFormat="1" s="34"/>
    <row r="1444" customFormat="1" s="34"/>
    <row r="1445" customFormat="1" s="34"/>
    <row r="1446" customFormat="1" s="34"/>
    <row r="1447" customFormat="1" s="34"/>
    <row r="1448" customFormat="1" s="34"/>
    <row r="1449" customFormat="1" s="34"/>
    <row r="1450" customFormat="1" s="34"/>
    <row r="1451" customFormat="1" s="34"/>
    <row r="1452" customFormat="1" s="34"/>
    <row r="1453" customFormat="1" s="34"/>
    <row r="1454" customFormat="1" s="34"/>
    <row r="1455" customFormat="1" s="34"/>
    <row r="1456" customFormat="1" s="34"/>
    <row r="1457" customFormat="1" s="34"/>
    <row r="1458" customFormat="1" s="34"/>
    <row r="1459" customFormat="1" s="34"/>
    <row r="1460" customFormat="1" s="34"/>
    <row r="1461" customFormat="1" s="34"/>
    <row r="1462" customFormat="1" s="34"/>
    <row r="1463" customFormat="1" s="34"/>
    <row r="1464" customFormat="1" s="34"/>
    <row r="1465" customFormat="1" s="34"/>
    <row r="1466" customFormat="1" s="34"/>
    <row r="1467" customFormat="1" s="34"/>
    <row r="1468" customFormat="1" s="34"/>
    <row r="1469" customFormat="1" s="34"/>
    <row r="1470" customFormat="1" s="34"/>
    <row r="1471" customFormat="1" s="34"/>
    <row r="1472" customFormat="1" s="34"/>
    <row r="1473" customFormat="1" s="34"/>
    <row r="1474" customFormat="1" s="34"/>
    <row r="1475" customFormat="1" s="34"/>
    <row r="1476" customFormat="1" s="34"/>
    <row r="1477" customFormat="1" s="34"/>
    <row r="1478" customFormat="1" s="34"/>
    <row r="1479" customFormat="1" s="34"/>
    <row r="1480" customFormat="1" s="34"/>
    <row r="1481" customFormat="1" s="34"/>
    <row r="1482" customFormat="1" s="34"/>
    <row r="1483" customFormat="1" s="34"/>
    <row r="1484" customFormat="1" s="34"/>
    <row r="1485" customFormat="1" s="34"/>
    <row r="1486" customFormat="1" s="34"/>
    <row r="1487" customFormat="1" s="34"/>
    <row r="1488" customFormat="1" s="34"/>
    <row r="1489" customFormat="1" s="34"/>
    <row r="1490" customFormat="1" s="34"/>
    <row r="1491" customFormat="1" s="34"/>
    <row r="1492" customFormat="1" s="34"/>
    <row r="1493" customFormat="1" s="34"/>
    <row r="1494" customFormat="1" s="34"/>
    <row r="1495" customFormat="1" s="34"/>
    <row r="1496" customFormat="1" s="34"/>
    <row r="1497" customFormat="1" s="34"/>
    <row r="1498" customFormat="1" s="34"/>
    <row r="1499" customFormat="1" s="34"/>
    <row r="1500" customFormat="1" s="34"/>
    <row r="1501" customFormat="1" s="34"/>
    <row r="1502" customFormat="1" s="34"/>
    <row r="1503" customFormat="1" s="34"/>
    <row r="1504" customFormat="1" s="34"/>
    <row r="1505" customFormat="1" s="34"/>
    <row r="1506" customFormat="1" s="34"/>
    <row r="1507" customFormat="1" s="34"/>
    <row r="1508" customFormat="1" s="34"/>
    <row r="1509" customFormat="1" s="34"/>
    <row r="1510" customFormat="1" s="34"/>
    <row r="1511" customFormat="1" s="34"/>
    <row r="1512" customFormat="1" s="34"/>
    <row r="1513" customFormat="1" s="34"/>
    <row r="1514" customFormat="1" s="34"/>
    <row r="1515" customFormat="1" s="34"/>
    <row r="1516" customFormat="1" s="34"/>
    <row r="1517" customFormat="1" s="34"/>
    <row r="1518" customFormat="1" s="34"/>
    <row r="1519" customFormat="1" s="34"/>
    <row r="1520" customFormat="1" s="34"/>
    <row r="1521" customFormat="1" s="34"/>
    <row r="1522" customFormat="1" s="34"/>
    <row r="1523" customFormat="1" s="34"/>
    <row r="1524" customFormat="1" s="34"/>
    <row r="1525" customFormat="1" s="34"/>
    <row r="1526" customFormat="1" s="34"/>
    <row r="1527" customFormat="1" s="34"/>
    <row r="1528" customFormat="1" s="34"/>
    <row r="1529" customFormat="1" s="34"/>
    <row r="1530" customFormat="1" s="34"/>
    <row r="1531" customFormat="1" s="34"/>
    <row r="1532" customFormat="1" s="34"/>
    <row r="1533" customFormat="1" s="34"/>
    <row r="1534" customFormat="1" s="34"/>
    <row r="1535" customFormat="1" s="34"/>
    <row r="1536" customFormat="1" s="34"/>
    <row r="1537" customFormat="1" s="34"/>
    <row r="1538" customFormat="1" s="34"/>
    <row r="1539" customFormat="1" s="34"/>
    <row r="1540" customFormat="1" s="34"/>
    <row r="1541" customFormat="1" s="34"/>
    <row r="1542" customFormat="1" s="34"/>
    <row r="1543" customFormat="1" s="34"/>
    <row r="1544" customFormat="1" s="34"/>
    <row r="1545" customFormat="1" s="34"/>
    <row r="1546" customFormat="1" s="34"/>
    <row r="1547" customFormat="1" s="34"/>
    <row r="1548" customFormat="1" s="34"/>
    <row r="1549" customFormat="1" s="34"/>
    <row r="1550" customFormat="1" s="34"/>
    <row r="1551" customFormat="1" s="34"/>
    <row r="1552" customFormat="1" s="34"/>
    <row r="1553" customFormat="1" s="34"/>
    <row r="1554" customFormat="1" s="34"/>
    <row r="1555" customFormat="1" s="34"/>
    <row r="1556" customFormat="1" s="34"/>
    <row r="1557" customFormat="1" s="34"/>
    <row r="1558" customFormat="1" s="34"/>
    <row r="1559" customFormat="1" s="34"/>
    <row r="1560" customFormat="1" s="34"/>
    <row r="1561" customFormat="1" s="34"/>
    <row r="1562" customFormat="1" s="34"/>
    <row r="1563" customFormat="1" s="34"/>
    <row r="1564" customFormat="1" s="34"/>
    <row r="1565" customFormat="1" s="34"/>
    <row r="1566" customFormat="1" s="34"/>
    <row r="1567" customFormat="1" s="34"/>
    <row r="1568" customFormat="1" s="34"/>
    <row r="1569" customFormat="1" s="34"/>
    <row r="1570" customFormat="1" s="34"/>
    <row r="1571" customFormat="1" s="34"/>
    <row r="1572" customFormat="1" s="34"/>
    <row r="1573" customFormat="1" s="34"/>
    <row r="1574" customFormat="1" s="34"/>
    <row r="1575" customFormat="1" s="34"/>
    <row r="1576" customFormat="1" s="34"/>
    <row r="1577" customFormat="1" s="34"/>
    <row r="1578" customFormat="1" s="34"/>
    <row r="1579" customFormat="1" s="34"/>
    <row r="1580" customFormat="1" s="34"/>
    <row r="1581" customFormat="1" s="34"/>
    <row r="1582" customFormat="1" s="34"/>
    <row r="1583" customFormat="1" s="34"/>
    <row r="1584" customFormat="1" s="34"/>
    <row r="1585" customFormat="1" s="34"/>
    <row r="1586" customFormat="1" s="34"/>
    <row r="1587" customFormat="1" s="34"/>
    <row r="1588" customFormat="1" s="34"/>
    <row r="1589" customFormat="1" s="34"/>
    <row r="1590" customFormat="1" s="34"/>
    <row r="1591" customFormat="1" s="34"/>
    <row r="1592" customFormat="1" s="34"/>
    <row r="1593" customFormat="1" s="34"/>
    <row r="1594" customFormat="1" s="34"/>
    <row r="1595" customFormat="1" s="34"/>
    <row r="1596" customFormat="1" s="34"/>
    <row r="1597" customFormat="1" s="34"/>
    <row r="1598" customFormat="1" s="34"/>
    <row r="1599" customFormat="1" s="34"/>
    <row r="1600" customFormat="1" s="34"/>
    <row r="1601" customFormat="1" s="34"/>
    <row r="1602" customFormat="1" s="34"/>
    <row r="1603" customFormat="1" s="34"/>
    <row r="1604" customFormat="1" s="34"/>
    <row r="1605" customFormat="1" s="34"/>
    <row r="1606" customFormat="1" s="34"/>
    <row r="1607" customFormat="1" s="34"/>
    <row r="1608" customFormat="1" s="34"/>
    <row r="1609" customFormat="1" s="34"/>
    <row r="1610" customFormat="1" s="34"/>
    <row r="1611" customFormat="1" s="34"/>
    <row r="1612" customFormat="1" s="34"/>
    <row r="1613" customFormat="1" s="34"/>
    <row r="1614" customFormat="1" s="34"/>
    <row r="1615" customFormat="1" s="34"/>
    <row r="1616" customFormat="1" s="34"/>
    <row r="1617" customFormat="1" s="34"/>
    <row r="1618" customFormat="1" s="34"/>
    <row r="1619" customFormat="1" s="34"/>
    <row r="1620" customFormat="1" s="34"/>
    <row r="1621" customFormat="1" s="34"/>
    <row r="1622" customFormat="1" s="34"/>
    <row r="1623" customFormat="1" s="34"/>
    <row r="1624" customFormat="1" s="34"/>
    <row r="1625" customFormat="1" s="34"/>
    <row r="1626" customFormat="1" s="34"/>
    <row r="1627" customFormat="1" s="34"/>
    <row r="1628" customFormat="1" s="34"/>
    <row r="1629" customFormat="1" s="34"/>
    <row r="1630" customFormat="1" s="34"/>
    <row r="1631" customFormat="1" s="34"/>
    <row r="1632" customFormat="1" s="34"/>
    <row r="1633" customFormat="1" s="34"/>
    <row r="1634" customFormat="1" s="34"/>
    <row r="1635" customFormat="1" s="34"/>
    <row r="1636" customFormat="1" s="34"/>
    <row r="1637" customFormat="1" s="34"/>
    <row r="1638" customFormat="1" s="34"/>
    <row r="1639" customFormat="1" s="34"/>
    <row r="1640" customFormat="1" s="34"/>
    <row r="1641" customFormat="1" s="34"/>
    <row r="1642" customFormat="1" s="34"/>
    <row r="1643" customFormat="1" s="34"/>
    <row r="1644" customFormat="1" s="34"/>
    <row r="1645" customFormat="1" s="34"/>
    <row r="1646" customFormat="1" s="34"/>
    <row r="1647" customFormat="1" s="34"/>
    <row r="1648" customFormat="1" s="34"/>
    <row r="1649" customFormat="1" s="34"/>
    <row r="1650" customFormat="1" s="34"/>
    <row r="1651" customFormat="1" s="34"/>
    <row r="1652" customFormat="1" s="34"/>
    <row r="1653" customFormat="1" s="34"/>
    <row r="1654" customFormat="1" s="34"/>
    <row r="1655" customFormat="1" s="34"/>
    <row r="1656" customFormat="1" s="34"/>
    <row r="1657" customFormat="1" s="34"/>
    <row r="1658" customFormat="1" s="34"/>
    <row r="1659" customFormat="1" s="34"/>
    <row r="1660" customFormat="1" s="34"/>
    <row r="1661" customFormat="1" s="34"/>
    <row r="1662" customFormat="1" s="34"/>
    <row r="1663" customFormat="1" s="34"/>
    <row r="1664" customFormat="1" s="34"/>
    <row r="1665" customFormat="1" s="34"/>
    <row r="1666" customFormat="1" s="34"/>
    <row r="1667" customFormat="1" s="34"/>
    <row r="1668" customFormat="1" s="34"/>
    <row r="1669" customFormat="1" s="34"/>
    <row r="1670" customFormat="1" s="34"/>
    <row r="1671" customFormat="1" s="34"/>
    <row r="1672" customFormat="1" s="34"/>
    <row r="1673" customFormat="1" s="34"/>
    <row r="1674" customFormat="1" s="34"/>
    <row r="1675" customFormat="1" s="34"/>
    <row r="1676" customFormat="1" s="34"/>
    <row r="1677" customFormat="1" s="34"/>
    <row r="1678" customFormat="1" s="34"/>
    <row r="1679" customFormat="1" s="34"/>
    <row r="1680" customFormat="1" s="34"/>
    <row r="1681" customFormat="1" s="34"/>
    <row r="1682" customFormat="1" s="34"/>
    <row r="1683" customFormat="1" s="34"/>
    <row r="1684" customFormat="1" s="34"/>
    <row r="1685" customFormat="1" s="34"/>
    <row r="1686" customFormat="1" s="34"/>
    <row r="1687" customFormat="1" s="34"/>
    <row r="1688" customFormat="1" s="34"/>
    <row r="1689" customFormat="1" s="34"/>
    <row r="1690" customFormat="1" s="34"/>
    <row r="1691" customFormat="1" s="34"/>
    <row r="1692" customFormat="1" s="34"/>
    <row r="1693" customFormat="1" s="34"/>
    <row r="1694" customFormat="1" s="34"/>
    <row r="1695" customFormat="1" s="34"/>
    <row r="1696" customFormat="1" s="34"/>
    <row r="1697" customFormat="1" s="34"/>
    <row r="1698" customFormat="1" s="34"/>
    <row r="1699" customFormat="1" s="34"/>
    <row r="1700" customFormat="1" s="34"/>
    <row r="1701" customFormat="1" s="34"/>
    <row r="1702" customFormat="1" s="34"/>
    <row r="1703" customFormat="1" s="34"/>
    <row r="1704" customFormat="1" s="34"/>
    <row r="1705" customFormat="1" s="34"/>
    <row r="1706" customFormat="1" s="34"/>
    <row r="1707" customFormat="1" s="34"/>
    <row r="1708" customFormat="1" s="34"/>
    <row r="1709" customFormat="1" s="34"/>
    <row r="1710" customFormat="1" s="34"/>
    <row r="1711" customFormat="1" s="34"/>
    <row r="1712" customFormat="1" s="34"/>
    <row r="1713" customFormat="1" s="34"/>
    <row r="1714" customFormat="1" s="34"/>
    <row r="1715" customFormat="1" s="34"/>
    <row r="1716" customFormat="1" s="34"/>
    <row r="1717" customFormat="1" s="34"/>
    <row r="1718" customFormat="1" s="34"/>
    <row r="1719" customFormat="1" s="34"/>
    <row r="1720" customFormat="1" s="34"/>
    <row r="1721" customFormat="1" s="34"/>
    <row r="1722" customFormat="1" s="34"/>
    <row r="1723" customFormat="1" s="34"/>
    <row r="1724" customFormat="1" s="34"/>
    <row r="1725" customFormat="1" s="34"/>
    <row r="1726" customFormat="1" s="34"/>
    <row r="1727" customFormat="1" s="34"/>
    <row r="1728" customFormat="1" s="34"/>
    <row r="1729" customFormat="1" s="34"/>
    <row r="1730" customFormat="1" s="34"/>
    <row r="1731" customFormat="1" s="34"/>
    <row r="1732" customFormat="1" s="34"/>
    <row r="1733" customFormat="1" s="34"/>
    <row r="1734" customFormat="1" s="34"/>
    <row r="1735" customFormat="1" s="34"/>
    <row r="1736" customFormat="1" s="34"/>
    <row r="1737" customFormat="1" s="34"/>
    <row r="1738" customFormat="1" s="34"/>
    <row r="1739" customFormat="1" s="34"/>
    <row r="1740" customFormat="1" s="34"/>
    <row r="1741" customFormat="1" s="34"/>
    <row r="1742" customFormat="1" s="34"/>
    <row r="1743" customFormat="1" s="34"/>
    <row r="1744" customFormat="1" s="34"/>
    <row r="1745" customFormat="1" s="34"/>
    <row r="1746" customFormat="1" s="34"/>
    <row r="1747" customFormat="1" s="34"/>
    <row r="1748" customFormat="1" s="34"/>
    <row r="1749" customFormat="1" s="34"/>
    <row r="1750" customFormat="1" s="34"/>
    <row r="1751" customFormat="1" s="34"/>
    <row r="1752" customFormat="1" s="34"/>
    <row r="1753" customFormat="1" s="34"/>
    <row r="1754" customFormat="1" s="34"/>
    <row r="1755" customFormat="1" s="34"/>
    <row r="1756" customFormat="1" s="34"/>
    <row r="1757" customFormat="1" s="34"/>
    <row r="1758" customFormat="1" s="34"/>
    <row r="1759" customFormat="1" s="34"/>
    <row r="1760" customFormat="1" s="34"/>
    <row r="1761" customFormat="1" s="34"/>
    <row r="1762" customFormat="1" s="34"/>
    <row r="1763" customFormat="1" s="34"/>
    <row r="1764" customFormat="1" s="34"/>
    <row r="1765" customFormat="1" s="34"/>
    <row r="1766" customFormat="1" s="34"/>
    <row r="1767" customFormat="1" s="34"/>
    <row r="1768" customFormat="1" s="34"/>
    <row r="1769" customFormat="1" s="34"/>
    <row r="1770" customFormat="1" s="34"/>
    <row r="1771" customFormat="1" s="34"/>
    <row r="1772" customFormat="1" s="34"/>
    <row r="1773" customFormat="1" s="34"/>
    <row r="1774" customFormat="1" s="34"/>
    <row r="1775" customFormat="1" s="34"/>
    <row r="1776" customFormat="1" s="34"/>
    <row r="1777" customFormat="1" s="34"/>
    <row r="1778" customFormat="1" s="34"/>
    <row r="1779" customFormat="1" s="34"/>
    <row r="1780" customFormat="1" s="34"/>
    <row r="1781" customFormat="1" s="34"/>
    <row r="1782" customFormat="1" s="34"/>
    <row r="1783" customFormat="1" s="34"/>
    <row r="1784" customFormat="1" s="34"/>
    <row r="1785" customFormat="1" s="34"/>
    <row r="1786" customFormat="1" s="34"/>
    <row r="1787" customFormat="1" s="34"/>
    <row r="1788" customFormat="1" s="34"/>
    <row r="1789" customFormat="1" s="34"/>
    <row r="1790" customFormat="1" s="34"/>
    <row r="1791" customFormat="1" s="34"/>
    <row r="1792" customFormat="1" s="34"/>
    <row r="1793" customFormat="1" s="34"/>
    <row r="1794" customFormat="1" s="34"/>
    <row r="1795" customFormat="1" s="34"/>
    <row r="1796" customFormat="1" s="34"/>
    <row r="1797" customFormat="1" s="34"/>
    <row r="1798" customFormat="1" s="34"/>
    <row r="1799" customFormat="1" s="34"/>
    <row r="1800" customFormat="1" s="34"/>
    <row r="1801" customFormat="1" s="34"/>
    <row r="1802" customFormat="1" s="34"/>
    <row r="1803" customFormat="1" s="34"/>
    <row r="1804" customFormat="1" s="34"/>
    <row r="1805" customFormat="1" s="34"/>
    <row r="1806" customFormat="1" s="34"/>
    <row r="1807" customFormat="1" s="34"/>
    <row r="1808" customFormat="1" s="34"/>
    <row r="1809" customFormat="1" s="34"/>
    <row r="1810" customFormat="1" s="34"/>
    <row r="1811" customFormat="1" s="34"/>
    <row r="1812" customFormat="1" s="34"/>
    <row r="1813" customFormat="1" s="34"/>
    <row r="1814" customFormat="1" s="34"/>
    <row r="1815" customFormat="1" s="34"/>
    <row r="1816" customFormat="1" s="34"/>
    <row r="1817" customFormat="1" s="34"/>
    <row r="1818" customFormat="1" s="34"/>
    <row r="1819" customFormat="1" s="34"/>
    <row r="1820" customFormat="1" s="34"/>
    <row r="1821" customFormat="1" s="34"/>
    <row r="1822" customFormat="1" s="34"/>
    <row r="1823" customFormat="1" s="34"/>
    <row r="1824" customFormat="1" s="34"/>
    <row r="1825" customFormat="1" s="34"/>
    <row r="1826" customFormat="1" s="34"/>
    <row r="1827" customFormat="1" s="34"/>
    <row r="1828" customFormat="1" s="34"/>
    <row r="1829" customFormat="1" s="34"/>
    <row r="1830" customFormat="1" s="34"/>
    <row r="1831" customFormat="1" s="34"/>
    <row r="1832" customFormat="1" s="34"/>
    <row r="1833" customFormat="1" s="34"/>
    <row r="1834" customFormat="1" s="34"/>
    <row r="1835" customFormat="1" s="34"/>
    <row r="1836" customFormat="1" s="34"/>
    <row r="1837" customFormat="1" s="34"/>
    <row r="1838" customFormat="1" s="34"/>
    <row r="1839" customFormat="1" s="34"/>
    <row r="1840" customFormat="1" s="34"/>
    <row r="1841" customFormat="1" s="34"/>
    <row r="1842" customFormat="1" s="34"/>
    <row r="1843" customFormat="1" s="34"/>
    <row r="1844" customFormat="1" s="34"/>
    <row r="1845" customFormat="1" s="34"/>
    <row r="1846" customFormat="1" s="34"/>
    <row r="1847" customFormat="1" s="34"/>
    <row r="1848" customFormat="1" s="34"/>
    <row r="1849" customFormat="1" s="34"/>
    <row r="1850" customFormat="1" s="34"/>
    <row r="1851" customFormat="1" s="34"/>
    <row r="1852" customFormat="1" s="34"/>
    <row r="1853" customFormat="1" s="34"/>
    <row r="1854" customFormat="1" s="34"/>
    <row r="1855" customFormat="1" s="34"/>
    <row r="1856" customFormat="1" s="34"/>
    <row r="1857" customFormat="1" s="34"/>
    <row r="1858" customFormat="1" s="34"/>
    <row r="1859" customFormat="1" s="34"/>
    <row r="1860" customFormat="1" s="34"/>
    <row r="1861" customFormat="1" s="34"/>
    <row r="1862" customFormat="1" s="34"/>
    <row r="1863" customFormat="1" s="34"/>
    <row r="1864" customFormat="1" s="34"/>
    <row r="1865" customFormat="1" s="34"/>
    <row r="1866" customFormat="1" s="34"/>
    <row r="1867" customFormat="1" s="34"/>
    <row r="1868" customFormat="1" s="34"/>
    <row r="1869" customFormat="1" s="34"/>
    <row r="1870" customFormat="1" s="34"/>
    <row r="1871" customFormat="1" s="34"/>
    <row r="1872" customFormat="1" s="34"/>
    <row r="1873" customFormat="1" s="34"/>
    <row r="1874" customFormat="1" s="34"/>
    <row r="1875" customFormat="1" s="34"/>
    <row r="1876" customFormat="1" s="34"/>
    <row r="1877" customFormat="1" s="34"/>
    <row r="1878" customFormat="1" s="34"/>
    <row r="1879" customFormat="1" s="34"/>
    <row r="1880" customFormat="1" s="34"/>
    <row r="1881" customFormat="1" s="34"/>
    <row r="1882" customFormat="1" s="34"/>
    <row r="1883" customFormat="1" s="34"/>
    <row r="1884" customFormat="1" s="34"/>
    <row r="1885" customFormat="1" s="34"/>
    <row r="1886" customFormat="1" s="34"/>
    <row r="1887" customFormat="1" s="34"/>
    <row r="1888" customFormat="1" s="34"/>
    <row r="1889" customFormat="1" s="34"/>
    <row r="1890" customFormat="1" s="34"/>
    <row r="1891" customFormat="1" s="34"/>
    <row r="1892" customFormat="1" s="34"/>
    <row r="1893" customFormat="1" s="34"/>
    <row r="1894" customFormat="1" s="34"/>
    <row r="1895" customFormat="1" s="34"/>
    <row r="1896" customFormat="1" s="34"/>
    <row r="1897" customFormat="1" s="34"/>
    <row r="1898" customFormat="1" s="34"/>
    <row r="1899" customFormat="1" s="34"/>
    <row r="1900" customFormat="1" s="34"/>
    <row r="1901" customFormat="1" s="34"/>
    <row r="1902" customFormat="1" s="34"/>
    <row r="1903" customFormat="1" s="34"/>
    <row r="1904" customFormat="1" s="34"/>
    <row r="1905" customFormat="1" s="34"/>
    <row r="1906" customFormat="1" s="34"/>
    <row r="1907" customFormat="1" s="34"/>
    <row r="1908" customFormat="1" s="34"/>
    <row r="1909" customFormat="1" s="34"/>
    <row r="1910" customFormat="1" s="34"/>
    <row r="1911" customFormat="1" s="34"/>
    <row r="1912" customFormat="1" s="34"/>
    <row r="1913" customFormat="1" s="34"/>
    <row r="1914" customFormat="1" s="34"/>
    <row r="1915" customFormat="1" s="34"/>
    <row r="1916" customFormat="1" s="34"/>
    <row r="1917" customFormat="1" s="34"/>
    <row r="1918" customFormat="1" s="34"/>
    <row r="1919" customFormat="1" s="34"/>
    <row r="1920" customFormat="1" s="34"/>
    <row r="1921" customFormat="1" s="34"/>
    <row r="1922" customFormat="1" s="34"/>
    <row r="1923" customFormat="1" s="34"/>
    <row r="1924" customFormat="1" s="34"/>
    <row r="1925" customFormat="1" s="34"/>
    <row r="1926" customFormat="1" s="34"/>
    <row r="1927" customFormat="1" s="34"/>
    <row r="1928" customFormat="1" s="34"/>
    <row r="1929" customFormat="1" s="34"/>
    <row r="1930" customFormat="1" s="34"/>
    <row r="1931" customFormat="1" s="34"/>
    <row r="1932" customFormat="1" s="34"/>
    <row r="1933" customFormat="1" s="34"/>
    <row r="1934" customFormat="1" s="34"/>
    <row r="1935" customFormat="1" s="34"/>
    <row r="1936" customFormat="1" s="34"/>
    <row r="1937" customFormat="1" s="34"/>
    <row r="1938" customFormat="1" s="34"/>
    <row r="1939" customFormat="1" s="34"/>
    <row r="1940" customFormat="1" s="34"/>
    <row r="1941" customFormat="1" s="34"/>
    <row r="1942" customFormat="1" s="34"/>
    <row r="1943" customFormat="1" s="34"/>
    <row r="1944" customFormat="1" s="34"/>
    <row r="1945" customFormat="1" s="34"/>
    <row r="1946" customFormat="1" s="34"/>
    <row r="1947" customFormat="1" s="34"/>
    <row r="1948" customFormat="1" s="34"/>
    <row r="1949" customFormat="1" s="34"/>
    <row r="1950" customFormat="1" s="34"/>
    <row r="1951" customFormat="1" s="34"/>
    <row r="1952" customFormat="1" s="34"/>
    <row r="1953" customFormat="1" s="34"/>
    <row r="1954" customFormat="1" s="34"/>
    <row r="1955" customFormat="1" s="34"/>
    <row r="1956" customFormat="1" s="34"/>
    <row r="1957" customFormat="1" s="34"/>
    <row r="1958" customFormat="1" s="34"/>
    <row r="1959" customFormat="1" s="34"/>
    <row r="1960" customFormat="1" s="34"/>
    <row r="1961" customFormat="1" s="34"/>
    <row r="1962" customFormat="1" s="34"/>
    <row r="1963" customFormat="1" s="34"/>
    <row r="1964" customFormat="1" s="34"/>
    <row r="1965" customFormat="1" s="34"/>
    <row r="1966" customFormat="1" s="34"/>
    <row r="1967" customFormat="1" s="34"/>
    <row r="1968" customFormat="1" s="34"/>
    <row r="1969" customFormat="1" s="34"/>
    <row r="1970" customFormat="1" s="34"/>
    <row r="1971" customFormat="1" s="34"/>
    <row r="1972" customFormat="1" s="34"/>
    <row r="1973" customFormat="1" s="34"/>
    <row r="1974" customFormat="1" s="34"/>
    <row r="1975" customFormat="1" s="34"/>
    <row r="1976" customFormat="1" s="34"/>
    <row r="1977" customFormat="1" s="34"/>
    <row r="1978" customFormat="1" s="34"/>
    <row r="1979" customFormat="1" s="34"/>
    <row r="1980" customFormat="1" s="34"/>
    <row r="1981" customFormat="1" s="34"/>
    <row r="1982" customFormat="1" s="34"/>
    <row r="1983" customFormat="1" s="34"/>
    <row r="1984" customFormat="1" s="34"/>
    <row r="1985" customFormat="1" s="34"/>
    <row r="1986" customFormat="1" s="34"/>
    <row r="1987" customFormat="1" s="34"/>
    <row r="1988" customFormat="1" s="34"/>
    <row r="1989" customFormat="1" s="34"/>
    <row r="1990" customFormat="1" s="34"/>
    <row r="1991" customFormat="1" s="34"/>
    <row r="1992" customFormat="1" s="34"/>
    <row r="1993" customFormat="1" s="34"/>
    <row r="1994" customFormat="1" s="34"/>
    <row r="1995" customFormat="1" s="34"/>
    <row r="1996" customFormat="1" s="34"/>
    <row r="1997" customFormat="1" s="34"/>
    <row r="1998" customFormat="1" s="34"/>
    <row r="1999" customFormat="1" s="34"/>
    <row r="2000" customFormat="1" s="34"/>
    <row r="262100">
      <c r="B262100" s="33"/>
      <c r="G262100" s="33"/>
    </row>
    <row r="262101">
      <c r="B262101" s="33"/>
      <c r="G262101" s="33"/>
    </row>
  </sheetData>
  <autoFilter ref="A1:V110">
    <filterColumn colId="2">
      <filters>
        <filter val="Sakthi"/>
      </filters>
    </filterColumn>
  </autoFilter>
  <hyperlinks>
    <hyperlink ref="D2" r:id="rId1"/>
    <hyperlink ref="F2" r:id="rId2"/>
    <hyperlink ref="D3" r:id="rId3"/>
    <hyperlink ref="F3" r:id="rId4"/>
    <hyperlink ref="U3" r:id="rId5"/>
    <hyperlink ref="D4" r:id="rId6"/>
    <hyperlink ref="F4" r:id="rId7"/>
    <hyperlink ref="L4" r:id="rId8"/>
    <hyperlink ref="D5" r:id="rId9"/>
    <hyperlink ref="F5" r:id="rId10"/>
    <hyperlink ref="U5" r:id="rId11"/>
    <hyperlink ref="D6" r:id="rId12"/>
    <hyperlink ref="F6" r:id="rId13"/>
    <hyperlink ref="U6" r:id="rId14"/>
    <hyperlink ref="D7" r:id="rId15"/>
    <hyperlink ref="F7" r:id="rId16"/>
    <hyperlink ref="U7" r:id="rId17"/>
    <hyperlink ref="D8" r:id="rId18"/>
    <hyperlink ref="F8" r:id="rId19"/>
    <hyperlink ref="U8" r:id="rId20"/>
    <hyperlink ref="D9" r:id="rId21"/>
    <hyperlink ref="F9" r:id="rId22"/>
    <hyperlink ref="D10" r:id="rId23"/>
    <hyperlink ref="F10" r:id="rId24"/>
    <hyperlink ref="D11" r:id="rId25"/>
    <hyperlink ref="F11" r:id="rId26"/>
    <hyperlink ref="L11" r:id="rId27"/>
    <hyperlink ref="D12" r:id="rId28"/>
    <hyperlink ref="F12" r:id="rId29"/>
    <hyperlink ref="U12" r:id="rId30"/>
    <hyperlink ref="D13" r:id="rId31"/>
    <hyperlink ref="F13" r:id="rId32"/>
    <hyperlink ref="U13" r:id="rId33"/>
    <hyperlink ref="D14" r:id="rId34"/>
    <hyperlink ref="F14" r:id="rId35"/>
    <hyperlink ref="W14" r:id="rId36"/>
    <hyperlink ref="D15" r:id="rId37"/>
    <hyperlink ref="F15" r:id="rId38"/>
    <hyperlink ref="T15" r:id="rId39"/>
    <hyperlink ref="U15" r:id="rId40"/>
    <hyperlink ref="D16" r:id="rId41"/>
    <hyperlink ref="F16" r:id="rId42"/>
    <hyperlink ref="L16" r:id="rId43"/>
    <hyperlink ref="U16" r:id="rId44"/>
    <hyperlink ref="D17" r:id="rId45"/>
    <hyperlink ref="F17" r:id="rId46"/>
    <hyperlink ref="U17" r:id="rId47"/>
    <hyperlink ref="D18" r:id="rId48"/>
    <hyperlink ref="F18" r:id="rId49"/>
    <hyperlink ref="U18" r:id="rId50"/>
    <hyperlink ref="D19" r:id="rId51"/>
    <hyperlink ref="F19" r:id="rId52"/>
    <hyperlink ref="L19" r:id="rId53"/>
    <hyperlink ref="U19" r:id="rId54"/>
    <hyperlink ref="D20" r:id="rId55"/>
    <hyperlink ref="F20" r:id="rId56"/>
    <hyperlink ref="U20" r:id="rId57"/>
    <hyperlink ref="D21" r:id="rId58"/>
    <hyperlink ref="F21" r:id="rId59"/>
    <hyperlink ref="U21" r:id="rId60"/>
    <hyperlink ref="D22" r:id="rId61"/>
    <hyperlink ref="F22" r:id="rId62"/>
    <hyperlink ref="U22" r:id="rId63"/>
    <hyperlink ref="D23" r:id="rId64"/>
    <hyperlink ref="F23" r:id="rId65"/>
    <hyperlink ref="D24" r:id="rId66"/>
    <hyperlink ref="F24" r:id="rId67"/>
    <hyperlink ref="D25" r:id="rId68"/>
    <hyperlink ref="F25" r:id="rId69"/>
    <hyperlink ref="U25" r:id="rId70"/>
    <hyperlink ref="D27" r:id="rId71"/>
    <hyperlink ref="F27" r:id="rId72"/>
    <hyperlink ref="U27" r:id="rId73"/>
    <hyperlink ref="D28" r:id="rId74"/>
    <hyperlink ref="F28" r:id="rId75"/>
    <hyperlink ref="U28" r:id="rId76"/>
    <hyperlink ref="D29" r:id="rId77"/>
    <hyperlink ref="F29" r:id="rId78"/>
    <hyperlink ref="D30" r:id="rId79"/>
    <hyperlink ref="F30" r:id="rId80"/>
    <hyperlink ref="U30" r:id="rId81"/>
    <hyperlink ref="D31" r:id="rId82"/>
    <hyperlink ref="F31" r:id="rId83"/>
    <hyperlink ref="D32" r:id="rId84"/>
    <hyperlink ref="F32" r:id="rId85"/>
    <hyperlink ref="D33" r:id="rId86"/>
    <hyperlink ref="F33" r:id="rId87"/>
    <hyperlink ref="L33" r:id="rId88"/>
    <hyperlink ref="D34" r:id="rId89"/>
    <hyperlink ref="F34" r:id="rId90"/>
    <hyperlink ref="D35" r:id="rId91"/>
    <hyperlink ref="F35" r:id="rId92"/>
    <hyperlink ref="D36" r:id="rId93"/>
    <hyperlink ref="F36" r:id="rId94"/>
    <hyperlink ref="U36" r:id="rId95"/>
    <hyperlink ref="D37" r:id="rId96"/>
    <hyperlink ref="F37" r:id="rId97"/>
    <hyperlink ref="L37" r:id="rId98"/>
    <hyperlink ref="U37" r:id="rId99"/>
    <hyperlink ref="D38" r:id="rId100"/>
    <hyperlink ref="F38" r:id="rId101"/>
    <hyperlink ref="L38" r:id="rId102"/>
    <hyperlink ref="U38" r:id="rId103"/>
    <hyperlink ref="D39" r:id="rId104"/>
    <hyperlink ref="F39" r:id="rId105"/>
    <hyperlink ref="L39" r:id="rId106"/>
    <hyperlink ref="U39" r:id="rId107"/>
    <hyperlink ref="D40" r:id="rId108"/>
    <hyperlink ref="F40" r:id="rId109"/>
    <hyperlink ref="U40" r:id="rId110"/>
    <hyperlink ref="D41" r:id="rId111"/>
    <hyperlink ref="F41" r:id="rId112"/>
    <hyperlink ref="U41" r:id="rId113"/>
    <hyperlink ref="D42" r:id="rId114"/>
    <hyperlink ref="F42" r:id="rId115"/>
    <hyperlink ref="U42" r:id="rId116"/>
    <hyperlink ref="D43" r:id="rId117"/>
    <hyperlink ref="F43" r:id="rId118"/>
    <hyperlink ref="D44" r:id="rId119"/>
    <hyperlink ref="F44" r:id="rId120"/>
    <hyperlink ref="U44" r:id="rId121"/>
    <hyperlink ref="D45" r:id="rId122"/>
    <hyperlink ref="F45" r:id="rId123"/>
    <hyperlink ref="D46" r:id="rId124"/>
    <hyperlink ref="F46" r:id="rId125"/>
    <hyperlink ref="D47" r:id="rId126"/>
    <hyperlink ref="D48" r:id="rId127"/>
    <hyperlink ref="F48" r:id="rId128"/>
    <hyperlink ref="D49" r:id="rId129"/>
    <hyperlink ref="F49" r:id="rId130"/>
    <hyperlink ref="U49" r:id="rId131"/>
    <hyperlink ref="D50" r:id="rId132"/>
    <hyperlink ref="F50" r:id="rId133"/>
    <hyperlink ref="L50" r:id="rId134"/>
    <hyperlink ref="U50" r:id="rId135"/>
    <hyperlink ref="D51" r:id="rId136"/>
    <hyperlink ref="F51" r:id="rId137"/>
    <hyperlink ref="L51" r:id="rId138"/>
    <hyperlink ref="U51" r:id="rId139"/>
    <hyperlink ref="D52" r:id="rId140"/>
    <hyperlink ref="F52" r:id="rId141"/>
    <hyperlink ref="D53" r:id="rId142"/>
    <hyperlink ref="F53" r:id="rId143"/>
    <hyperlink ref="D54" r:id="rId144"/>
    <hyperlink ref="F54" r:id="rId145"/>
    <hyperlink ref="U54" r:id="rId146"/>
    <hyperlink ref="D55" r:id="rId147"/>
    <hyperlink ref="F55" r:id="rId148"/>
    <hyperlink ref="U55" r:id="rId149"/>
    <hyperlink ref="D56" r:id="rId150"/>
    <hyperlink ref="F56" r:id="rId151"/>
    <hyperlink ref="D57" r:id="rId152"/>
    <hyperlink ref="F57" r:id="rId153"/>
    <hyperlink ref="D58" r:id="rId154"/>
    <hyperlink ref="F58" r:id="rId155"/>
    <hyperlink ref="D59" r:id="rId156"/>
    <hyperlink ref="F59" r:id="rId157"/>
    <hyperlink ref="D60" r:id="rId158"/>
    <hyperlink ref="F60" r:id="rId159"/>
    <hyperlink ref="U60" r:id="rId160"/>
    <hyperlink ref="D61" r:id="rId161"/>
    <hyperlink ref="F61" r:id="rId162"/>
    <hyperlink ref="U61" r:id="rId163"/>
    <hyperlink ref="D62" r:id="rId164"/>
    <hyperlink ref="F62" r:id="rId165"/>
    <hyperlink ref="L62" r:id="rId166"/>
    <hyperlink ref="U62" r:id="rId167"/>
    <hyperlink ref="D63" r:id="rId168"/>
    <hyperlink ref="F63" r:id="rId169"/>
    <hyperlink ref="L63" r:id="rId170"/>
    <hyperlink ref="U63" r:id="rId171"/>
    <hyperlink ref="D64" r:id="rId172"/>
    <hyperlink ref="F64" r:id="rId173"/>
    <hyperlink ref="U64" r:id="rId174"/>
    <hyperlink ref="D65" r:id="rId175"/>
    <hyperlink ref="F65" r:id="rId176"/>
    <hyperlink ref="U65" r:id="rId177"/>
    <hyperlink ref="D66" r:id="rId178"/>
    <hyperlink ref="F66" r:id="rId179"/>
    <hyperlink ref="D67" r:id="rId180"/>
    <hyperlink ref="F67" r:id="rId181"/>
    <hyperlink ref="D68" r:id="rId182"/>
    <hyperlink ref="F68" r:id="rId183"/>
    <hyperlink ref="D69" r:id="rId184"/>
    <hyperlink ref="F69" r:id="rId185"/>
    <hyperlink ref="U69" r:id="rId186"/>
    <hyperlink ref="D70" r:id="rId187"/>
    <hyperlink ref="F70" r:id="rId188"/>
    <hyperlink ref="U70" r:id="rId189"/>
    <hyperlink ref="D71" r:id="rId190"/>
    <hyperlink ref="F71" r:id="rId191"/>
    <hyperlink ref="U71" r:id="rId192"/>
    <hyperlink ref="D72" r:id="rId193"/>
    <hyperlink ref="F72" r:id="rId194"/>
    <hyperlink ref="D73" r:id="rId195"/>
    <hyperlink ref="F73" r:id="rId196"/>
    <hyperlink ref="U73" r:id="rId197"/>
    <hyperlink ref="D74" r:id="rId198"/>
    <hyperlink ref="F74" r:id="rId199"/>
    <hyperlink ref="U74" r:id="rId200"/>
    <hyperlink ref="D75" r:id="rId201"/>
    <hyperlink ref="F75" r:id="rId202"/>
    <hyperlink ref="D76" r:id="rId203"/>
    <hyperlink ref="F76" r:id="rId204"/>
    <hyperlink ref="U76" r:id="rId205"/>
    <hyperlink ref="D77" r:id="rId206"/>
    <hyperlink ref="F77" r:id="rId207"/>
    <hyperlink ref="D78" r:id="rId208"/>
    <hyperlink ref="F78" r:id="rId209"/>
    <hyperlink ref="U78" r:id="rId210"/>
    <hyperlink ref="D79" r:id="rId211"/>
    <hyperlink ref="F79" r:id="rId212"/>
    <hyperlink ref="L79" r:id="rId213"/>
    <hyperlink ref="U79" r:id="rId214"/>
    <hyperlink ref="D80" r:id="rId215"/>
    <hyperlink ref="F80" r:id="rId216"/>
    <hyperlink ref="U80" r:id="rId217"/>
    <hyperlink ref="D81" r:id="rId218"/>
    <hyperlink ref="F81" r:id="rId219"/>
    <hyperlink ref="D82" r:id="rId220"/>
    <hyperlink ref="F82" r:id="rId221"/>
    <hyperlink ref="U82" r:id="rId222"/>
    <hyperlink ref="D83" r:id="rId223"/>
    <hyperlink ref="F83" r:id="rId224"/>
    <hyperlink ref="D84" r:id="rId225"/>
    <hyperlink ref="F84" r:id="rId226"/>
    <hyperlink ref="L84" r:id="rId227"/>
    <hyperlink ref="U84" r:id="rId228"/>
    <hyperlink ref="D85" r:id="rId229"/>
    <hyperlink ref="F85" r:id="rId230"/>
    <hyperlink ref="D86" r:id="rId231"/>
    <hyperlink ref="F86" r:id="rId232"/>
    <hyperlink ref="D87" r:id="rId233"/>
    <hyperlink ref="F87" r:id="rId234"/>
    <hyperlink ref="D88" r:id="rId235"/>
    <hyperlink ref="F88" r:id="rId236"/>
    <hyperlink ref="U88" r:id="rId237"/>
    <hyperlink ref="D89" r:id="rId238"/>
    <hyperlink ref="F89" r:id="rId239"/>
    <hyperlink ref="D90" r:id="rId240"/>
    <hyperlink ref="F90" r:id="rId241"/>
    <hyperlink ref="U90" r:id="rId242"/>
    <hyperlink ref="D91" r:id="rId243"/>
    <hyperlink ref="F91" r:id="rId244"/>
    <hyperlink ref="D92" r:id="rId245"/>
    <hyperlink ref="F92" r:id="rId246"/>
    <hyperlink ref="U92" r:id="rId247"/>
    <hyperlink ref="D93" r:id="rId248"/>
    <hyperlink ref="F93" r:id="rId249"/>
    <hyperlink ref="U93" r:id="rId250"/>
    <hyperlink ref="D94" r:id="rId251"/>
    <hyperlink ref="F94" r:id="rId252"/>
    <hyperlink ref="L94" r:id="rId253"/>
    <hyperlink ref="W94" r:id="rId254"/>
    <hyperlink ref="D95" r:id="rId255"/>
    <hyperlink ref="F95" r:id="rId256"/>
    <hyperlink ref="D96" r:id="rId257"/>
    <hyperlink ref="F96" r:id="rId258"/>
    <hyperlink ref="D97" r:id="rId259"/>
    <hyperlink ref="F97" r:id="rId260"/>
    <hyperlink ref="U97" r:id="rId261"/>
    <hyperlink ref="D98" r:id="rId262"/>
    <hyperlink ref="F98" r:id="rId263"/>
    <hyperlink ref="U98" r:id="rId264"/>
  </hyperlinks>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X57"/>
  <sheetViews>
    <sheetView workbookViewId="0"/>
  </sheetViews>
  <sheetFormatPr defaultRowHeight="14.0" customHeight="1"/>
  <cols>
    <col min="1" max="1" style="34" width="10.2"/>
    <col min="2" max="2" style="34" width="9.0"/>
    <col min="3" max="3" style="34" width="12.18"/>
    <col min="4" max="4" style="34" width="38.82"/>
    <col min="5" max="6" style="34" width="13.24"/>
    <col min="7" max="7" style="34" width="62.14"/>
    <col min="8" max="8" style="34" width="53.92"/>
    <col min="9" max="10" style="34" width="13.24"/>
    <col min="11" max="11" style="34" width="16.42"/>
    <col min="12" max="12" style="34" width="13.64"/>
    <col min="13" max="13" style="34" width="27.82"/>
    <col min="14" max="14" style="34" width="21.33"/>
    <col min="15" max="15" style="34" width="16.69"/>
    <col min="16" max="19" style="34" width="13.24"/>
    <col min="20" max="20" style="34" width="49.42"/>
    <col min="21" max="21" style="34" width="51.8"/>
    <col min="22" max="22" style="34" width="36.3"/>
    <col min="23" max="23" style="34" width="51.8"/>
    <col min="24" max="24" style="34" width="37.09"/>
    <col min="25" max="2048" style="34" width="13.24"/>
  </cols>
  <sheetData>
    <row r="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52</v>
      </c>
      <c r="X1" s="78" t="s">
        <v>62</v>
      </c>
    </row>
    <row r="2" ht="41.0">
      <c r="A2" s="36">
        <v>46174</v>
      </c>
      <c r="B2" s="34" t="s">
        <v>34</v>
      </c>
      <c r="C2" s="34" t="s">
        <v>88</v>
      </c>
      <c r="D2" s="37" t="s">
        <v>2838</v>
      </c>
      <c r="E2" s="34" t="s">
        <v>104</v>
      </c>
      <c r="F2" s="38" t="s">
        <v>2839</v>
      </c>
      <c r="G2" s="34" t="s">
        <v>2840</v>
      </c>
      <c r="I2" s="34" t="s">
        <v>2841</v>
      </c>
      <c r="K2" s="34" t="s">
        <v>115</v>
      </c>
      <c r="L2" s="34" t="s">
        <v>681</v>
      </c>
      <c r="M2" s="34" t="s">
        <v>97</v>
      </c>
      <c r="N2" s="34" t="s">
        <v>71</v>
      </c>
      <c r="O2" s="34" t="s">
        <v>84</v>
      </c>
      <c r="P2" s="34" t="s">
        <v>11</v>
      </c>
      <c r="Q2" s="34">
        <v>20.0</v>
      </c>
      <c r="S2" s="40"/>
      <c r="U2" s="34" t="s">
        <v>456</v>
      </c>
      <c r="X2" s="79"/>
    </row>
    <row r="3" ht="68.0" customFormat="1" s="34">
      <c r="A3" s="36">
        <v>46174</v>
      </c>
      <c r="B3" s="34" t="s">
        <v>34</v>
      </c>
      <c r="C3" s="34" t="s">
        <v>88</v>
      </c>
      <c r="D3" s="37" t="s">
        <v>2842</v>
      </c>
      <c r="E3" s="34" t="s">
        <v>976</v>
      </c>
      <c r="F3" s="38" t="s">
        <v>2843</v>
      </c>
      <c r="G3" s="34" t="s">
        <v>2844</v>
      </c>
      <c r="K3" s="34" t="s">
        <v>69</v>
      </c>
      <c r="L3" s="34" t="s">
        <v>681</v>
      </c>
      <c r="M3" s="34" t="s">
        <v>97</v>
      </c>
      <c r="N3" s="34" t="s">
        <v>309</v>
      </c>
      <c r="O3" s="34" t="s">
        <v>98</v>
      </c>
      <c r="P3" s="34" t="s">
        <v>395</v>
      </c>
      <c r="S3" s="40"/>
      <c r="T3" s="34" t="s">
        <v>2845</v>
      </c>
      <c r="U3" s="38" t="s">
        <v>2846</v>
      </c>
    </row>
    <row r="4" ht="109.0" customFormat="1" s="34">
      <c r="A4" s="36">
        <v>46174</v>
      </c>
      <c r="B4" s="34" t="s">
        <v>38</v>
      </c>
      <c r="C4" s="34" t="s">
        <v>108</v>
      </c>
      <c r="D4" s="37" t="s">
        <v>2847</v>
      </c>
      <c r="E4" s="34" t="s">
        <v>2848</v>
      </c>
      <c r="F4" s="38" t="s">
        <v>2849</v>
      </c>
      <c r="G4" s="34" t="s">
        <v>2850</v>
      </c>
      <c r="H4" s="34" t="s">
        <v>163</v>
      </c>
      <c r="K4" s="34" t="s">
        <v>184</v>
      </c>
      <c r="L4" s="38" t="s">
        <v>2851</v>
      </c>
      <c r="M4" s="34" t="s">
        <v>117</v>
      </c>
      <c r="N4" s="34" t="s">
        <v>71</v>
      </c>
      <c r="O4" s="34" t="s">
        <v>84</v>
      </c>
      <c r="P4" s="34" t="s">
        <v>11</v>
      </c>
      <c r="Q4" s="34" t="s">
        <v>248</v>
      </c>
      <c r="S4" s="40" t="s">
        <v>127</v>
      </c>
      <c r="U4" s="38" t="s">
        <v>2852</v>
      </c>
    </row>
    <row r="5" ht="68.0">
      <c r="A5" s="36">
        <v>46174</v>
      </c>
      <c r="B5" s="34" t="s">
        <v>36</v>
      </c>
      <c r="C5" s="34" t="s">
        <v>76</v>
      </c>
      <c r="D5" s="37" t="s">
        <v>2853</v>
      </c>
      <c r="E5" s="34" t="s">
        <v>2854</v>
      </c>
      <c r="F5" s="38" t="s">
        <v>2855</v>
      </c>
      <c r="G5" s="34" t="s">
        <v>2856</v>
      </c>
      <c r="H5" s="34" t="s">
        <v>2857</v>
      </c>
      <c r="I5" s="34" t="s">
        <v>675</v>
      </c>
      <c r="K5" s="34" t="s">
        <v>115</v>
      </c>
      <c r="M5" s="34" t="s">
        <v>97</v>
      </c>
      <c r="N5" s="34" t="s">
        <v>71</v>
      </c>
      <c r="O5" s="34" t="s">
        <v>98</v>
      </c>
      <c r="P5" s="34" t="s">
        <v>11</v>
      </c>
      <c r="Q5" s="34">
        <v>3.0</v>
      </c>
      <c r="S5" s="40" t="s">
        <v>134</v>
      </c>
    </row>
    <row r="6" ht="55.0">
      <c r="A6" s="36">
        <v>46175</v>
      </c>
      <c r="B6" s="34" t="s">
        <v>34</v>
      </c>
      <c r="C6" s="34" t="s">
        <v>88</v>
      </c>
      <c r="D6" s="37" t="s">
        <v>2858</v>
      </c>
      <c r="E6" s="34" t="s">
        <v>65</v>
      </c>
      <c r="F6" s="38" t="s">
        <v>2859</v>
      </c>
      <c r="G6" s="34" t="s">
        <v>2860</v>
      </c>
      <c r="K6" s="34" t="s">
        <v>115</v>
      </c>
      <c r="L6" s="34" t="s">
        <v>681</v>
      </c>
      <c r="M6" s="34" t="s">
        <v>97</v>
      </c>
      <c r="N6" s="34" t="s">
        <v>71</v>
      </c>
      <c r="O6" s="34" t="s">
        <v>207</v>
      </c>
      <c r="P6" s="34" t="s">
        <v>11</v>
      </c>
      <c r="Q6" s="34">
        <v>6.0</v>
      </c>
      <c r="S6" s="40" t="s">
        <v>134</v>
      </c>
      <c r="U6" s="38" t="s">
        <v>2861</v>
      </c>
    </row>
    <row r="7" ht="41.0" customFormat="1" s="34">
      <c r="A7" s="36">
        <v>46175</v>
      </c>
      <c r="B7" s="34" t="s">
        <v>34</v>
      </c>
      <c r="C7" s="34" t="s">
        <v>88</v>
      </c>
      <c r="D7" s="37" t="s">
        <v>2375</v>
      </c>
      <c r="E7" s="34" t="s">
        <v>2739</v>
      </c>
      <c r="F7" s="38" t="s">
        <v>2740</v>
      </c>
      <c r="G7" s="34" t="s">
        <v>1871</v>
      </c>
      <c r="I7" s="34" t="s">
        <v>277</v>
      </c>
      <c r="K7" s="34" t="s">
        <v>69</v>
      </c>
      <c r="M7" s="34" t="s">
        <v>97</v>
      </c>
      <c r="N7" s="34" t="s">
        <v>309</v>
      </c>
      <c r="O7" s="34" t="s">
        <v>84</v>
      </c>
      <c r="P7" s="34" t="s">
        <v>11</v>
      </c>
      <c r="Q7" s="34" t="s">
        <v>2742</v>
      </c>
      <c r="S7" s="40" t="s">
        <v>127</v>
      </c>
    </row>
    <row r="8" ht="27.0">
      <c r="A8" s="36">
        <v>46175</v>
      </c>
      <c r="B8" s="34" t="s">
        <v>34</v>
      </c>
      <c r="C8" s="34" t="s">
        <v>108</v>
      </c>
      <c r="D8" s="37" t="s">
        <v>2862</v>
      </c>
      <c r="E8" s="34" t="s">
        <v>1033</v>
      </c>
      <c r="F8" s="38" t="s">
        <v>2750</v>
      </c>
      <c r="G8" s="34" t="s">
        <v>2863</v>
      </c>
      <c r="I8" s="34" t="s">
        <v>2864</v>
      </c>
      <c r="K8" s="34" t="s">
        <v>125</v>
      </c>
      <c r="L8" s="38" t="s">
        <v>2865</v>
      </c>
      <c r="M8" s="34" t="s">
        <v>117</v>
      </c>
      <c r="N8" s="34" t="s">
        <v>309</v>
      </c>
      <c r="O8" s="34" t="s">
        <v>84</v>
      </c>
      <c r="P8" s="34" t="s">
        <v>11</v>
      </c>
      <c r="S8" s="40"/>
      <c r="U8" s="38" t="s">
        <v>2866</v>
      </c>
    </row>
    <row r="9" ht="41.0">
      <c r="A9" s="36">
        <v>46175</v>
      </c>
      <c r="B9" s="34" t="s">
        <v>34</v>
      </c>
      <c r="C9" s="34" t="s">
        <v>108</v>
      </c>
      <c r="D9" s="37" t="s">
        <v>2867</v>
      </c>
      <c r="E9" s="34" t="s">
        <v>2868</v>
      </c>
      <c r="F9" s="38" t="s">
        <v>2869</v>
      </c>
      <c r="G9" s="72" t="s">
        <v>2870</v>
      </c>
      <c r="H9" s="34" t="s">
        <v>163</v>
      </c>
      <c r="I9" s="34" t="s">
        <v>2871</v>
      </c>
      <c r="J9" s="34" t="s">
        <v>1091</v>
      </c>
      <c r="K9" s="34" t="s">
        <v>184</v>
      </c>
      <c r="L9" s="38" t="s">
        <v>2872</v>
      </c>
      <c r="M9" s="34" t="s">
        <v>97</v>
      </c>
      <c r="N9" s="34" t="s">
        <v>71</v>
      </c>
      <c r="O9" s="34" t="s">
        <v>84</v>
      </c>
      <c r="P9" s="34" t="s">
        <v>11</v>
      </c>
      <c r="Q9" s="43">
        <v>46145</v>
      </c>
      <c r="S9" s="40" t="s">
        <v>134</v>
      </c>
      <c r="U9" s="38" t="s">
        <v>2873</v>
      </c>
    </row>
    <row r="10" ht="82.0">
      <c r="A10" s="36">
        <v>46175</v>
      </c>
      <c r="B10" s="34" t="s">
        <v>34</v>
      </c>
      <c r="C10" s="34" t="s">
        <v>108</v>
      </c>
      <c r="D10" s="37" t="s">
        <v>2874</v>
      </c>
      <c r="E10" s="34" t="s">
        <v>2875</v>
      </c>
      <c r="F10" s="38" t="s">
        <v>2876</v>
      </c>
      <c r="G10" s="72" t="s">
        <v>2877</v>
      </c>
      <c r="H10" s="34" t="s">
        <v>163</v>
      </c>
      <c r="I10" s="34" t="s">
        <v>351</v>
      </c>
      <c r="K10" s="34" t="s">
        <v>184</v>
      </c>
      <c r="L10" s="38" t="s">
        <v>2878</v>
      </c>
      <c r="M10" s="34" t="s">
        <v>83</v>
      </c>
      <c r="N10" s="34" t="s">
        <v>71</v>
      </c>
      <c r="O10" s="34" t="s">
        <v>84</v>
      </c>
      <c r="P10" s="34" t="s">
        <v>11</v>
      </c>
      <c r="Q10" s="34">
        <v>10.0</v>
      </c>
      <c r="S10" s="40" t="s">
        <v>99</v>
      </c>
      <c r="U10" s="38" t="s">
        <v>2879</v>
      </c>
    </row>
    <row r="11" ht="55.0">
      <c r="A11" s="36">
        <v>46175</v>
      </c>
      <c r="B11" s="34" t="s">
        <v>34</v>
      </c>
      <c r="C11" s="34" t="s">
        <v>108</v>
      </c>
      <c r="D11" s="37" t="s">
        <v>2880</v>
      </c>
      <c r="E11" s="34" t="s">
        <v>2881</v>
      </c>
      <c r="F11" s="38" t="s">
        <v>2882</v>
      </c>
      <c r="G11" s="72" t="s">
        <v>2883</v>
      </c>
      <c r="H11" s="34" t="s">
        <v>163</v>
      </c>
      <c r="K11" s="34" t="s">
        <v>115</v>
      </c>
      <c r="L11" s="38" t="s">
        <v>2884</v>
      </c>
      <c r="M11" s="34" t="s">
        <v>83</v>
      </c>
      <c r="N11" s="34" t="s">
        <v>71</v>
      </c>
      <c r="O11" s="34" t="s">
        <v>84</v>
      </c>
      <c r="P11" s="34" t="s">
        <v>11</v>
      </c>
      <c r="Q11" s="34">
        <v>3.0</v>
      </c>
      <c r="S11" s="40" t="s">
        <v>134</v>
      </c>
      <c r="U11" s="34" t="s">
        <v>456</v>
      </c>
    </row>
    <row r="12" ht="27.0">
      <c r="A12" s="36">
        <v>46175</v>
      </c>
      <c r="B12" s="34" t="s">
        <v>34</v>
      </c>
      <c r="C12" s="34" t="s">
        <v>63</v>
      </c>
      <c r="D12" s="37" t="s">
        <v>2885</v>
      </c>
      <c r="E12" s="34" t="s">
        <v>2886</v>
      </c>
      <c r="F12" s="38" t="s">
        <v>2887</v>
      </c>
      <c r="G12" s="34" t="s">
        <v>2888</v>
      </c>
      <c r="K12" s="34" t="s">
        <v>69</v>
      </c>
      <c r="M12" s="34" t="s">
        <v>97</v>
      </c>
      <c r="N12" s="34" t="s">
        <v>156</v>
      </c>
      <c r="O12" s="34" t="s">
        <v>157</v>
      </c>
      <c r="P12" s="34" t="s">
        <v>158</v>
      </c>
      <c r="Q12" s="43"/>
      <c r="S12" s="40" t="s">
        <v>294</v>
      </c>
      <c r="U12" s="38" t="s">
        <v>2889</v>
      </c>
    </row>
    <row r="13" ht="96.0">
      <c r="A13" s="36">
        <v>46176</v>
      </c>
      <c r="B13" s="34" t="s">
        <v>34</v>
      </c>
      <c r="C13" s="34" t="s">
        <v>63</v>
      </c>
      <c r="D13" s="37" t="s">
        <v>2890</v>
      </c>
      <c r="E13" s="34" t="s">
        <v>517</v>
      </c>
      <c r="F13" s="38" t="s">
        <v>819</v>
      </c>
      <c r="G13" s="42" t="s">
        <v>2891</v>
      </c>
      <c r="H13" s="34" t="s">
        <v>2892</v>
      </c>
      <c r="K13" s="34" t="s">
        <v>173</v>
      </c>
      <c r="M13" s="34" t="s">
        <v>97</v>
      </c>
      <c r="N13" s="34" t="s">
        <v>309</v>
      </c>
      <c r="O13" s="34" t="s">
        <v>72</v>
      </c>
      <c r="P13" s="34" t="s">
        <v>11</v>
      </c>
      <c r="S13" s="40" t="s">
        <v>127</v>
      </c>
      <c r="U13" s="38" t="s">
        <v>2893</v>
      </c>
    </row>
    <row r="14" ht="55.0">
      <c r="A14" s="36">
        <v>46176</v>
      </c>
      <c r="B14" s="34" t="s">
        <v>34</v>
      </c>
      <c r="C14" s="34" t="s">
        <v>88</v>
      </c>
      <c r="D14" s="37" t="s">
        <v>2894</v>
      </c>
      <c r="E14" s="34" t="s">
        <v>438</v>
      </c>
      <c r="F14" s="38" t="s">
        <v>2895</v>
      </c>
      <c r="G14" s="34" t="s">
        <v>2896</v>
      </c>
      <c r="K14" s="34" t="s">
        <v>115</v>
      </c>
      <c r="L14" s="34" t="s">
        <v>681</v>
      </c>
      <c r="M14" s="34" t="s">
        <v>97</v>
      </c>
      <c r="N14" s="34" t="s">
        <v>71</v>
      </c>
      <c r="O14" s="34" t="s">
        <v>98</v>
      </c>
      <c r="P14" s="34" t="s">
        <v>11</v>
      </c>
      <c r="Q14" s="34">
        <v>5.0</v>
      </c>
      <c r="S14" s="40"/>
      <c r="U14" s="34" t="s">
        <v>2897</v>
      </c>
    </row>
    <row r="15" ht="96.0">
      <c r="A15" s="36">
        <v>46176</v>
      </c>
      <c r="B15" s="34" t="s">
        <v>34</v>
      </c>
      <c r="C15" s="34" t="s">
        <v>63</v>
      </c>
      <c r="D15" s="37" t="s">
        <v>2898</v>
      </c>
      <c r="E15" s="34" t="s">
        <v>2899</v>
      </c>
      <c r="F15" s="38" t="s">
        <v>2900</v>
      </c>
      <c r="G15" s="34" t="s">
        <v>2901</v>
      </c>
      <c r="H15" s="34" t="s">
        <v>2902</v>
      </c>
      <c r="I15" s="34" t="s">
        <v>1218</v>
      </c>
      <c r="K15" s="34" t="s">
        <v>125</v>
      </c>
      <c r="M15" s="34" t="s">
        <v>97</v>
      </c>
      <c r="N15" s="34" t="s">
        <v>71</v>
      </c>
      <c r="O15" s="34" t="s">
        <v>98</v>
      </c>
      <c r="P15" s="34" t="s">
        <v>11</v>
      </c>
      <c r="Q15" s="34">
        <v>30.0</v>
      </c>
      <c r="S15" s="40" t="s">
        <v>127</v>
      </c>
      <c r="T15" s="34" t="s">
        <v>2903</v>
      </c>
      <c r="U15" s="38" t="s">
        <v>2904</v>
      </c>
    </row>
    <row r="16" ht="68.0" customFormat="1" s="34">
      <c r="A16" s="36">
        <v>46177</v>
      </c>
      <c r="B16" s="34" t="s">
        <v>34</v>
      </c>
      <c r="C16" s="34" t="s">
        <v>63</v>
      </c>
      <c r="D16" s="41" t="s">
        <v>2905</v>
      </c>
      <c r="E16" s="34" t="s">
        <v>130</v>
      </c>
      <c r="F16" s="38" t="s">
        <v>2906</v>
      </c>
      <c r="G16" s="34" t="s">
        <v>2907</v>
      </c>
      <c r="H16" s="34" t="s">
        <v>2908</v>
      </c>
      <c r="K16" s="34" t="s">
        <v>115</v>
      </c>
      <c r="M16" s="34" t="s">
        <v>97</v>
      </c>
      <c r="N16" s="34" t="s">
        <v>71</v>
      </c>
      <c r="O16" s="34" t="s">
        <v>72</v>
      </c>
      <c r="P16" s="34" t="s">
        <v>11</v>
      </c>
      <c r="Q16" s="34">
        <v>1000.0</v>
      </c>
      <c r="S16" s="40" t="s">
        <v>468</v>
      </c>
      <c r="U16" s="38" t="s">
        <v>2909</v>
      </c>
    </row>
    <row r="17" ht="55.0">
      <c r="A17" s="36">
        <v>46177</v>
      </c>
      <c r="B17" s="34" t="s">
        <v>34</v>
      </c>
      <c r="C17" s="34" t="s">
        <v>63</v>
      </c>
      <c r="D17" s="37" t="s">
        <v>2910</v>
      </c>
      <c r="E17" s="34" t="s">
        <v>517</v>
      </c>
      <c r="F17" s="38" t="s">
        <v>2911</v>
      </c>
      <c r="G17" s="34" t="s">
        <v>2912</v>
      </c>
      <c r="K17" s="34" t="s">
        <v>115</v>
      </c>
      <c r="M17" s="34" t="s">
        <v>97</v>
      </c>
      <c r="N17" s="34" t="s">
        <v>71</v>
      </c>
      <c r="O17" s="34" t="s">
        <v>84</v>
      </c>
      <c r="P17" s="34" t="s">
        <v>11</v>
      </c>
      <c r="Q17" s="34">
        <v>100.0</v>
      </c>
      <c r="S17" s="40" t="s">
        <v>134</v>
      </c>
      <c r="U17" s="38" t="s">
        <v>2913</v>
      </c>
    </row>
    <row r="18" ht="55.0" customFormat="1" s="34">
      <c r="A18" s="36">
        <v>46177</v>
      </c>
      <c r="B18" s="34" t="s">
        <v>34</v>
      </c>
      <c r="C18" s="34" t="s">
        <v>108</v>
      </c>
      <c r="D18" s="37" t="s">
        <v>2914</v>
      </c>
      <c r="E18" s="34" t="s">
        <v>2915</v>
      </c>
      <c r="F18" s="38" t="s">
        <v>2916</v>
      </c>
      <c r="G18" s="34" t="s">
        <v>2917</v>
      </c>
      <c r="H18" s="34" t="s">
        <v>163</v>
      </c>
      <c r="I18" s="34" t="s">
        <v>1850</v>
      </c>
      <c r="J18" s="34" t="s">
        <v>2276</v>
      </c>
      <c r="K18" s="34" t="s">
        <v>115</v>
      </c>
      <c r="L18" s="34" t="s">
        <v>681</v>
      </c>
      <c r="M18" s="34" t="s">
        <v>97</v>
      </c>
      <c r="N18" s="34" t="s">
        <v>71</v>
      </c>
      <c r="O18" s="34" t="s">
        <v>98</v>
      </c>
      <c r="P18" s="34" t="s">
        <v>11</v>
      </c>
      <c r="Q18" s="43">
        <v>46300</v>
      </c>
      <c r="S18" s="40" t="s">
        <v>134</v>
      </c>
      <c r="U18" s="34" t="s">
        <v>456</v>
      </c>
    </row>
    <row r="19" ht="41.0" customFormat="1" s="34">
      <c r="A19" s="36">
        <v>46177</v>
      </c>
      <c r="B19" s="34" t="s">
        <v>34</v>
      </c>
      <c r="C19" s="34" t="s">
        <v>108</v>
      </c>
      <c r="D19" s="37" t="s">
        <v>2918</v>
      </c>
      <c r="E19" s="34" t="s">
        <v>2919</v>
      </c>
      <c r="F19" s="38" t="s">
        <v>2920</v>
      </c>
      <c r="G19" s="34" t="s">
        <v>2921</v>
      </c>
      <c r="K19" s="34" t="s">
        <v>69</v>
      </c>
      <c r="L19" s="34" t="s">
        <v>681</v>
      </c>
      <c r="M19" s="34" t="s">
        <v>97</v>
      </c>
      <c r="N19" s="34" t="s">
        <v>71</v>
      </c>
      <c r="O19" s="34" t="s">
        <v>98</v>
      </c>
      <c r="P19" s="34" t="s">
        <v>395</v>
      </c>
      <c r="S19" s="40"/>
      <c r="T19" s="34" t="s">
        <v>2922</v>
      </c>
      <c r="U19" s="38" t="s">
        <v>2923</v>
      </c>
    </row>
    <row r="20" ht="55.0">
      <c r="A20" s="36">
        <v>46177</v>
      </c>
      <c r="B20" s="34" t="s">
        <v>35</v>
      </c>
      <c r="C20" s="34" t="s">
        <v>108</v>
      </c>
      <c r="D20" s="37" t="s">
        <v>2924</v>
      </c>
      <c r="E20" s="34" t="s">
        <v>377</v>
      </c>
      <c r="F20" s="38" t="s">
        <v>2925</v>
      </c>
      <c r="G20" s="34" t="s">
        <v>2926</v>
      </c>
      <c r="H20" s="34" t="s">
        <v>163</v>
      </c>
      <c r="I20" s="34" t="s">
        <v>277</v>
      </c>
      <c r="K20" s="34" t="s">
        <v>69</v>
      </c>
      <c r="L20" s="34" t="s">
        <v>681</v>
      </c>
      <c r="M20" s="34" t="s">
        <v>97</v>
      </c>
      <c r="N20" s="34" t="s">
        <v>156</v>
      </c>
      <c r="O20" s="34" t="s">
        <v>157</v>
      </c>
      <c r="P20" s="34" t="s">
        <v>158</v>
      </c>
      <c r="Q20" s="34">
        <v>3.0</v>
      </c>
      <c r="S20" s="40" t="s">
        <v>85</v>
      </c>
      <c r="U20" s="38" t="s">
        <v>2927</v>
      </c>
    </row>
    <row r="21" ht="27.0">
      <c r="A21" s="36">
        <v>46178</v>
      </c>
      <c r="B21" s="34" t="s">
        <v>34</v>
      </c>
      <c r="C21" s="34" t="s">
        <v>76</v>
      </c>
      <c r="D21" s="37" t="s">
        <v>2928</v>
      </c>
      <c r="E21" s="34" t="s">
        <v>78</v>
      </c>
      <c r="F21" s="38" t="s">
        <v>2929</v>
      </c>
      <c r="G21" s="34" t="s">
        <v>2930</v>
      </c>
      <c r="K21" s="34" t="s">
        <v>115</v>
      </c>
      <c r="M21" s="34" t="s">
        <v>97</v>
      </c>
      <c r="N21" s="34" t="s">
        <v>71</v>
      </c>
      <c r="O21" s="34" t="s">
        <v>84</v>
      </c>
      <c r="P21" s="34" t="s">
        <v>11</v>
      </c>
      <c r="Q21" s="34">
        <v>1.0</v>
      </c>
      <c r="S21" s="40" t="s">
        <v>134</v>
      </c>
      <c r="U21" s="38" t="s">
        <v>2931</v>
      </c>
    </row>
    <row r="22" ht="27.0">
      <c r="A22" s="36">
        <v>46178</v>
      </c>
      <c r="B22" s="34" t="s">
        <v>35</v>
      </c>
      <c r="C22" s="34" t="s">
        <v>76</v>
      </c>
      <c r="D22" s="37" t="s">
        <v>2932</v>
      </c>
      <c r="E22" s="34" t="s">
        <v>2933</v>
      </c>
      <c r="F22" s="38" t="s">
        <v>2934</v>
      </c>
      <c r="G22" s="34" t="s">
        <v>2935</v>
      </c>
      <c r="I22" s="34" t="s">
        <v>675</v>
      </c>
      <c r="K22" s="34" t="s">
        <v>69</v>
      </c>
      <c r="M22" s="34" t="s">
        <v>97</v>
      </c>
      <c r="N22" s="34" t="s">
        <v>156</v>
      </c>
      <c r="O22" s="34" t="s">
        <v>157</v>
      </c>
      <c r="P22" s="34" t="s">
        <v>158</v>
      </c>
      <c r="Q22" s="34">
        <v>50.0</v>
      </c>
      <c r="S22" s="40" t="s">
        <v>127</v>
      </c>
    </row>
    <row r="23" ht="27.0">
      <c r="A23" s="36">
        <v>46178</v>
      </c>
      <c r="B23" s="34" t="s">
        <v>35</v>
      </c>
      <c r="C23" s="34" t="s">
        <v>76</v>
      </c>
      <c r="D23" s="37" t="s">
        <v>2936</v>
      </c>
      <c r="E23" s="34" t="s">
        <v>130</v>
      </c>
      <c r="F23" s="38" t="s">
        <v>2937</v>
      </c>
      <c r="G23" s="34" t="s">
        <v>2938</v>
      </c>
      <c r="I23" s="34" t="s">
        <v>675</v>
      </c>
      <c r="K23" s="34" t="s">
        <v>115</v>
      </c>
      <c r="M23" s="34" t="s">
        <v>83</v>
      </c>
      <c r="N23" s="34" t="s">
        <v>71</v>
      </c>
      <c r="O23" s="34" t="s">
        <v>84</v>
      </c>
      <c r="P23" s="34" t="s">
        <v>11</v>
      </c>
      <c r="Q23" s="34" t="s">
        <v>248</v>
      </c>
      <c r="S23" s="40" t="s">
        <v>294</v>
      </c>
      <c r="U23" s="38" t="s">
        <v>2939</v>
      </c>
    </row>
    <row r="24" ht="109.0">
      <c r="A24" s="36">
        <v>46178</v>
      </c>
      <c r="B24" s="34" t="s">
        <v>34</v>
      </c>
      <c r="C24" s="34" t="s">
        <v>63</v>
      </c>
      <c r="D24" s="37" t="s">
        <v>2940</v>
      </c>
      <c r="E24" s="34" t="s">
        <v>130</v>
      </c>
      <c r="F24" s="38" t="s">
        <v>2941</v>
      </c>
      <c r="G24" s="34" t="s">
        <v>2912</v>
      </c>
      <c r="H24" s="34" t="s">
        <v>2942</v>
      </c>
      <c r="I24" s="34" t="s">
        <v>2943</v>
      </c>
      <c r="J24" s="34" t="s">
        <v>1650</v>
      </c>
      <c r="K24" s="34" t="s">
        <v>69</v>
      </c>
      <c r="L24" s="34" t="s">
        <v>155</v>
      </c>
      <c r="M24" s="34" t="s">
        <v>97</v>
      </c>
      <c r="N24" s="34" t="s">
        <v>71</v>
      </c>
      <c r="O24" s="34" t="s">
        <v>98</v>
      </c>
      <c r="P24" s="34" t="s">
        <v>395</v>
      </c>
      <c r="Q24" s="34">
        <v>3.0</v>
      </c>
      <c r="S24" s="40" t="s">
        <v>127</v>
      </c>
      <c r="T24" s="34" t="s">
        <v>2944</v>
      </c>
      <c r="U24" s="38" t="s">
        <v>2945</v>
      </c>
    </row>
    <row r="25" ht="41.0">
      <c r="A25" s="36">
        <v>46178</v>
      </c>
      <c r="B25" s="34" t="s">
        <v>34</v>
      </c>
      <c r="C25" s="34" t="s">
        <v>108</v>
      </c>
      <c r="D25" s="37" t="s">
        <v>2946</v>
      </c>
      <c r="E25" s="34" t="s">
        <v>2947</v>
      </c>
      <c r="F25" s="38" t="s">
        <v>2948</v>
      </c>
      <c r="G25" s="34" t="s">
        <v>2949</v>
      </c>
      <c r="H25" s="34" t="s">
        <v>2950</v>
      </c>
      <c r="I25" s="34" t="s">
        <v>2871</v>
      </c>
      <c r="K25" s="34" t="s">
        <v>184</v>
      </c>
      <c r="L25" s="38" t="s">
        <v>2951</v>
      </c>
      <c r="M25" s="34" t="s">
        <v>117</v>
      </c>
      <c r="N25" s="34" t="s">
        <v>71</v>
      </c>
      <c r="O25" s="34" t="s">
        <v>84</v>
      </c>
      <c r="P25" s="34" t="s">
        <v>11</v>
      </c>
      <c r="Q25" s="34">
        <v>12.0</v>
      </c>
      <c r="S25" s="40"/>
      <c r="U25" s="38" t="s">
        <v>2952</v>
      </c>
    </row>
    <row r="26" ht="68.0">
      <c r="A26" s="36">
        <v>46178</v>
      </c>
      <c r="B26" s="34" t="s">
        <v>34</v>
      </c>
      <c r="C26" s="34" t="s">
        <v>108</v>
      </c>
      <c r="D26" s="37" t="s">
        <v>2953</v>
      </c>
      <c r="E26" s="34" t="s">
        <v>2954</v>
      </c>
      <c r="F26" s="38" t="s">
        <v>2955</v>
      </c>
      <c r="G26" s="34" t="s">
        <v>2956</v>
      </c>
      <c r="H26" s="34" t="s">
        <v>163</v>
      </c>
      <c r="I26" s="34" t="s">
        <v>2957</v>
      </c>
      <c r="K26" s="34" t="s">
        <v>184</v>
      </c>
      <c r="L26" s="38" t="s">
        <v>2958</v>
      </c>
      <c r="M26" s="34" t="s">
        <v>117</v>
      </c>
      <c r="N26" s="34" t="s">
        <v>71</v>
      </c>
      <c r="O26" s="34" t="s">
        <v>84</v>
      </c>
      <c r="P26" s="34" t="s">
        <v>11</v>
      </c>
      <c r="Q26" s="34">
        <v>10.0</v>
      </c>
      <c r="S26" s="40" t="s">
        <v>99</v>
      </c>
      <c r="U26" s="38" t="s">
        <v>2959</v>
      </c>
    </row>
    <row r="27" ht="55.0">
      <c r="A27" s="36">
        <v>46181</v>
      </c>
      <c r="B27" s="34" t="s">
        <v>34</v>
      </c>
      <c r="C27" s="34" t="s">
        <v>88</v>
      </c>
      <c r="D27" s="37" t="s">
        <v>2960</v>
      </c>
      <c r="E27" s="34" t="s">
        <v>130</v>
      </c>
      <c r="F27" s="38" t="s">
        <v>2961</v>
      </c>
      <c r="G27" s="34" t="s">
        <v>2962</v>
      </c>
      <c r="I27" s="34" t="s">
        <v>860</v>
      </c>
      <c r="J27" s="34" t="s">
        <v>2963</v>
      </c>
      <c r="K27" s="34" t="s">
        <v>115</v>
      </c>
      <c r="L27" s="34" t="s">
        <v>681</v>
      </c>
      <c r="M27" s="34" t="s">
        <v>97</v>
      </c>
      <c r="N27" s="34" t="s">
        <v>71</v>
      </c>
      <c r="O27" s="34" t="s">
        <v>98</v>
      </c>
      <c r="P27" s="34" t="s">
        <v>11</v>
      </c>
      <c r="Q27" s="34" t="s">
        <v>248</v>
      </c>
      <c r="S27" s="40"/>
      <c r="U27" s="38" t="s">
        <v>2964</v>
      </c>
    </row>
    <row r="28" ht="41.0">
      <c r="A28" s="36">
        <v>46181</v>
      </c>
      <c r="B28" s="34" t="s">
        <v>34</v>
      </c>
      <c r="C28" s="34" t="s">
        <v>108</v>
      </c>
      <c r="D28" s="62" t="s">
        <v>2965</v>
      </c>
      <c r="E28" s="34" t="s">
        <v>2966</v>
      </c>
      <c r="F28" s="38" t="s">
        <v>2967</v>
      </c>
      <c r="G28" s="34" t="s">
        <v>2968</v>
      </c>
      <c r="H28" s="34" t="s">
        <v>163</v>
      </c>
      <c r="K28" s="34" t="s">
        <v>115</v>
      </c>
      <c r="L28" s="34" t="s">
        <v>681</v>
      </c>
      <c r="M28" s="34" t="s">
        <v>97</v>
      </c>
      <c r="N28" s="34" t="s">
        <v>71</v>
      </c>
      <c r="O28" s="34" t="s">
        <v>84</v>
      </c>
      <c r="P28" s="34" t="s">
        <v>9</v>
      </c>
      <c r="Q28" s="34">
        <v>6.0</v>
      </c>
      <c r="S28" s="40" t="s">
        <v>134</v>
      </c>
    </row>
    <row r="29" ht="27.0">
      <c r="A29" s="36">
        <v>46181</v>
      </c>
      <c r="B29" s="34" t="s">
        <v>34</v>
      </c>
      <c r="C29" s="34" t="s">
        <v>108</v>
      </c>
      <c r="D29" s="62" t="s">
        <v>2969</v>
      </c>
      <c r="E29" s="34" t="s">
        <v>517</v>
      </c>
      <c r="F29" s="38" t="s">
        <v>2970</v>
      </c>
      <c r="G29" s="34" t="s">
        <v>600</v>
      </c>
      <c r="K29" s="34" t="s">
        <v>69</v>
      </c>
      <c r="L29" s="34" t="s">
        <v>681</v>
      </c>
      <c r="M29" s="34" t="s">
        <v>70</v>
      </c>
      <c r="N29" s="34" t="s">
        <v>156</v>
      </c>
      <c r="O29" s="34" t="s">
        <v>157</v>
      </c>
      <c r="P29" s="34" t="s">
        <v>158</v>
      </c>
      <c r="Q29" s="34">
        <v>4.0</v>
      </c>
      <c r="S29" s="40" t="s">
        <v>85</v>
      </c>
      <c r="U29" s="34" t="s">
        <v>2971</v>
      </c>
    </row>
    <row r="30" ht="27.0">
      <c r="A30" s="36">
        <v>46182</v>
      </c>
      <c r="B30" s="34" t="s">
        <v>34</v>
      </c>
      <c r="C30" s="34" t="s">
        <v>88</v>
      </c>
      <c r="D30" s="37" t="s">
        <v>2972</v>
      </c>
      <c r="E30" s="34" t="s">
        <v>2973</v>
      </c>
      <c r="F30" s="38" t="s">
        <v>2974</v>
      </c>
      <c r="G30" s="34" t="s">
        <v>2975</v>
      </c>
      <c r="I30" s="34" t="s">
        <v>373</v>
      </c>
      <c r="J30" s="34" t="s">
        <v>1842</v>
      </c>
      <c r="K30" s="34" t="s">
        <v>115</v>
      </c>
      <c r="L30" s="38" t="s">
        <v>2976</v>
      </c>
      <c r="M30" s="34" t="s">
        <v>117</v>
      </c>
      <c r="N30" s="34" t="s">
        <v>71</v>
      </c>
      <c r="O30" s="34" t="s">
        <v>133</v>
      </c>
      <c r="P30" s="34" t="s">
        <v>11</v>
      </c>
      <c r="Q30" s="34">
        <v>5.0</v>
      </c>
      <c r="S30" s="40"/>
      <c r="U30" s="38" t="s">
        <v>2977</v>
      </c>
    </row>
    <row r="31" ht="41.0">
      <c r="A31" s="36">
        <v>46182</v>
      </c>
      <c r="B31" s="34" t="s">
        <v>34</v>
      </c>
      <c r="C31" s="34" t="s">
        <v>88</v>
      </c>
      <c r="D31" s="37" t="s">
        <v>2978</v>
      </c>
      <c r="E31" s="34" t="s">
        <v>2530</v>
      </c>
      <c r="F31" s="38" t="s">
        <v>2979</v>
      </c>
      <c r="G31" s="34" t="s">
        <v>2980</v>
      </c>
      <c r="I31" s="34" t="s">
        <v>860</v>
      </c>
      <c r="J31" s="34" t="s">
        <v>2592</v>
      </c>
      <c r="K31" s="34" t="s">
        <v>115</v>
      </c>
      <c r="L31" s="34" t="s">
        <v>681</v>
      </c>
      <c r="M31" s="34" t="s">
        <v>83</v>
      </c>
      <c r="N31" s="34" t="s">
        <v>71</v>
      </c>
      <c r="O31" s="34" t="s">
        <v>84</v>
      </c>
      <c r="P31" s="34" t="s">
        <v>11</v>
      </c>
      <c r="Q31" s="34">
        <v>3.0</v>
      </c>
      <c r="S31" s="40"/>
      <c r="U31" s="38" t="s">
        <v>2981</v>
      </c>
    </row>
    <row r="32" ht="68.0">
      <c r="A32" s="36">
        <v>46182</v>
      </c>
      <c r="B32" s="34" t="s">
        <v>34</v>
      </c>
      <c r="C32" s="34" t="s">
        <v>88</v>
      </c>
      <c r="D32" s="37" t="s">
        <v>2982</v>
      </c>
      <c r="E32" s="34" t="s">
        <v>2983</v>
      </c>
      <c r="F32" s="38" t="s">
        <v>2984</v>
      </c>
      <c r="G32" s="34" t="s">
        <v>2985</v>
      </c>
      <c r="K32" s="34" t="s">
        <v>115</v>
      </c>
      <c r="L32" s="34" t="s">
        <v>681</v>
      </c>
      <c r="M32" s="34" t="s">
        <v>97</v>
      </c>
      <c r="N32" s="34" t="s">
        <v>71</v>
      </c>
      <c r="O32" s="34" t="s">
        <v>98</v>
      </c>
      <c r="P32" s="34" t="s">
        <v>11</v>
      </c>
      <c r="Q32" s="34" t="s">
        <v>2986</v>
      </c>
      <c r="S32" s="40"/>
    </row>
    <row r="33">
      <c r="A33" s="36">
        <v>46182</v>
      </c>
      <c r="B33" s="34" t="s">
        <v>34</v>
      </c>
      <c r="C33" s="34" t="s">
        <v>88</v>
      </c>
      <c r="D33" s="37" t="s">
        <v>2987</v>
      </c>
      <c r="E33" s="34" t="s">
        <v>1746</v>
      </c>
      <c r="F33" s="38" t="s">
        <v>2988</v>
      </c>
      <c r="K33" s="34"/>
      <c r="M33" s="34"/>
      <c r="N33" s="34"/>
      <c r="O33" s="34"/>
      <c r="P33" s="34"/>
      <c r="S33" s="40"/>
    </row>
    <row r="34" customFormat="1" s="34">
      <c r="A34" s="36">
        <v>46182</v>
      </c>
      <c r="B34" s="34" t="s">
        <v>34</v>
      </c>
      <c r="C34" s="34" t="s">
        <v>88</v>
      </c>
      <c r="D34" s="37" t="s">
        <v>2989</v>
      </c>
      <c r="E34" s="34" t="s">
        <v>170</v>
      </c>
      <c r="K34" s="34"/>
      <c r="M34" s="34"/>
      <c r="N34" s="34"/>
      <c r="O34" s="34"/>
      <c r="P34" s="34"/>
      <c r="S34" s="40"/>
    </row>
    <row r="35" ht="27.0">
      <c r="A35" s="36">
        <v>46182</v>
      </c>
      <c r="B35" s="34" t="s">
        <v>34</v>
      </c>
      <c r="C35" s="34" t="s">
        <v>1094</v>
      </c>
      <c r="D35" s="37" t="s">
        <v>2990</v>
      </c>
      <c r="E35" s="34" t="s">
        <v>594</v>
      </c>
      <c r="F35" s="38" t="s">
        <v>2991</v>
      </c>
      <c r="G35" s="34" t="s">
        <v>2992</v>
      </c>
      <c r="K35" s="34" t="s">
        <v>115</v>
      </c>
      <c r="M35" s="34"/>
      <c r="N35" s="34" t="s">
        <v>71</v>
      </c>
      <c r="O35" s="34" t="s">
        <v>98</v>
      </c>
      <c r="P35" s="34" t="s">
        <v>11</v>
      </c>
      <c r="Q35" s="34">
        <v>2.0</v>
      </c>
      <c r="S35" s="40" t="s">
        <v>134</v>
      </c>
    </row>
    <row r="36" ht="41.0">
      <c r="A36" s="36">
        <v>46182</v>
      </c>
      <c r="B36" s="34" t="s">
        <v>34</v>
      </c>
      <c r="C36" s="34" t="s">
        <v>76</v>
      </c>
      <c r="D36" s="37" t="s">
        <v>2993</v>
      </c>
      <c r="E36" s="34" t="s">
        <v>2994</v>
      </c>
      <c r="F36" s="38" t="s">
        <v>2995</v>
      </c>
      <c r="G36" s="34" t="s">
        <v>2996</v>
      </c>
      <c r="I36" s="34" t="s">
        <v>2997</v>
      </c>
      <c r="J36" s="34" t="s">
        <v>206</v>
      </c>
      <c r="K36" s="34" t="s">
        <v>184</v>
      </c>
      <c r="M36" s="34" t="s">
        <v>117</v>
      </c>
      <c r="N36" s="34" t="s">
        <v>71</v>
      </c>
      <c r="O36" s="34" t="s">
        <v>84</v>
      </c>
      <c r="P36" s="34" t="s">
        <v>11</v>
      </c>
      <c r="Q36" s="34">
        <v>15.0</v>
      </c>
      <c r="S36" s="40" t="s">
        <v>134</v>
      </c>
      <c r="U36" s="34" t="s">
        <v>2998</v>
      </c>
    </row>
    <row r="37" ht="27.0">
      <c r="A37" s="36">
        <v>46183</v>
      </c>
      <c r="B37" s="34" t="s">
        <v>37</v>
      </c>
      <c r="C37" s="34" t="s">
        <v>76</v>
      </c>
      <c r="D37" s="37" t="s">
        <v>2999</v>
      </c>
      <c r="E37" s="34" t="s">
        <v>3000</v>
      </c>
      <c r="F37" s="38" t="s">
        <v>3001</v>
      </c>
      <c r="G37" s="34" t="s">
        <v>3002</v>
      </c>
      <c r="K37" s="34" t="s">
        <v>115</v>
      </c>
      <c r="M37" s="34" t="s">
        <v>97</v>
      </c>
      <c r="N37" s="34" t="s">
        <v>71</v>
      </c>
      <c r="O37" s="34" t="s">
        <v>98</v>
      </c>
      <c r="P37" s="34" t="s">
        <v>11</v>
      </c>
      <c r="Q37" s="34">
        <v>10.0</v>
      </c>
      <c r="S37" s="40" t="s">
        <v>294</v>
      </c>
      <c r="U37" s="38" t="s">
        <v>3003</v>
      </c>
    </row>
    <row r="38" ht="27.0">
      <c r="A38" s="36">
        <v>46183</v>
      </c>
      <c r="B38" s="34" t="s">
        <v>36</v>
      </c>
      <c r="C38" s="34" t="s">
        <v>88</v>
      </c>
      <c r="D38" s="37" t="s">
        <v>3004</v>
      </c>
      <c r="E38" s="34" t="s">
        <v>893</v>
      </c>
      <c r="F38" s="38" t="s">
        <v>3005</v>
      </c>
      <c r="G38" s="34" t="s">
        <v>3006</v>
      </c>
      <c r="K38" s="34" t="s">
        <v>69</v>
      </c>
      <c r="L38" s="34" t="s">
        <v>681</v>
      </c>
      <c r="M38" s="34" t="s">
        <v>97</v>
      </c>
      <c r="N38" s="34" t="s">
        <v>882</v>
      </c>
      <c r="O38" s="34" t="s">
        <v>893</v>
      </c>
      <c r="P38" s="34" t="s">
        <v>893</v>
      </c>
      <c r="S38" s="40"/>
    </row>
    <row r="39" ht="55.0">
      <c r="A39" s="36">
        <v>46183</v>
      </c>
      <c r="B39" s="34" t="s">
        <v>34</v>
      </c>
      <c r="C39" s="34" t="s">
        <v>88</v>
      </c>
      <c r="D39" s="37" t="s">
        <v>3007</v>
      </c>
      <c r="E39" s="34" t="s">
        <v>3000</v>
      </c>
      <c r="F39" s="38" t="s">
        <v>3008</v>
      </c>
      <c r="G39" s="34" t="s">
        <v>3009</v>
      </c>
      <c r="I39" s="34" t="s">
        <v>3010</v>
      </c>
      <c r="K39" s="34" t="s">
        <v>115</v>
      </c>
      <c r="L39" s="34" t="s">
        <v>681</v>
      </c>
      <c r="M39" s="34" t="s">
        <v>97</v>
      </c>
      <c r="N39" s="34" t="s">
        <v>71</v>
      </c>
      <c r="O39" s="34" t="s">
        <v>98</v>
      </c>
      <c r="P39" s="34" t="s">
        <v>11</v>
      </c>
      <c r="Q39" s="34">
        <v>4.0</v>
      </c>
      <c r="S39" s="40"/>
      <c r="U39" s="38" t="s">
        <v>3011</v>
      </c>
    </row>
    <row r="40" ht="41.0">
      <c r="A40" s="36">
        <v>46183</v>
      </c>
      <c r="B40" s="34" t="s">
        <v>34</v>
      </c>
      <c r="C40" s="34" t="s">
        <v>88</v>
      </c>
      <c r="D40" s="37" t="s">
        <v>3012</v>
      </c>
      <c r="E40" s="34" t="s">
        <v>2195</v>
      </c>
      <c r="F40" s="38" t="s">
        <v>3013</v>
      </c>
      <c r="G40" s="34" t="s">
        <v>3014</v>
      </c>
      <c r="I40" s="34" t="s">
        <v>860</v>
      </c>
      <c r="K40" s="34" t="s">
        <v>115</v>
      </c>
      <c r="L40" s="34" t="s">
        <v>681</v>
      </c>
      <c r="M40" s="34" t="s">
        <v>117</v>
      </c>
      <c r="N40" s="34" t="s">
        <v>71</v>
      </c>
      <c r="O40" s="34" t="s">
        <v>98</v>
      </c>
      <c r="P40" s="34" t="s">
        <v>11</v>
      </c>
      <c r="Q40" s="34" t="s">
        <v>2492</v>
      </c>
      <c r="S40" s="40" t="s">
        <v>294</v>
      </c>
      <c r="U40" s="38" t="s">
        <v>3015</v>
      </c>
    </row>
    <row r="41" ht="41.0">
      <c r="A41" s="36">
        <v>46183</v>
      </c>
      <c r="B41" s="34" t="s">
        <v>36</v>
      </c>
      <c r="C41" s="34" t="s">
        <v>108</v>
      </c>
      <c r="D41" s="37" t="s">
        <v>3016</v>
      </c>
      <c r="E41" s="34" t="s">
        <v>3017</v>
      </c>
      <c r="F41" s="38" t="s">
        <v>3018</v>
      </c>
      <c r="G41" s="34" t="s">
        <v>3019</v>
      </c>
      <c r="I41" s="34" t="s">
        <v>163</v>
      </c>
      <c r="J41" s="34" t="s">
        <v>3020</v>
      </c>
      <c r="K41" s="34" t="s">
        <v>184</v>
      </c>
      <c r="L41" s="38" t="s">
        <v>3021</v>
      </c>
      <c r="M41" s="34" t="s">
        <v>117</v>
      </c>
      <c r="N41" s="34" t="s">
        <v>71</v>
      </c>
      <c r="O41" s="34" t="s">
        <v>84</v>
      </c>
      <c r="P41" s="34" t="s">
        <v>11</v>
      </c>
      <c r="Q41" s="34" t="s">
        <v>3022</v>
      </c>
      <c r="S41" s="40" t="s">
        <v>99</v>
      </c>
      <c r="U41" s="38" t="s">
        <v>3023</v>
      </c>
    </row>
    <row r="42" ht="41.0" customFormat="1" s="34">
      <c r="A42" s="36">
        <v>46182</v>
      </c>
      <c r="B42" s="34" t="s">
        <v>34</v>
      </c>
      <c r="C42" s="34" t="s">
        <v>63</v>
      </c>
      <c r="D42" s="37" t="s">
        <v>3024</v>
      </c>
      <c r="E42" s="34" t="s">
        <v>130</v>
      </c>
      <c r="F42" s="34" t="s">
        <v>2531</v>
      </c>
      <c r="G42" s="34" t="s">
        <v>3025</v>
      </c>
      <c r="I42" s="34" t="s">
        <v>140</v>
      </c>
      <c r="K42" s="34" t="s">
        <v>173</v>
      </c>
      <c r="M42" s="34" t="s">
        <v>97</v>
      </c>
      <c r="N42" s="34" t="s">
        <v>309</v>
      </c>
      <c r="O42" s="34" t="s">
        <v>84</v>
      </c>
      <c r="P42" s="34" t="s">
        <v>11</v>
      </c>
      <c r="Q42" s="34">
        <v>100.0</v>
      </c>
      <c r="S42" s="40" t="s">
        <v>127</v>
      </c>
      <c r="U42" s="34" t="s">
        <v>3026</v>
      </c>
    </row>
    <row r="43" ht="27.0" customFormat="1" s="34">
      <c r="A43" s="36">
        <v>46182</v>
      </c>
      <c r="B43" s="34" t="s">
        <v>34</v>
      </c>
      <c r="C43" s="34" t="s">
        <v>63</v>
      </c>
      <c r="D43" s="37" t="s">
        <v>3027</v>
      </c>
      <c r="E43" s="34" t="s">
        <v>130</v>
      </c>
      <c r="F43" s="38" t="s">
        <v>3028</v>
      </c>
      <c r="G43" s="34" t="s">
        <v>3029</v>
      </c>
      <c r="K43" s="34" t="s">
        <v>173</v>
      </c>
      <c r="M43" s="34" t="s">
        <v>97</v>
      </c>
      <c r="N43" s="34" t="s">
        <v>71</v>
      </c>
      <c r="O43" s="34" t="s">
        <v>84</v>
      </c>
      <c r="P43" s="34" t="s">
        <v>11</v>
      </c>
      <c r="Q43" s="34">
        <v>10.0</v>
      </c>
      <c r="S43" s="40" t="s">
        <v>127</v>
      </c>
    </row>
    <row r="44" ht="27.0" customFormat="1" s="34">
      <c r="A44" s="36">
        <v>46183</v>
      </c>
      <c r="B44" s="34" t="s">
        <v>35</v>
      </c>
      <c r="C44" s="34" t="s">
        <v>76</v>
      </c>
      <c r="D44" s="37" t="s">
        <v>3030</v>
      </c>
      <c r="E44" s="34" t="s">
        <v>3031</v>
      </c>
      <c r="F44" s="38" t="s">
        <v>3032</v>
      </c>
      <c r="G44" s="34" t="s">
        <v>3033</v>
      </c>
      <c r="I44" s="34" t="s">
        <v>2997</v>
      </c>
      <c r="K44" s="34" t="s">
        <v>115</v>
      </c>
      <c r="M44" s="34" t="s">
        <v>117</v>
      </c>
      <c r="N44" s="34" t="s">
        <v>71</v>
      </c>
      <c r="O44" s="34" t="s">
        <v>98</v>
      </c>
      <c r="P44" s="34" t="s">
        <v>11</v>
      </c>
      <c r="Q44" s="43">
        <v>46298</v>
      </c>
      <c r="S44" s="40" t="s">
        <v>127</v>
      </c>
      <c r="U44" s="38" t="s">
        <v>3034</v>
      </c>
    </row>
    <row r="45" ht="41.0" customFormat="1" s="34">
      <c r="A45" s="36">
        <v>46184</v>
      </c>
      <c r="B45" s="34" t="s">
        <v>34</v>
      </c>
      <c r="C45" s="34" t="s">
        <v>88</v>
      </c>
      <c r="D45" s="37" t="s">
        <v>3035</v>
      </c>
      <c r="E45" s="34" t="s">
        <v>3036</v>
      </c>
      <c r="F45" s="38" t="s">
        <v>3037</v>
      </c>
      <c r="G45" s="34" t="s">
        <v>3038</v>
      </c>
      <c r="I45" s="34" t="s">
        <v>140</v>
      </c>
      <c r="J45" s="34" t="s">
        <v>3039</v>
      </c>
      <c r="K45" s="34" t="s">
        <v>115</v>
      </c>
      <c r="L45" s="38" t="s">
        <v>3040</v>
      </c>
      <c r="M45" s="34" t="s">
        <v>117</v>
      </c>
      <c r="N45" s="34" t="s">
        <v>71</v>
      </c>
      <c r="O45" s="34" t="s">
        <v>84</v>
      </c>
      <c r="P45" s="34" t="s">
        <v>9</v>
      </c>
      <c r="Q45" s="34">
        <v>15.0</v>
      </c>
      <c r="S45" s="40" t="s">
        <v>134</v>
      </c>
      <c r="U45" s="38" t="s">
        <v>3041</v>
      </c>
    </row>
    <row r="46" ht="96.0">
      <c r="A46" s="36">
        <v>46184</v>
      </c>
      <c r="B46" s="34" t="s">
        <v>36</v>
      </c>
      <c r="C46" s="34" t="s">
        <v>108</v>
      </c>
      <c r="D46" s="37" t="s">
        <v>3042</v>
      </c>
      <c r="E46" s="34" t="s">
        <v>893</v>
      </c>
      <c r="F46" s="38" t="s">
        <v>3043</v>
      </c>
      <c r="G46" s="34" t="s">
        <v>3044</v>
      </c>
      <c r="H46" s="34" t="s">
        <v>3045</v>
      </c>
      <c r="I46" s="34" t="s">
        <v>940</v>
      </c>
      <c r="K46" s="34" t="s">
        <v>69</v>
      </c>
      <c r="M46" s="34" t="s">
        <v>70</v>
      </c>
      <c r="N46" s="34" t="s">
        <v>71</v>
      </c>
      <c r="O46" s="34" t="s">
        <v>84</v>
      </c>
      <c r="P46" s="34" t="s">
        <v>11</v>
      </c>
      <c r="S46" s="40" t="s">
        <v>127</v>
      </c>
      <c r="U46" s="38" t="s">
        <v>3046</v>
      </c>
    </row>
    <row r="47" ht="27.0">
      <c r="A47" s="36">
        <v>46184</v>
      </c>
      <c r="B47" s="34" t="s">
        <v>34</v>
      </c>
      <c r="C47" s="34" t="s">
        <v>63</v>
      </c>
      <c r="D47" s="37" t="s">
        <v>3047</v>
      </c>
      <c r="E47" s="34" t="s">
        <v>517</v>
      </c>
      <c r="F47" s="38" t="s">
        <v>3048</v>
      </c>
      <c r="G47" s="34" t="s">
        <v>3049</v>
      </c>
      <c r="I47" s="34" t="s">
        <v>3050</v>
      </c>
      <c r="K47" s="34" t="s">
        <v>69</v>
      </c>
      <c r="M47" s="34" t="s">
        <v>474</v>
      </c>
      <c r="N47" s="34" t="s">
        <v>156</v>
      </c>
      <c r="O47" s="34" t="s">
        <v>157</v>
      </c>
      <c r="P47" s="34" t="s">
        <v>11</v>
      </c>
      <c r="Q47" s="34">
        <v>250.0</v>
      </c>
      <c r="S47" s="40" t="s">
        <v>3051</v>
      </c>
      <c r="U47" s="34" t="s">
        <v>668</v>
      </c>
    </row>
    <row r="48" ht="27.0">
      <c r="A48" s="36">
        <v>46184</v>
      </c>
      <c r="B48" s="34" t="s">
        <v>34</v>
      </c>
      <c r="C48" s="34" t="s">
        <v>63</v>
      </c>
      <c r="D48" s="37" t="s">
        <v>3052</v>
      </c>
      <c r="E48" s="34" t="s">
        <v>2195</v>
      </c>
      <c r="F48" s="38" t="s">
        <v>3053</v>
      </c>
      <c r="G48" s="80" t="s">
        <v>3054</v>
      </c>
      <c r="I48" s="34" t="s">
        <v>3055</v>
      </c>
      <c r="J48" s="34" t="s">
        <v>3056</v>
      </c>
      <c r="K48" s="34" t="s">
        <v>115</v>
      </c>
      <c r="M48" s="34" t="s">
        <v>97</v>
      </c>
      <c r="N48" s="34" t="s">
        <v>71</v>
      </c>
      <c r="O48" s="34" t="s">
        <v>98</v>
      </c>
      <c r="P48" s="34" t="s">
        <v>11</v>
      </c>
      <c r="Q48" s="34">
        <v>40.0</v>
      </c>
      <c r="S48" s="40" t="s">
        <v>134</v>
      </c>
      <c r="U48" s="38" t="s">
        <v>3057</v>
      </c>
    </row>
    <row r="49" ht="96.0">
      <c r="A49" s="36">
        <v>46184</v>
      </c>
      <c r="B49" s="34" t="s">
        <v>34</v>
      </c>
      <c r="C49" s="34" t="s">
        <v>63</v>
      </c>
      <c r="D49" s="34" t="s">
        <v>3058</v>
      </c>
      <c r="E49" s="34" t="s">
        <v>130</v>
      </c>
      <c r="F49" s="34" t="s">
        <v>3059</v>
      </c>
      <c r="G49" s="34" t="s">
        <v>3060</v>
      </c>
      <c r="H49" s="34" t="s">
        <v>3061</v>
      </c>
      <c r="I49" s="34" t="s">
        <v>140</v>
      </c>
      <c r="K49" s="34" t="s">
        <v>115</v>
      </c>
      <c r="M49" s="34" t="s">
        <v>474</v>
      </c>
      <c r="N49" s="34" t="s">
        <v>309</v>
      </c>
      <c r="O49" s="34" t="s">
        <v>72</v>
      </c>
      <c r="P49" s="34" t="s">
        <v>11</v>
      </c>
      <c r="Q49" s="34">
        <v>2000.0</v>
      </c>
      <c r="S49" s="40" t="s">
        <v>73</v>
      </c>
      <c r="U49" s="34" t="s">
        <v>668</v>
      </c>
    </row>
    <row r="50" ht="27.0">
      <c r="A50" s="36">
        <v>46184</v>
      </c>
      <c r="B50" s="34" t="s">
        <v>34</v>
      </c>
      <c r="C50" s="34" t="s">
        <v>108</v>
      </c>
      <c r="D50" s="37" t="s">
        <v>2807</v>
      </c>
      <c r="E50" s="34" t="s">
        <v>3062</v>
      </c>
      <c r="F50" s="38" t="s">
        <v>2808</v>
      </c>
      <c r="G50" s="34" t="s">
        <v>3063</v>
      </c>
      <c r="H50" s="34" t="s">
        <v>3064</v>
      </c>
      <c r="K50" s="34" t="s">
        <v>115</v>
      </c>
      <c r="M50" s="34" t="s">
        <v>83</v>
      </c>
      <c r="N50" s="34" t="s">
        <v>309</v>
      </c>
      <c r="O50" s="34" t="s">
        <v>84</v>
      </c>
      <c r="P50" s="34" t="s">
        <v>10</v>
      </c>
      <c r="S50" s="40"/>
      <c r="U50" s="34" t="s">
        <v>101</v>
      </c>
    </row>
    <row r="51" ht="55.0">
      <c r="A51" s="36">
        <v>46184</v>
      </c>
      <c r="B51" s="34" t="s">
        <v>36</v>
      </c>
      <c r="C51" s="34" t="s">
        <v>76</v>
      </c>
      <c r="D51" s="37" t="s">
        <v>3065</v>
      </c>
      <c r="E51" s="34" t="s">
        <v>3066</v>
      </c>
      <c r="F51" s="38" t="s">
        <v>3067</v>
      </c>
      <c r="G51" s="34" t="s">
        <v>3068</v>
      </c>
      <c r="I51" s="79" t="s">
        <v>2997</v>
      </c>
      <c r="K51" s="34" t="s">
        <v>115</v>
      </c>
      <c r="M51" s="34" t="s">
        <v>97</v>
      </c>
      <c r="N51" s="34" t="s">
        <v>71</v>
      </c>
      <c r="O51" s="34" t="s">
        <v>98</v>
      </c>
      <c r="P51" s="34" t="s">
        <v>11</v>
      </c>
      <c r="Q51" s="34" t="s">
        <v>3069</v>
      </c>
      <c r="S51" s="40" t="s">
        <v>134</v>
      </c>
      <c r="U51" s="38" t="s">
        <v>3070</v>
      </c>
    </row>
    <row r="52" ht="41.0">
      <c r="A52" s="36">
        <v>46185</v>
      </c>
      <c r="B52" s="34" t="s">
        <v>34</v>
      </c>
      <c r="C52" s="34" t="s">
        <v>63</v>
      </c>
      <c r="D52" s="37" t="s">
        <v>3071</v>
      </c>
      <c r="E52" s="34" t="s">
        <v>3072</v>
      </c>
      <c r="F52" s="38" t="s">
        <v>3073</v>
      </c>
      <c r="G52" s="34" t="s">
        <v>3074</v>
      </c>
      <c r="I52" s="34" t="s">
        <v>860</v>
      </c>
      <c r="K52" s="34" t="s">
        <v>115</v>
      </c>
      <c r="M52" s="34" t="s">
        <v>97</v>
      </c>
      <c r="N52" s="34" t="s">
        <v>71</v>
      </c>
      <c r="O52" s="34" t="s">
        <v>84</v>
      </c>
      <c r="P52" s="34" t="s">
        <v>11</v>
      </c>
      <c r="Q52" s="34">
        <v>4.0</v>
      </c>
      <c r="S52" s="40" t="s">
        <v>134</v>
      </c>
      <c r="U52" s="38" t="s">
        <v>3075</v>
      </c>
    </row>
    <row r="53" ht="82.0">
      <c r="A53" s="36">
        <v>46185</v>
      </c>
      <c r="B53" s="34" t="s">
        <v>34</v>
      </c>
      <c r="C53" s="34" t="s">
        <v>63</v>
      </c>
      <c r="D53" s="37" t="s">
        <v>2987</v>
      </c>
      <c r="E53" s="34" t="s">
        <v>1746</v>
      </c>
      <c r="F53" s="34" t="s">
        <v>2988</v>
      </c>
      <c r="G53" s="81" t="s">
        <v>3076</v>
      </c>
      <c r="H53" s="34" t="s">
        <v>3077</v>
      </c>
      <c r="K53" s="34" t="s">
        <v>267</v>
      </c>
      <c r="M53" s="34" t="s">
        <v>97</v>
      </c>
      <c r="N53" s="34" t="s">
        <v>71</v>
      </c>
      <c r="O53" s="34" t="s">
        <v>72</v>
      </c>
      <c r="P53" s="34" t="s">
        <v>11</v>
      </c>
      <c r="Q53" s="34">
        <v>50.0</v>
      </c>
      <c r="S53" s="40" t="s">
        <v>127</v>
      </c>
      <c r="U53" s="38" t="s">
        <v>3078</v>
      </c>
    </row>
    <row r="54" ht="55.0">
      <c r="A54" s="36">
        <v>46185</v>
      </c>
      <c r="B54" s="34" t="s">
        <v>34</v>
      </c>
      <c r="C54" s="34" t="s">
        <v>76</v>
      </c>
      <c r="D54" s="37" t="s">
        <v>3079</v>
      </c>
      <c r="E54" s="34" t="s">
        <v>893</v>
      </c>
      <c r="F54" s="38" t="s">
        <v>3080</v>
      </c>
      <c r="G54" s="81" t="s">
        <v>3081</v>
      </c>
      <c r="K54" s="34" t="s">
        <v>115</v>
      </c>
      <c r="M54" s="34" t="s">
        <v>97</v>
      </c>
      <c r="N54" s="34" t="s">
        <v>71</v>
      </c>
      <c r="O54" s="34" t="s">
        <v>893</v>
      </c>
      <c r="P54" s="34" t="s">
        <v>11</v>
      </c>
      <c r="S54" s="40" t="s">
        <v>127</v>
      </c>
    </row>
    <row r="55" ht="41.0">
      <c r="A55" s="36">
        <v>46188</v>
      </c>
      <c r="B55" s="34" t="s">
        <v>36</v>
      </c>
      <c r="C55" s="34" t="s">
        <v>63</v>
      </c>
      <c r="D55" s="37" t="s">
        <v>3082</v>
      </c>
      <c r="E55" s="34" t="s">
        <v>3083</v>
      </c>
      <c r="F55" s="38" t="s">
        <v>3084</v>
      </c>
      <c r="G55" s="34" t="s">
        <v>3085</v>
      </c>
      <c r="I55" s="34" t="s">
        <v>860</v>
      </c>
      <c r="K55" s="34" t="s">
        <v>115</v>
      </c>
      <c r="M55" s="34" t="s">
        <v>97</v>
      </c>
      <c r="N55" s="34" t="s">
        <v>71</v>
      </c>
      <c r="O55" s="34" t="s">
        <v>84</v>
      </c>
      <c r="P55" s="34" t="s">
        <v>11</v>
      </c>
      <c r="Q55" s="34">
        <v>20.0</v>
      </c>
      <c r="S55" s="40" t="s">
        <v>127</v>
      </c>
      <c r="U55" s="38" t="s">
        <v>3086</v>
      </c>
    </row>
    <row r="56" ht="15.0" customFormat="1" s="34">
      <c r="A56" s="36">
        <v>46189</v>
      </c>
      <c r="B56" s="34" t="s">
        <v>34</v>
      </c>
      <c r="C56" s="34" t="s">
        <v>88</v>
      </c>
      <c r="D56" s="37" t="s">
        <v>2143</v>
      </c>
      <c r="E56" s="34" t="s">
        <v>893</v>
      </c>
      <c r="F56" s="38" t="s">
        <v>2144</v>
      </c>
      <c r="G56" s="34" t="s">
        <v>3087</v>
      </c>
      <c r="I56" s="34" t="s">
        <v>266</v>
      </c>
      <c r="K56" s="34" t="s">
        <v>69</v>
      </c>
      <c r="L56" s="34" t="s">
        <v>681</v>
      </c>
      <c r="M56" s="34" t="s">
        <v>97</v>
      </c>
      <c r="N56" s="34" t="s">
        <v>882</v>
      </c>
      <c r="O56" s="34" t="s">
        <v>893</v>
      </c>
      <c r="P56" s="34" t="s">
        <v>893</v>
      </c>
      <c r="S56" s="40"/>
    </row>
    <row r="57" ht="41.0">
      <c r="A57" s="36">
        <v>46189</v>
      </c>
      <c r="B57" s="34" t="s">
        <v>34</v>
      </c>
      <c r="C57" s="34" t="s">
        <v>108</v>
      </c>
      <c r="D57" s="37" t="s">
        <v>3088</v>
      </c>
      <c r="E57" s="34" t="s">
        <v>3089</v>
      </c>
      <c r="F57" s="38" t="s">
        <v>3090</v>
      </c>
      <c r="G57" s="34" t="s">
        <v>3091</v>
      </c>
      <c r="H57" s="34" t="s">
        <v>3092</v>
      </c>
      <c r="I57" s="34" t="s">
        <v>3093</v>
      </c>
      <c r="J57" s="34" t="s">
        <v>3094</v>
      </c>
      <c r="K57" s="34" t="s">
        <v>184</v>
      </c>
      <c r="L57" s="38" t="s">
        <v>3095</v>
      </c>
      <c r="M57" s="34" t="s">
        <v>117</v>
      </c>
      <c r="N57" s="34" t="s">
        <v>71</v>
      </c>
      <c r="O57" s="34" t="s">
        <v>84</v>
      </c>
      <c r="P57" s="34" t="s">
        <v>11</v>
      </c>
      <c r="Q57" s="34">
        <v>40.0</v>
      </c>
      <c r="S57" s="40"/>
      <c r="U57" s="38" t="s">
        <v>3096</v>
      </c>
    </row>
    <row r="58" customFormat="1" s="34">
      <c r="A58" s="36"/>
      <c r="B58" s="34"/>
      <c r="C58" s="34"/>
      <c r="D58" s="37"/>
      <c r="K58" s="34"/>
      <c r="M58" s="34"/>
      <c r="N58" s="34"/>
      <c r="O58" s="34"/>
      <c r="P58" s="34"/>
      <c r="S58" s="40"/>
    </row>
    <row r="59" customFormat="1" s="34">
      <c r="A59" s="36"/>
      <c r="B59" s="34"/>
      <c r="C59" s="34"/>
      <c r="D59" s="37"/>
      <c r="K59" s="34"/>
      <c r="M59" s="34"/>
      <c r="N59" s="34"/>
      <c r="O59" s="34"/>
      <c r="P59" s="34"/>
      <c r="S59" s="40"/>
    </row>
    <row r="60" customFormat="1" s="34">
      <c r="A60" s="36"/>
      <c r="B60" s="34"/>
      <c r="C60" s="34"/>
      <c r="D60" s="37"/>
      <c r="K60" s="34"/>
      <c r="M60" s="34"/>
      <c r="N60" s="34"/>
      <c r="O60" s="34"/>
      <c r="P60" s="34"/>
      <c r="S60" s="40"/>
    </row>
    <row r="61" customFormat="1" s="34">
      <c r="A61" s="36"/>
      <c r="B61" s="34"/>
      <c r="C61" s="34"/>
      <c r="D61" s="37"/>
      <c r="K61" s="34"/>
      <c r="M61" s="34"/>
      <c r="N61" s="34"/>
      <c r="O61" s="34"/>
      <c r="P61" s="34"/>
      <c r="S61" s="40"/>
    </row>
    <row r="62" customFormat="1" s="34">
      <c r="A62" s="36"/>
      <c r="B62" s="34"/>
      <c r="C62" s="34"/>
      <c r="D62" s="37"/>
      <c r="K62" s="34"/>
      <c r="M62" s="34"/>
      <c r="N62" s="34"/>
      <c r="O62" s="34"/>
      <c r="P62" s="34"/>
      <c r="S62" s="40"/>
    </row>
    <row r="63" customFormat="1" s="34">
      <c r="A63" s="36"/>
      <c r="B63" s="34"/>
      <c r="C63" s="34"/>
      <c r="D63" s="37"/>
      <c r="K63" s="34"/>
      <c r="M63" s="34"/>
      <c r="N63" s="34"/>
      <c r="O63" s="34"/>
      <c r="P63" s="34"/>
      <c r="S63" s="40"/>
    </row>
    <row r="64" customFormat="1" s="34">
      <c r="A64" s="36"/>
      <c r="B64" s="34"/>
      <c r="C64" s="34"/>
      <c r="D64" s="37"/>
      <c r="K64" s="34"/>
      <c r="M64" s="34"/>
      <c r="N64" s="34"/>
      <c r="O64" s="34"/>
      <c r="P64" s="34"/>
      <c r="S64" s="40"/>
    </row>
    <row r="65" customFormat="1" s="34">
      <c r="A65" s="36"/>
      <c r="B65" s="34"/>
      <c r="C65" s="34"/>
      <c r="D65" s="37"/>
      <c r="K65" s="34"/>
      <c r="M65" s="34"/>
      <c r="N65" s="34"/>
      <c r="O65" s="34"/>
      <c r="P65" s="34"/>
      <c r="S65" s="40"/>
    </row>
    <row r="66" customFormat="1" s="34">
      <c r="A66" s="36"/>
      <c r="B66" s="34"/>
      <c r="C66" s="34"/>
      <c r="D66" s="37"/>
      <c r="K66" s="34"/>
      <c r="M66" s="34"/>
      <c r="N66" s="34"/>
      <c r="O66" s="34"/>
      <c r="P66" s="34"/>
      <c r="S66" s="40"/>
    </row>
    <row r="67" customFormat="1" s="34">
      <c r="A67" s="36"/>
      <c r="B67" s="34"/>
      <c r="C67" s="34"/>
      <c r="D67" s="37"/>
      <c r="K67" s="34"/>
      <c r="M67" s="34"/>
      <c r="N67" s="34"/>
      <c r="O67" s="34"/>
      <c r="P67" s="34"/>
      <c r="S67" s="40"/>
    </row>
    <row r="68" customFormat="1" s="34">
      <c r="A68" s="36"/>
      <c r="B68" s="34"/>
      <c r="C68" s="34"/>
      <c r="D68" s="37"/>
      <c r="K68" s="34"/>
      <c r="M68" s="34"/>
      <c r="N68" s="34"/>
      <c r="O68" s="34"/>
      <c r="P68" s="34"/>
      <c r="S68" s="40"/>
    </row>
    <row r="69" customFormat="1" s="34">
      <c r="A69" s="36"/>
      <c r="B69" s="34"/>
      <c r="C69" s="34"/>
      <c r="D69" s="37"/>
      <c r="K69" s="34"/>
      <c r="M69" s="34"/>
      <c r="N69" s="34"/>
      <c r="O69" s="34"/>
      <c r="P69" s="34"/>
      <c r="S69" s="40"/>
    </row>
    <row r="70" customFormat="1" s="34">
      <c r="A70" s="36"/>
      <c r="B70" s="34"/>
      <c r="C70" s="34"/>
      <c r="D70" s="37"/>
      <c r="K70" s="34"/>
      <c r="M70" s="34"/>
      <c r="N70" s="34"/>
      <c r="O70" s="34"/>
      <c r="P70" s="34"/>
      <c r="S70" s="40"/>
    </row>
    <row r="71" customFormat="1" s="34">
      <c r="A71" s="36"/>
      <c r="B71" s="34"/>
      <c r="C71" s="34"/>
      <c r="D71" s="37"/>
      <c r="K71" s="34"/>
      <c r="M71" s="34"/>
      <c r="N71" s="34"/>
      <c r="O71" s="34"/>
      <c r="P71" s="34"/>
      <c r="S71" s="40"/>
    </row>
    <row r="72" customFormat="1" s="34">
      <c r="A72" s="36"/>
      <c r="B72" s="34"/>
      <c r="C72" s="34"/>
      <c r="D72" s="37"/>
      <c r="K72" s="34"/>
      <c r="M72" s="34"/>
      <c r="N72" s="34"/>
      <c r="O72" s="34"/>
      <c r="P72" s="34"/>
      <c r="S72" s="40"/>
    </row>
    <row r="73" customFormat="1" s="34">
      <c r="A73" s="36"/>
      <c r="B73" s="34"/>
      <c r="C73" s="34"/>
      <c r="D73" s="37"/>
      <c r="K73" s="34"/>
      <c r="M73" s="34"/>
      <c r="N73" s="34"/>
      <c r="O73" s="34"/>
      <c r="P73" s="34"/>
      <c r="S73" s="40"/>
    </row>
    <row r="74" customFormat="1" s="34">
      <c r="A74" s="36"/>
      <c r="B74" s="34"/>
      <c r="C74" s="34"/>
      <c r="D74" s="37"/>
      <c r="K74" s="34"/>
      <c r="M74" s="34"/>
      <c r="N74" s="34"/>
      <c r="O74" s="34"/>
      <c r="P74" s="34"/>
      <c r="S74" s="40"/>
    </row>
    <row r="75" customFormat="1" s="34">
      <c r="A75" s="36"/>
      <c r="B75" s="34"/>
      <c r="C75" s="34"/>
      <c r="D75" s="37"/>
      <c r="K75" s="34"/>
      <c r="M75" s="34"/>
      <c r="N75" s="34"/>
      <c r="O75" s="34"/>
      <c r="P75" s="34"/>
      <c r="S75" s="40"/>
    </row>
    <row r="76" customFormat="1" s="34">
      <c r="A76" s="36"/>
      <c r="B76" s="34"/>
      <c r="C76" s="34"/>
      <c r="D76" s="37"/>
      <c r="K76" s="34"/>
      <c r="M76" s="34"/>
      <c r="N76" s="34"/>
      <c r="O76" s="34"/>
      <c r="P76" s="34"/>
      <c r="S76" s="40"/>
    </row>
    <row r="77" customFormat="1" s="34">
      <c r="A77" s="36"/>
      <c r="B77" s="34"/>
      <c r="C77" s="34"/>
      <c r="D77" s="37"/>
      <c r="K77" s="34"/>
      <c r="M77" s="34"/>
      <c r="N77" s="34"/>
      <c r="O77" s="34"/>
      <c r="P77" s="34"/>
      <c r="S77" s="40"/>
    </row>
    <row r="78" customFormat="1" s="34">
      <c r="A78" s="36"/>
      <c r="B78" s="34"/>
      <c r="C78" s="34"/>
      <c r="D78" s="37"/>
      <c r="K78" s="34"/>
      <c r="M78" s="34"/>
      <c r="N78" s="34"/>
      <c r="O78" s="34"/>
      <c r="P78" s="34"/>
      <c r="S78" s="40"/>
    </row>
    <row r="79" customFormat="1" s="34">
      <c r="A79" s="36"/>
      <c r="B79" s="34"/>
      <c r="C79" s="34"/>
      <c r="D79" s="37"/>
      <c r="K79" s="34"/>
      <c r="M79" s="34"/>
      <c r="N79" s="34"/>
      <c r="O79" s="34"/>
      <c r="P79" s="34"/>
      <c r="S79" s="40"/>
    </row>
    <row r="80" customFormat="1" s="34">
      <c r="A80" s="36"/>
      <c r="B80" s="34"/>
      <c r="C80" s="34"/>
      <c r="D80" s="37"/>
      <c r="K80" s="34"/>
      <c r="M80" s="34"/>
      <c r="N80" s="34"/>
      <c r="O80" s="34"/>
      <c r="P80" s="34"/>
      <c r="S80" s="40"/>
    </row>
    <row r="81" customFormat="1" s="34">
      <c r="A81" s="36"/>
      <c r="B81" s="34"/>
      <c r="C81" s="34"/>
      <c r="D81" s="37"/>
      <c r="K81" s="34"/>
      <c r="M81" s="34"/>
      <c r="N81" s="34"/>
      <c r="O81" s="34"/>
      <c r="P81" s="34"/>
      <c r="S81" s="40"/>
    </row>
    <row r="82" customFormat="1" s="34">
      <c r="A82" s="36"/>
      <c r="B82" s="34"/>
      <c r="C82" s="34"/>
      <c r="D82" s="37"/>
      <c r="K82" s="34"/>
      <c r="M82" s="34"/>
      <c r="N82" s="34"/>
      <c r="O82" s="34"/>
      <c r="P82" s="34"/>
      <c r="S82" s="40"/>
    </row>
    <row r="83" customFormat="1" s="34">
      <c r="A83" s="36"/>
      <c r="B83" s="34"/>
      <c r="C83" s="34"/>
      <c r="D83" s="37"/>
      <c r="K83" s="34"/>
      <c r="M83" s="34"/>
      <c r="N83" s="34"/>
      <c r="O83" s="34"/>
      <c r="P83" s="34"/>
      <c r="S83" s="40"/>
    </row>
    <row r="84" customFormat="1" s="34">
      <c r="A84" s="36"/>
      <c r="B84" s="34"/>
      <c r="C84" s="34"/>
      <c r="D84" s="37"/>
      <c r="K84" s="34"/>
      <c r="M84" s="34"/>
      <c r="N84" s="34"/>
      <c r="O84" s="34"/>
      <c r="P84" s="34"/>
      <c r="S84" s="40"/>
    </row>
    <row r="85" customFormat="1" s="34">
      <c r="A85" s="36"/>
      <c r="B85" s="34"/>
      <c r="C85" s="34"/>
      <c r="D85" s="37"/>
      <c r="K85" s="34"/>
      <c r="M85" s="34"/>
      <c r="N85" s="34"/>
      <c r="O85" s="34"/>
      <c r="P85" s="34"/>
      <c r="S85" s="40"/>
    </row>
    <row r="86" customFormat="1" s="34">
      <c r="A86" s="36"/>
      <c r="B86" s="34"/>
      <c r="C86" s="34"/>
      <c r="D86" s="37"/>
      <c r="K86" s="34"/>
      <c r="M86" s="34"/>
      <c r="N86" s="34"/>
      <c r="O86" s="34"/>
      <c r="P86" s="34"/>
      <c r="S86" s="40"/>
    </row>
    <row r="87" customFormat="1" s="34">
      <c r="A87" s="36"/>
      <c r="B87" s="34"/>
      <c r="C87" s="34"/>
      <c r="D87" s="37"/>
      <c r="K87" s="34"/>
      <c r="M87" s="34"/>
      <c r="N87" s="34"/>
      <c r="O87" s="34"/>
      <c r="P87" s="34"/>
      <c r="S87" s="40"/>
    </row>
    <row r="88" customFormat="1" s="34">
      <c r="A88" s="36"/>
      <c r="B88" s="34"/>
      <c r="C88" s="34"/>
      <c r="D88" s="37"/>
      <c r="K88" s="34"/>
      <c r="M88" s="34"/>
      <c r="N88" s="34"/>
      <c r="O88" s="34"/>
      <c r="P88" s="34"/>
      <c r="S88" s="40"/>
    </row>
    <row r="89" customFormat="1" s="34">
      <c r="A89" s="36"/>
      <c r="B89" s="34"/>
      <c r="C89" s="34"/>
      <c r="D89" s="37"/>
      <c r="K89" s="34"/>
      <c r="M89" s="34"/>
      <c r="N89" s="34"/>
      <c r="O89" s="34"/>
      <c r="P89" s="34"/>
      <c r="S89" s="40"/>
    </row>
    <row r="90" customFormat="1" s="34">
      <c r="A90" s="36"/>
      <c r="B90" s="34"/>
      <c r="C90" s="34"/>
      <c r="D90" s="37"/>
      <c r="K90" s="34"/>
      <c r="M90" s="34"/>
      <c r="N90" s="34"/>
      <c r="O90" s="34"/>
      <c r="P90" s="34"/>
      <c r="S90" s="40"/>
    </row>
    <row r="91" customFormat="1" s="34">
      <c r="A91" s="36"/>
      <c r="B91" s="34"/>
      <c r="C91" s="34"/>
      <c r="D91" s="37"/>
      <c r="K91" s="34"/>
      <c r="M91" s="34"/>
      <c r="N91" s="34"/>
      <c r="O91" s="34"/>
      <c r="P91" s="34"/>
      <c r="S91" s="40"/>
    </row>
    <row r="92" customFormat="1" s="34">
      <c r="A92" s="36"/>
      <c r="B92" s="34"/>
      <c r="C92" s="34"/>
      <c r="D92" s="37"/>
      <c r="K92" s="34"/>
      <c r="M92" s="34"/>
      <c r="N92" s="34"/>
      <c r="O92" s="34"/>
      <c r="P92" s="34"/>
      <c r="S92" s="40"/>
    </row>
    <row r="93" customFormat="1" s="34">
      <c r="A93" s="36"/>
      <c r="B93" s="34"/>
      <c r="C93" s="34"/>
      <c r="D93" s="37"/>
      <c r="K93" s="34"/>
      <c r="M93" s="34"/>
      <c r="N93" s="34"/>
      <c r="O93" s="34"/>
      <c r="P93" s="34"/>
      <c r="S93" s="40"/>
    </row>
    <row r="94" customFormat="1" s="34">
      <c r="A94" s="36"/>
      <c r="B94" s="34"/>
      <c r="C94" s="34"/>
      <c r="D94" s="37"/>
      <c r="K94" s="34"/>
      <c r="M94" s="34"/>
      <c r="N94" s="34"/>
      <c r="O94" s="34"/>
      <c r="P94" s="34"/>
      <c r="S94" s="40"/>
    </row>
    <row r="95" customFormat="1" s="34">
      <c r="A95" s="36"/>
      <c r="B95" s="34"/>
      <c r="C95" s="34"/>
      <c r="D95" s="37"/>
      <c r="K95" s="34"/>
      <c r="M95" s="34"/>
      <c r="N95" s="34"/>
      <c r="O95" s="34"/>
      <c r="P95" s="34"/>
      <c r="S95" s="40"/>
    </row>
    <row r="96" customFormat="1" s="34"/>
    <row r="97" customFormat="1" s="34"/>
    <row r="98" customFormat="1" s="34"/>
    <row r="99" customFormat="1" s="34"/>
    <row r="100" customFormat="1" s="34"/>
    <row r="101" customFormat="1" s="34"/>
    <row r="102" customFormat="1" s="34"/>
    <row r="103" customFormat="1" s="34"/>
    <row r="104" customFormat="1" s="34"/>
    <row r="105" customFormat="1" s="34"/>
    <row r="106" customFormat="1" s="34"/>
    <row r="107" customFormat="1" s="34"/>
    <row r="108" customFormat="1" s="34"/>
    <row r="109" customFormat="1" s="34"/>
    <row r="110" customFormat="1" s="34"/>
    <row r="111" customFormat="1" s="34"/>
    <row r="112" customFormat="1" s="34"/>
    <row r="113" customFormat="1" s="34"/>
    <row r="114" customFormat="1" s="34"/>
    <row r="115" customFormat="1" s="34"/>
    <row r="116" customFormat="1" s="34"/>
    <row r="117" customFormat="1" s="34"/>
    <row r="118" customFormat="1" s="34"/>
    <row r="119" customFormat="1" s="34"/>
    <row r="120" customFormat="1" s="34"/>
    <row r="121" customFormat="1" s="34"/>
    <row r="122" customFormat="1" s="34"/>
    <row r="123" customFormat="1" s="34"/>
    <row r="124" customFormat="1" s="34"/>
    <row r="125" customFormat="1" s="34"/>
    <row r="126" customFormat="1" s="34"/>
    <row r="127" customFormat="1" s="34"/>
    <row r="128" customFormat="1" s="34"/>
    <row r="129" customFormat="1" s="34"/>
    <row r="130" customFormat="1" s="34"/>
    <row r="131" customFormat="1" s="34"/>
    <row r="132" customFormat="1" s="34"/>
    <row r="133" customFormat="1" s="34"/>
    <row r="134" customFormat="1" s="34"/>
    <row r="135" customFormat="1" s="34"/>
    <row r="136" customFormat="1" s="34"/>
    <row r="137" customFormat="1" s="34"/>
    <row r="138" customFormat="1" s="34"/>
    <row r="139" customFormat="1" s="34"/>
    <row r="140" customFormat="1" s="34"/>
    <row r="141" customFormat="1" s="34"/>
    <row r="142" customFormat="1" s="34"/>
    <row r="143" customFormat="1" s="34"/>
    <row r="144" customFormat="1" s="34"/>
    <row r="145" customFormat="1" s="34"/>
    <row r="146" customFormat="1" s="34"/>
    <row r="147" customFormat="1" s="34"/>
    <row r="148" customFormat="1" s="34"/>
    <row r="149" customFormat="1" s="34"/>
    <row r="150" customFormat="1" s="34"/>
    <row r="151" customFormat="1" s="34"/>
    <row r="152" customFormat="1" s="34"/>
    <row r="153" customFormat="1" s="34"/>
    <row r="154" customFormat="1" s="34"/>
    <row r="155" customFormat="1" s="34"/>
    <row r="156" customFormat="1" s="34"/>
    <row r="157" customFormat="1" s="34"/>
    <row r="158" customFormat="1" s="34"/>
    <row r="159" customFormat="1" s="34"/>
    <row r="160" customFormat="1" s="34"/>
    <row r="161" customFormat="1" s="34"/>
    <row r="162" customFormat="1" s="34"/>
    <row r="163" customFormat="1" s="34"/>
    <row r="164" customFormat="1" s="34"/>
    <row r="165" customFormat="1" s="34"/>
    <row r="166" customFormat="1" s="34"/>
    <row r="167" customFormat="1" s="34"/>
    <row r="168" customFormat="1" s="34"/>
    <row r="169" customFormat="1" s="34"/>
    <row r="170" customFormat="1" s="34"/>
    <row r="171" customFormat="1" s="34"/>
    <row r="172" customFormat="1" s="34"/>
    <row r="173" customFormat="1" s="34"/>
    <row r="174" customFormat="1" s="34"/>
    <row r="175" customFormat="1" s="34"/>
    <row r="176" customFormat="1" s="34"/>
    <row r="177" customFormat="1" s="34"/>
    <row r="178" customFormat="1" s="34"/>
    <row r="179" customFormat="1" s="34"/>
    <row r="180" customFormat="1" s="34"/>
    <row r="181" customFormat="1" s="34"/>
    <row r="182" customFormat="1" s="34"/>
    <row r="183" customFormat="1" s="34"/>
    <row r="184" customFormat="1" s="34"/>
    <row r="185" customFormat="1" s="34"/>
    <row r="186" customFormat="1" s="34"/>
    <row r="187" customFormat="1" s="34"/>
    <row r="188" customFormat="1" s="34"/>
    <row r="189" customFormat="1" s="34"/>
    <row r="190" customFormat="1" s="34"/>
    <row r="191" customFormat="1" s="34"/>
    <row r="192" customFormat="1" s="34"/>
    <row r="193" customFormat="1" s="34"/>
    <row r="194" customFormat="1" s="34"/>
    <row r="195" customFormat="1" s="34"/>
    <row r="196" customFormat="1" s="34"/>
    <row r="197" customFormat="1" s="34"/>
    <row r="198" customFormat="1" s="34"/>
    <row r="199" customFormat="1" s="34"/>
    <row r="200" customFormat="1" s="34"/>
    <row r="201" customFormat="1" s="34"/>
    <row r="202" customFormat="1" s="34"/>
    <row r="203" customFormat="1" s="34"/>
    <row r="204" customFormat="1" s="34"/>
    <row r="205" customFormat="1" s="34"/>
    <row r="206" customFormat="1" s="34"/>
    <row r="207" customFormat="1" s="34"/>
    <row r="208" customFormat="1" s="34"/>
    <row r="209" customFormat="1" s="34"/>
    <row r="210" customFormat="1" s="34"/>
    <row r="211" customFormat="1" s="34"/>
    <row r="212" customFormat="1" s="34"/>
    <row r="213" customFormat="1" s="34"/>
    <row r="214" customFormat="1" s="34"/>
    <row r="215" customFormat="1" s="34"/>
    <row r="216" customFormat="1" s="34"/>
    <row r="217" customFormat="1" s="34"/>
    <row r="218" customFormat="1" s="34"/>
    <row r="219" customFormat="1" s="34"/>
    <row r="220" customFormat="1" s="34"/>
    <row r="221" customFormat="1" s="34"/>
    <row r="222" customFormat="1" s="34"/>
    <row r="223" customFormat="1" s="34"/>
    <row r="224" customFormat="1" s="34"/>
    <row r="225" customFormat="1" s="34"/>
    <row r="226" customFormat="1" s="34"/>
    <row r="227" customFormat="1" s="34"/>
    <row r="228" customFormat="1" s="34"/>
    <row r="229" customFormat="1" s="34"/>
    <row r="230" customFormat="1" s="34"/>
    <row r="231" customFormat="1" s="34"/>
    <row r="232" customFormat="1" s="34"/>
    <row r="233" customFormat="1" s="34"/>
    <row r="234" customFormat="1" s="34"/>
    <row r="235" customFormat="1" s="34"/>
    <row r="236" customFormat="1" s="34"/>
    <row r="237" customFormat="1" s="34"/>
    <row r="238" customFormat="1" s="34"/>
    <row r="239" customFormat="1" s="34"/>
    <row r="240" customFormat="1" s="34"/>
    <row r="241" customFormat="1" s="34"/>
    <row r="242" customFormat="1" s="34"/>
    <row r="243" customFormat="1" s="34"/>
    <row r="244" customFormat="1" s="34"/>
    <row r="245" customFormat="1" s="34"/>
    <row r="246" customFormat="1" s="34"/>
    <row r="247" customFormat="1" s="34"/>
    <row r="248" customFormat="1" s="34"/>
    <row r="249" customFormat="1" s="34"/>
    <row r="250" customFormat="1" s="34"/>
    <row r="251" customFormat="1" s="34"/>
    <row r="252" customFormat="1" s="34"/>
    <row r="253" customFormat="1" s="34"/>
    <row r="254" customFormat="1" s="34"/>
    <row r="255" customFormat="1" s="34"/>
    <row r="256" customFormat="1" s="34"/>
    <row r="257" customFormat="1" s="34"/>
    <row r="258" customFormat="1" s="34"/>
    <row r="259" customFormat="1" s="34"/>
    <row r="260" customFormat="1" s="34"/>
    <row r="261" customFormat="1" s="34"/>
    <row r="262" customFormat="1" s="34"/>
    <row r="263" customFormat="1" s="34"/>
    <row r="264" customFormat="1" s="34"/>
    <row r="265" customFormat="1" s="34"/>
    <row r="266" customFormat="1" s="34"/>
    <row r="267" customFormat="1" s="34"/>
    <row r="268" customFormat="1" s="34"/>
    <row r="269" customFormat="1" s="34"/>
    <row r="270" customFormat="1" s="34"/>
    <row r="271" customFormat="1" s="34"/>
    <row r="272" customFormat="1" s="34"/>
    <row r="273" customFormat="1" s="34"/>
    <row r="274" customFormat="1" s="34"/>
    <row r="275" customFormat="1" s="34"/>
    <row r="276" customFormat="1" s="34"/>
    <row r="277" customFormat="1" s="34"/>
    <row r="278" customFormat="1" s="34"/>
    <row r="279" customFormat="1" s="34"/>
    <row r="280" customFormat="1" s="34"/>
    <row r="281" customFormat="1" s="34"/>
    <row r="282" customFormat="1" s="34"/>
    <row r="283" customFormat="1" s="34"/>
    <row r="284" customFormat="1" s="34"/>
    <row r="285" customFormat="1" s="34"/>
    <row r="286" customFormat="1" s="34"/>
    <row r="287" customFormat="1" s="34"/>
    <row r="288" customFormat="1" s="34"/>
    <row r="289" customFormat="1" s="34"/>
    <row r="290" customFormat="1" s="34"/>
    <row r="291" customFormat="1" s="34"/>
    <row r="292" customFormat="1" s="34"/>
    <row r="293" customFormat="1" s="34"/>
    <row r="294" customFormat="1" s="34"/>
    <row r="295" customFormat="1" s="34"/>
    <row r="296" customFormat="1" s="34"/>
    <row r="297" customFormat="1" s="34"/>
    <row r="298" customFormat="1" s="34"/>
    <row r="299" customFormat="1" s="34"/>
    <row r="300" customFormat="1" s="34"/>
    <row r="301" customFormat="1" s="34"/>
    <row r="302" customFormat="1" s="34"/>
    <row r="303" customFormat="1" s="34"/>
    <row r="304" customFormat="1" s="34"/>
    <row r="305" customFormat="1" s="34"/>
    <row r="306" customFormat="1" s="34"/>
    <row r="307" customFormat="1" s="34"/>
    <row r="308" customFormat="1" s="34"/>
    <row r="309" customFormat="1" s="34"/>
    <row r="310" customFormat="1" s="34"/>
    <row r="311" customFormat="1" s="34"/>
    <row r="312" customFormat="1" s="34"/>
    <row r="313" customFormat="1" s="34"/>
    <row r="314" customFormat="1" s="34"/>
    <row r="315" customFormat="1" s="34"/>
    <row r="316" customFormat="1" s="34"/>
    <row r="317" customFormat="1" s="34"/>
    <row r="318" customFormat="1" s="34"/>
    <row r="319" customFormat="1" s="34"/>
    <row r="320" customFormat="1" s="34"/>
    <row r="321" customFormat="1" s="34"/>
    <row r="322" customFormat="1" s="34"/>
    <row r="323" customFormat="1" s="34"/>
    <row r="324" customFormat="1" s="34"/>
    <row r="325" customFormat="1" s="34"/>
    <row r="326" customFormat="1" s="34"/>
    <row r="327" customFormat="1" s="34"/>
    <row r="328" customFormat="1" s="34"/>
    <row r="329" customFormat="1" s="34"/>
    <row r="330" customFormat="1" s="34"/>
    <row r="331" customFormat="1" s="34"/>
    <row r="332" customFormat="1" s="34"/>
    <row r="333" customFormat="1" s="34"/>
    <row r="334" customFormat="1" s="34"/>
    <row r="335" customFormat="1" s="34"/>
    <row r="336" customFormat="1" s="34"/>
    <row r="337" customFormat="1" s="34"/>
    <row r="338" customFormat="1" s="34"/>
    <row r="339" customFormat="1" s="34"/>
    <row r="340" customFormat="1" s="34"/>
    <row r="341" customFormat="1" s="34"/>
    <row r="342" customFormat="1" s="34"/>
    <row r="343" customFormat="1" s="34"/>
    <row r="344" customFormat="1" s="34"/>
    <row r="345" customFormat="1" s="34"/>
    <row r="346" customFormat="1" s="34"/>
    <row r="347" customFormat="1" s="34"/>
    <row r="348" customFormat="1" s="34"/>
    <row r="349" customFormat="1" s="34"/>
    <row r="350" customFormat="1" s="34"/>
    <row r="351" customFormat="1" s="34"/>
    <row r="352" customFormat="1" s="34"/>
    <row r="353" customFormat="1" s="34"/>
    <row r="354" customFormat="1" s="34"/>
    <row r="355" customFormat="1" s="34"/>
    <row r="356" customFormat="1" s="34"/>
    <row r="357" customFormat="1" s="34"/>
    <row r="358" customFormat="1" s="34"/>
    <row r="359" customFormat="1" s="34"/>
    <row r="360" customFormat="1" s="34"/>
    <row r="361" customFormat="1" s="34"/>
    <row r="362" customFormat="1" s="34"/>
    <row r="363" customFormat="1" s="34"/>
    <row r="364" customFormat="1" s="34"/>
    <row r="365" customFormat="1" s="34"/>
    <row r="366" customFormat="1" s="34"/>
    <row r="367" customFormat="1" s="34"/>
    <row r="368" customFormat="1" s="34"/>
    <row r="369" customFormat="1" s="34"/>
    <row r="370" customFormat="1" s="34"/>
    <row r="371" customFormat="1" s="34"/>
    <row r="372" customFormat="1" s="34"/>
    <row r="373" customFormat="1" s="34"/>
    <row r="374" customFormat="1" s="34"/>
    <row r="375" customFormat="1" s="34"/>
    <row r="376" customFormat="1" s="34"/>
    <row r="377" customFormat="1" s="34"/>
    <row r="378" customFormat="1" s="34"/>
    <row r="379" customFormat="1" s="34"/>
    <row r="380" customFormat="1" s="34"/>
    <row r="381" customFormat="1" s="34"/>
    <row r="382" customFormat="1" s="34"/>
    <row r="383" customFormat="1" s="34"/>
    <row r="384" customFormat="1" s="34"/>
    <row r="385" customFormat="1" s="34"/>
    <row r="386" customFormat="1" s="34"/>
    <row r="387" customFormat="1" s="34"/>
    <row r="388" customFormat="1" s="34"/>
    <row r="389" customFormat="1" s="34"/>
    <row r="390" customFormat="1" s="34"/>
    <row r="391" customFormat="1" s="34"/>
    <row r="392" customFormat="1" s="34"/>
    <row r="393" customFormat="1" s="34"/>
    <row r="394" customFormat="1" s="34"/>
    <row r="395" customFormat="1" s="34"/>
    <row r="396" customFormat="1" s="34"/>
    <row r="397" customFormat="1" s="34"/>
    <row r="398" customFormat="1" s="34"/>
    <row r="399" customFormat="1" s="34"/>
    <row r="400" customFormat="1" s="34"/>
    <row r="401" customFormat="1" s="34"/>
    <row r="402" customFormat="1" s="34"/>
    <row r="403" customFormat="1" s="34"/>
    <row r="404" customFormat="1" s="34"/>
    <row r="405" customFormat="1" s="34"/>
    <row r="406" customFormat="1" s="34"/>
    <row r="407" customFormat="1" s="34"/>
    <row r="408" customFormat="1" s="34"/>
    <row r="409" customFormat="1" s="34"/>
    <row r="410" customFormat="1" s="34"/>
    <row r="411" customFormat="1" s="34"/>
    <row r="412" customFormat="1" s="34"/>
    <row r="413" customFormat="1" s="34"/>
    <row r="414" customFormat="1" s="34"/>
    <row r="415" customFormat="1" s="34"/>
    <row r="416" customFormat="1" s="34"/>
    <row r="417" customFormat="1" s="34"/>
    <row r="418" customFormat="1" s="34"/>
    <row r="419" customFormat="1" s="34"/>
    <row r="420" customFormat="1" s="34"/>
    <row r="421" customFormat="1" s="34"/>
    <row r="422" customFormat="1" s="34"/>
    <row r="423" customFormat="1" s="34"/>
    <row r="424" customFormat="1" s="34"/>
    <row r="425" customFormat="1" s="34"/>
    <row r="426" customFormat="1" s="34"/>
    <row r="427" customFormat="1" s="34"/>
    <row r="428" customFormat="1" s="34"/>
    <row r="429" customFormat="1" s="34"/>
    <row r="430" customFormat="1" s="34"/>
    <row r="431" customFormat="1" s="34"/>
    <row r="432" customFormat="1" s="34"/>
    <row r="433" customFormat="1" s="34"/>
    <row r="434" customFormat="1" s="34"/>
    <row r="435" customFormat="1" s="34"/>
    <row r="436" customFormat="1" s="34"/>
    <row r="437" customFormat="1" s="34"/>
    <row r="438" customFormat="1" s="34"/>
    <row r="439" customFormat="1" s="34"/>
    <row r="440" customFormat="1" s="34"/>
    <row r="441" customFormat="1" s="34"/>
    <row r="442" customFormat="1" s="34"/>
    <row r="443" customFormat="1" s="34"/>
    <row r="444" customFormat="1" s="34"/>
    <row r="445" customFormat="1" s="34"/>
    <row r="446" customFormat="1" s="34"/>
    <row r="447" customFormat="1" s="34"/>
    <row r="448" customFormat="1" s="34"/>
    <row r="449" customFormat="1" s="34"/>
    <row r="450" customFormat="1" s="34"/>
    <row r="451" customFormat="1" s="34"/>
    <row r="452" customFormat="1" s="34"/>
    <row r="453" customFormat="1" s="34"/>
    <row r="454" customFormat="1" s="34"/>
    <row r="455" customFormat="1" s="34"/>
    <row r="456" customFormat="1" s="34"/>
    <row r="457" customFormat="1" s="34"/>
    <row r="458" customFormat="1" s="34"/>
    <row r="459" customFormat="1" s="34"/>
    <row r="460" customFormat="1" s="34"/>
    <row r="461" customFormat="1" s="34"/>
    <row r="462" customFormat="1" s="34"/>
    <row r="463" customFormat="1" s="34"/>
    <row r="464" customFormat="1" s="34"/>
    <row r="465" customFormat="1" s="34"/>
    <row r="466" customFormat="1" s="34"/>
    <row r="467" customFormat="1" s="34"/>
    <row r="468" customFormat="1" s="34"/>
    <row r="469" customFormat="1" s="34"/>
    <row r="470" customFormat="1" s="34"/>
    <row r="471" customFormat="1" s="34"/>
    <row r="472" customFormat="1" s="34"/>
    <row r="473" customFormat="1" s="34"/>
    <row r="474" customFormat="1" s="34"/>
    <row r="475" customFormat="1" s="34"/>
    <row r="476" customFormat="1" s="34"/>
    <row r="477" customFormat="1" s="34"/>
    <row r="478" customFormat="1" s="34"/>
    <row r="479" customFormat="1" s="34"/>
    <row r="480" customFormat="1" s="34"/>
    <row r="481" customFormat="1" s="34"/>
    <row r="482" customFormat="1" s="34"/>
    <row r="483" customFormat="1" s="34"/>
    <row r="484" customFormat="1" s="34"/>
    <row r="485" customFormat="1" s="34"/>
    <row r="486" customFormat="1" s="34"/>
    <row r="487" customFormat="1" s="34"/>
    <row r="488" customFormat="1" s="34"/>
    <row r="489" customFormat="1" s="34"/>
    <row r="490" customFormat="1" s="34"/>
    <row r="491" customFormat="1" s="34"/>
    <row r="492" customFormat="1" s="34"/>
    <row r="493" customFormat="1" s="34"/>
    <row r="494" customFormat="1" s="34"/>
    <row r="495" customFormat="1" s="34"/>
    <row r="496" customFormat="1" s="34"/>
    <row r="497" customFormat="1" s="34"/>
    <row r="498" customFormat="1" s="34"/>
    <row r="499" customFormat="1" s="34"/>
    <row r="500" customFormat="1" s="34"/>
    <row r="501" customFormat="1" s="34"/>
    <row r="502" customFormat="1" s="34"/>
    <row r="503" customFormat="1" s="34"/>
    <row r="504" customFormat="1" s="34"/>
    <row r="505" customFormat="1" s="34"/>
    <row r="506" customFormat="1" s="34"/>
    <row r="507" customFormat="1" s="34"/>
    <row r="508" customFormat="1" s="34"/>
    <row r="509" customFormat="1" s="34"/>
    <row r="510" customFormat="1" s="34"/>
    <row r="511" customFormat="1" s="34"/>
    <row r="512" customFormat="1" s="34"/>
    <row r="513" customFormat="1" s="34"/>
    <row r="514" customFormat="1" s="34"/>
    <row r="515" customFormat="1" s="34"/>
    <row r="516" customFormat="1" s="34"/>
    <row r="517" customFormat="1" s="34"/>
    <row r="518" customFormat="1" s="34"/>
    <row r="519" customFormat="1" s="34"/>
    <row r="520" customFormat="1" s="34"/>
    <row r="521" customFormat="1" s="34"/>
    <row r="522" customFormat="1" s="34"/>
    <row r="523" customFormat="1" s="34"/>
    <row r="524" customFormat="1" s="34"/>
    <row r="525" customFormat="1" s="34"/>
    <row r="526" customFormat="1" s="34"/>
    <row r="527" customFormat="1" s="34"/>
    <row r="528" customFormat="1" s="34"/>
    <row r="529" customFormat="1" s="34"/>
    <row r="530" customFormat="1" s="34"/>
    <row r="531" customFormat="1" s="34"/>
    <row r="532" customFormat="1" s="34"/>
    <row r="533" customFormat="1" s="34"/>
    <row r="534" customFormat="1" s="34"/>
    <row r="535" customFormat="1" s="34"/>
    <row r="536" customFormat="1" s="34"/>
    <row r="537" customFormat="1" s="34"/>
    <row r="538" customFormat="1" s="34"/>
    <row r="539" customFormat="1" s="34"/>
    <row r="540" customFormat="1" s="34"/>
    <row r="541" customFormat="1" s="34"/>
    <row r="542" customFormat="1" s="34"/>
    <row r="543" customFormat="1" s="34"/>
    <row r="544" customFormat="1" s="34"/>
    <row r="545" customFormat="1" s="34"/>
    <row r="546" customFormat="1" s="34"/>
    <row r="547" customFormat="1" s="34"/>
    <row r="548" customFormat="1" s="34"/>
    <row r="549" customFormat="1" s="34"/>
    <row r="550" customFormat="1" s="34"/>
    <row r="551" customFormat="1" s="34"/>
    <row r="552" customFormat="1" s="34"/>
    <row r="553" customFormat="1" s="34"/>
    <row r="554" customFormat="1" s="34"/>
    <row r="555" customFormat="1" s="34"/>
    <row r="556" customFormat="1" s="34"/>
    <row r="557" customFormat="1" s="34"/>
    <row r="558" customFormat="1" s="34"/>
    <row r="559" customFormat="1" s="34"/>
    <row r="560" customFormat="1" s="34"/>
    <row r="561" customFormat="1" s="34"/>
    <row r="562" customFormat="1" s="34"/>
    <row r="563" customFormat="1" s="34"/>
    <row r="564" customFormat="1" s="34"/>
    <row r="565" customFormat="1" s="34"/>
    <row r="566" customFormat="1" s="34"/>
    <row r="567" customFormat="1" s="34"/>
    <row r="568" customFormat="1" s="34"/>
    <row r="569" customFormat="1" s="34"/>
    <row r="570" customFormat="1" s="34"/>
    <row r="571" customFormat="1" s="34"/>
    <row r="572" customFormat="1" s="34"/>
    <row r="573" customFormat="1" s="34"/>
    <row r="574" customFormat="1" s="34"/>
    <row r="575" customFormat="1" s="34"/>
    <row r="576" customFormat="1" s="34"/>
    <row r="577" customFormat="1" s="34"/>
    <row r="578" customFormat="1" s="34"/>
    <row r="579" customFormat="1" s="34"/>
    <row r="580" customFormat="1" s="34"/>
    <row r="581" customFormat="1" s="34"/>
    <row r="582" customFormat="1" s="34"/>
    <row r="583" customFormat="1" s="34"/>
    <row r="584" customFormat="1" s="34"/>
    <row r="585" customFormat="1" s="34"/>
    <row r="586" customFormat="1" s="34"/>
    <row r="587" customFormat="1" s="34"/>
    <row r="588" customFormat="1" s="34"/>
    <row r="589" customFormat="1" s="34"/>
    <row r="590" customFormat="1" s="34"/>
    <row r="591" customFormat="1" s="34"/>
    <row r="592" customFormat="1" s="34"/>
    <row r="593" customFormat="1" s="34"/>
    <row r="594" customFormat="1" s="34"/>
    <row r="595" customFormat="1" s="34"/>
    <row r="596" customFormat="1" s="34"/>
    <row r="597" customFormat="1" s="34"/>
    <row r="598" customFormat="1" s="34"/>
    <row r="599" customFormat="1" s="34"/>
    <row r="600" customFormat="1" s="34"/>
    <row r="601" customFormat="1" s="34"/>
    <row r="602" customFormat="1" s="34"/>
    <row r="603" customFormat="1" s="34"/>
    <row r="604" customFormat="1" s="34"/>
    <row r="605" customFormat="1" s="34"/>
    <row r="606" customFormat="1" s="34"/>
    <row r="607" customFormat="1" s="34"/>
    <row r="608" customFormat="1" s="34"/>
    <row r="609" customFormat="1" s="34"/>
    <row r="610" customFormat="1" s="34"/>
    <row r="611" customFormat="1" s="34"/>
    <row r="612" customFormat="1" s="34"/>
    <row r="613" customFormat="1" s="34"/>
    <row r="614" customFormat="1" s="34"/>
    <row r="615" customFormat="1" s="34"/>
    <row r="616" customFormat="1" s="34"/>
    <row r="617" customFormat="1" s="34"/>
    <row r="618" customFormat="1" s="34"/>
    <row r="619" customFormat="1" s="34"/>
    <row r="620" customFormat="1" s="34"/>
    <row r="621" customFormat="1" s="34"/>
    <row r="622" customFormat="1" s="34"/>
    <row r="623" customFormat="1" s="34"/>
    <row r="624" customFormat="1" s="34"/>
    <row r="625" customFormat="1" s="34"/>
    <row r="626" customFormat="1" s="34"/>
    <row r="627" customFormat="1" s="34"/>
    <row r="628" customFormat="1" s="34"/>
    <row r="629" customFormat="1" s="34"/>
    <row r="630" customFormat="1" s="34"/>
    <row r="631" customFormat="1" s="34"/>
    <row r="632" customFormat="1" s="34"/>
    <row r="633" customFormat="1" s="34"/>
    <row r="634" customFormat="1" s="34"/>
    <row r="635" customFormat="1" s="34"/>
    <row r="636" customFormat="1" s="34"/>
    <row r="637" customFormat="1" s="34"/>
    <row r="638" customFormat="1" s="34"/>
    <row r="639" customFormat="1" s="34"/>
    <row r="640" customFormat="1" s="34"/>
    <row r="641" customFormat="1" s="34"/>
    <row r="642" customFormat="1" s="34"/>
    <row r="643" customFormat="1" s="34"/>
    <row r="644" customFormat="1" s="34"/>
    <row r="645" customFormat="1" s="34"/>
    <row r="646" customFormat="1" s="34"/>
    <row r="647" customFormat="1" s="34"/>
    <row r="648" customFormat="1" s="34"/>
    <row r="649" customFormat="1" s="34"/>
    <row r="650" customFormat="1" s="34"/>
    <row r="651" customFormat="1" s="34"/>
    <row r="652" customFormat="1" s="34"/>
    <row r="653" customFormat="1" s="34"/>
    <row r="654" customFormat="1" s="34"/>
    <row r="655" customFormat="1" s="34"/>
    <row r="656" customFormat="1" s="34"/>
    <row r="657" customFormat="1" s="34"/>
    <row r="658" customFormat="1" s="34"/>
    <row r="659" customFormat="1" s="34"/>
    <row r="660" customFormat="1" s="34"/>
    <row r="661" customFormat="1" s="34"/>
    <row r="662" customFormat="1" s="34"/>
    <row r="663" customFormat="1" s="34"/>
    <row r="664" customFormat="1" s="34"/>
    <row r="665" customFormat="1" s="34"/>
    <row r="666" customFormat="1" s="34"/>
    <row r="667" customFormat="1" s="34"/>
    <row r="668" customFormat="1" s="34"/>
    <row r="669" customFormat="1" s="34"/>
    <row r="670" customFormat="1" s="34"/>
    <row r="671" customFormat="1" s="34"/>
    <row r="672" customFormat="1" s="34"/>
    <row r="673" customFormat="1" s="34"/>
    <row r="674" customFormat="1" s="34"/>
    <row r="675" customFormat="1" s="34"/>
    <row r="676" customFormat="1" s="34"/>
    <row r="677" customFormat="1" s="34"/>
    <row r="678" customFormat="1" s="34"/>
    <row r="679" customFormat="1" s="34"/>
    <row r="680" customFormat="1" s="34"/>
    <row r="681" customFormat="1" s="34"/>
    <row r="682" customFormat="1" s="34"/>
    <row r="683" customFormat="1" s="34"/>
    <row r="684" customFormat="1" s="34"/>
    <row r="685" customFormat="1" s="34"/>
    <row r="686" customFormat="1" s="34"/>
    <row r="687" customFormat="1" s="34"/>
    <row r="688" customFormat="1" s="34"/>
    <row r="689" customFormat="1" s="34"/>
    <row r="690" customFormat="1" s="34"/>
    <row r="691" customFormat="1" s="34"/>
    <row r="692" customFormat="1" s="34"/>
    <row r="693" customFormat="1" s="34"/>
    <row r="694" customFormat="1" s="34"/>
    <row r="695" customFormat="1" s="34"/>
    <row r="696" customFormat="1" s="34"/>
    <row r="697" customFormat="1" s="34"/>
    <row r="698" customFormat="1" s="34"/>
    <row r="699" customFormat="1" s="34"/>
    <row r="700" customFormat="1" s="34"/>
    <row r="701" customFormat="1" s="34"/>
    <row r="702" customFormat="1" s="34"/>
    <row r="703" customFormat="1" s="34"/>
    <row r="704" customFormat="1" s="34"/>
    <row r="705" customFormat="1" s="34"/>
    <row r="706" customFormat="1" s="34"/>
    <row r="707" customFormat="1" s="34"/>
    <row r="708" customFormat="1" s="34"/>
    <row r="709" customFormat="1" s="34"/>
    <row r="710" customFormat="1" s="34"/>
    <row r="711" customFormat="1" s="34"/>
    <row r="712" customFormat="1" s="34"/>
    <row r="713" customFormat="1" s="34"/>
    <row r="714" customFormat="1" s="34"/>
    <row r="715" customFormat="1" s="34"/>
    <row r="716" customFormat="1" s="34"/>
    <row r="717" customFormat="1" s="34"/>
    <row r="718" customFormat="1" s="34"/>
    <row r="719" customFormat="1" s="34"/>
    <row r="720" customFormat="1" s="34"/>
    <row r="721" customFormat="1" s="34"/>
    <row r="722" customFormat="1" s="34"/>
    <row r="723" customFormat="1" s="34"/>
    <row r="724" customFormat="1" s="34"/>
    <row r="725" customFormat="1" s="34"/>
    <row r="726" customFormat="1" s="34"/>
    <row r="727" customFormat="1" s="34"/>
    <row r="728" customFormat="1" s="34"/>
    <row r="729" customFormat="1" s="34"/>
    <row r="730" customFormat="1" s="34"/>
    <row r="731" customFormat="1" s="34"/>
    <row r="732" customFormat="1" s="34"/>
    <row r="733" customFormat="1" s="34"/>
    <row r="734" customFormat="1" s="34"/>
    <row r="735" customFormat="1" s="34"/>
    <row r="736" customFormat="1" s="34"/>
    <row r="737" customFormat="1" s="34"/>
    <row r="738" customFormat="1" s="34"/>
    <row r="739" customFormat="1" s="34"/>
    <row r="740" customFormat="1" s="34"/>
    <row r="741" customFormat="1" s="34"/>
    <row r="742" customFormat="1" s="34"/>
    <row r="743" customFormat="1" s="34"/>
    <row r="744" customFormat="1" s="34"/>
    <row r="745" customFormat="1" s="34"/>
    <row r="746" customFormat="1" s="34"/>
    <row r="747" customFormat="1" s="34"/>
    <row r="748" customFormat="1" s="34"/>
    <row r="749" customFormat="1" s="34"/>
    <row r="750" customFormat="1" s="34"/>
    <row r="751" customFormat="1" s="34"/>
    <row r="752" customFormat="1" s="34"/>
    <row r="753" customFormat="1" s="34"/>
    <row r="754" customFormat="1" s="34"/>
    <row r="755" customFormat="1" s="34"/>
    <row r="756" customFormat="1" s="34"/>
    <row r="757" customFormat="1" s="34"/>
    <row r="758" customFormat="1" s="34"/>
    <row r="759" customFormat="1" s="34"/>
    <row r="760" customFormat="1" s="34"/>
    <row r="761" customFormat="1" s="34"/>
    <row r="762" customFormat="1" s="34"/>
    <row r="763" customFormat="1" s="34"/>
    <row r="764" customFormat="1" s="34"/>
    <row r="765" customFormat="1" s="34"/>
    <row r="766" customFormat="1" s="34"/>
    <row r="767" customFormat="1" s="34"/>
    <row r="768" customFormat="1" s="34"/>
    <row r="769" customFormat="1" s="34"/>
    <row r="770" customFormat="1" s="34"/>
    <row r="771" customFormat="1" s="34"/>
    <row r="772" customFormat="1" s="34"/>
    <row r="773" customFormat="1" s="34"/>
    <row r="774" customFormat="1" s="34"/>
    <row r="775" customFormat="1" s="34"/>
    <row r="776" customFormat="1" s="34"/>
    <row r="777" customFormat="1" s="34"/>
    <row r="778" customFormat="1" s="34"/>
    <row r="779" customFormat="1" s="34"/>
    <row r="780" customFormat="1" s="34"/>
    <row r="781" customFormat="1" s="34"/>
    <row r="782" customFormat="1" s="34"/>
    <row r="783" customFormat="1" s="34"/>
    <row r="784" customFormat="1" s="34"/>
    <row r="785" customFormat="1" s="34"/>
    <row r="786" customFormat="1" s="34"/>
    <row r="787" customFormat="1" s="34"/>
    <row r="788" customFormat="1" s="34"/>
    <row r="789" customFormat="1" s="34"/>
    <row r="790" customFormat="1" s="34"/>
    <row r="791" customFormat="1" s="34"/>
    <row r="792" customFormat="1" s="34"/>
    <row r="793" customFormat="1" s="34"/>
    <row r="794" customFormat="1" s="34"/>
    <row r="795" customFormat="1" s="34"/>
    <row r="796" customFormat="1" s="34"/>
    <row r="797" customFormat="1" s="34"/>
    <row r="798" customFormat="1" s="34"/>
    <row r="799" customFormat="1" s="34"/>
    <row r="800" customFormat="1" s="34"/>
    <row r="801" customFormat="1" s="34"/>
    <row r="802" customFormat="1" s="34"/>
    <row r="803" customFormat="1" s="34"/>
    <row r="804" customFormat="1" s="34"/>
    <row r="805" customFormat="1" s="34"/>
    <row r="806" customFormat="1" s="34"/>
    <row r="807" customFormat="1" s="34"/>
    <row r="808" customFormat="1" s="34"/>
    <row r="809" customFormat="1" s="34"/>
    <row r="810" customFormat="1" s="34"/>
    <row r="811" customFormat="1" s="34"/>
    <row r="812" customFormat="1" s="34"/>
    <row r="813" customFormat="1" s="34"/>
    <row r="814" customFormat="1" s="34"/>
    <row r="815" customFormat="1" s="34"/>
    <row r="816" customFormat="1" s="34"/>
    <row r="817" customFormat="1" s="34"/>
    <row r="818" customFormat="1" s="34"/>
    <row r="819" customFormat="1" s="34"/>
    <row r="820" customFormat="1" s="34"/>
    <row r="821" customFormat="1" s="34"/>
    <row r="822" customFormat="1" s="34"/>
    <row r="823" customFormat="1" s="34"/>
    <row r="824" customFormat="1" s="34"/>
    <row r="825" customFormat="1" s="34"/>
    <row r="826" customFormat="1" s="34"/>
    <row r="827" customFormat="1" s="34"/>
    <row r="828" customFormat="1" s="34"/>
    <row r="829" customFormat="1" s="34"/>
    <row r="830" customFormat="1" s="34"/>
    <row r="831" customFormat="1" s="34"/>
    <row r="832" customFormat="1" s="34"/>
    <row r="833" customFormat="1" s="34"/>
    <row r="834" customFormat="1" s="34"/>
    <row r="835" customFormat="1" s="34"/>
    <row r="836" customFormat="1" s="34"/>
    <row r="837" customFormat="1" s="34"/>
    <row r="838" customFormat="1" s="34"/>
    <row r="839" customFormat="1" s="34"/>
    <row r="840" customFormat="1" s="34"/>
    <row r="841" customFormat="1" s="34"/>
    <row r="842" customFormat="1" s="34"/>
    <row r="843" customFormat="1" s="34"/>
    <row r="844" customFormat="1" s="34"/>
    <row r="845" customFormat="1" s="34"/>
    <row r="846" customFormat="1" s="34"/>
    <row r="847" customFormat="1" s="34"/>
    <row r="848" customFormat="1" s="34"/>
    <row r="849" customFormat="1" s="34"/>
    <row r="850" customFormat="1" s="34"/>
    <row r="851" customFormat="1" s="34"/>
    <row r="852" customFormat="1" s="34"/>
    <row r="853" customFormat="1" s="34"/>
    <row r="854" customFormat="1" s="34"/>
    <row r="855" customFormat="1" s="34"/>
    <row r="856" customFormat="1" s="34"/>
    <row r="857" customFormat="1" s="34"/>
    <row r="858" customFormat="1" s="34"/>
    <row r="859" customFormat="1" s="34"/>
    <row r="860" customFormat="1" s="34"/>
    <row r="861" customFormat="1" s="34"/>
    <row r="862" customFormat="1" s="34"/>
    <row r="863" customFormat="1" s="34"/>
    <row r="864" customFormat="1" s="34"/>
    <row r="865" customFormat="1" s="34"/>
    <row r="866" customFormat="1" s="34"/>
    <row r="867" customFormat="1" s="34"/>
    <row r="868" customFormat="1" s="34"/>
    <row r="869" customFormat="1" s="34"/>
    <row r="870" customFormat="1" s="34"/>
    <row r="871" customFormat="1" s="34"/>
    <row r="872" customFormat="1" s="34"/>
    <row r="873" customFormat="1" s="34"/>
    <row r="874" customFormat="1" s="34"/>
    <row r="875" customFormat="1" s="34"/>
    <row r="876" customFormat="1" s="34"/>
    <row r="877" customFormat="1" s="34"/>
    <row r="878" customFormat="1" s="34"/>
    <row r="879" customFormat="1" s="34"/>
    <row r="880" customFormat="1" s="34"/>
    <row r="881" customFormat="1" s="34"/>
    <row r="882" customFormat="1" s="34"/>
    <row r="883" customFormat="1" s="34"/>
    <row r="884" customFormat="1" s="34"/>
    <row r="885" customFormat="1" s="34"/>
    <row r="886" customFormat="1" s="34"/>
    <row r="887" customFormat="1" s="34"/>
    <row r="888" customFormat="1" s="34"/>
    <row r="889" customFormat="1" s="34"/>
    <row r="890" customFormat="1" s="34"/>
    <row r="891" customFormat="1" s="34"/>
    <row r="892" customFormat="1" s="34"/>
    <row r="893" customFormat="1" s="34"/>
    <row r="894" customFormat="1" s="34"/>
    <row r="895" customFormat="1" s="34"/>
    <row r="896" customFormat="1" s="34"/>
    <row r="897" customFormat="1" s="34"/>
    <row r="898" customFormat="1" s="34"/>
    <row r="899" customFormat="1" s="34"/>
    <row r="900" customFormat="1" s="34"/>
    <row r="901" customFormat="1" s="34"/>
    <row r="902" customFormat="1" s="34"/>
    <row r="903" customFormat="1" s="34"/>
    <row r="904" customFormat="1" s="34"/>
    <row r="905" customFormat="1" s="34"/>
    <row r="906" customFormat="1" s="34"/>
    <row r="907" customFormat="1" s="34"/>
    <row r="908" customFormat="1" s="34"/>
    <row r="909" customFormat="1" s="34"/>
    <row r="910" customFormat="1" s="34"/>
    <row r="911" customFormat="1" s="34"/>
    <row r="912" customFormat="1" s="34"/>
    <row r="913" customFormat="1" s="34"/>
    <row r="914" customFormat="1" s="34"/>
    <row r="915" customFormat="1" s="34"/>
    <row r="916" customFormat="1" s="34"/>
    <row r="917" customFormat="1" s="34"/>
    <row r="918" customFormat="1" s="34"/>
    <row r="919" customFormat="1" s="34"/>
    <row r="920" customFormat="1" s="34"/>
    <row r="921" customFormat="1" s="34"/>
    <row r="922" customFormat="1" s="34"/>
    <row r="923" customFormat="1" s="34"/>
    <row r="924" customFormat="1" s="34"/>
    <row r="925" customFormat="1" s="34"/>
    <row r="926" customFormat="1" s="34"/>
    <row r="927" customFormat="1" s="34"/>
    <row r="928" customFormat="1" s="34"/>
    <row r="929" customFormat="1" s="34"/>
    <row r="930" customFormat="1" s="34"/>
    <row r="931" customFormat="1" s="34"/>
    <row r="932" customFormat="1" s="34"/>
    <row r="933" customFormat="1" s="34"/>
    <row r="934" customFormat="1" s="34"/>
    <row r="935" customFormat="1" s="34"/>
    <row r="936" customFormat="1" s="34"/>
    <row r="937" customFormat="1" s="34"/>
    <row r="938" customFormat="1" s="34"/>
    <row r="939" customFormat="1" s="34"/>
    <row r="940" customFormat="1" s="34"/>
    <row r="941" customFormat="1" s="34"/>
    <row r="942" customFormat="1" s="34"/>
    <row r="943" customFormat="1" s="34"/>
    <row r="944" customFormat="1" s="34"/>
    <row r="945" customFormat="1" s="34"/>
    <row r="946" customFormat="1" s="34"/>
    <row r="947" customFormat="1" s="34"/>
    <row r="948" customFormat="1" s="34"/>
    <row r="949" customFormat="1" s="34"/>
    <row r="950" customFormat="1" s="34"/>
    <row r="951" customFormat="1" s="34"/>
    <row r="952" customFormat="1" s="34"/>
    <row r="953" customFormat="1" s="34"/>
    <row r="954" customFormat="1" s="34"/>
    <row r="955" customFormat="1" s="34"/>
    <row r="956" customFormat="1" s="34"/>
    <row r="957" customFormat="1" s="34"/>
    <row r="958" customFormat="1" s="34"/>
    <row r="959" customFormat="1" s="34"/>
    <row r="960" customFormat="1" s="34"/>
    <row r="961" customFormat="1" s="34"/>
    <row r="962" customFormat="1" s="34"/>
    <row r="963" customFormat="1" s="34"/>
    <row r="964" customFormat="1" s="34"/>
    <row r="965" customFormat="1" s="34"/>
    <row r="966" customFormat="1" s="34"/>
    <row r="967" customFormat="1" s="34"/>
    <row r="968" customFormat="1" s="34"/>
    <row r="969" customFormat="1" s="34"/>
    <row r="970" customFormat="1" s="34"/>
    <row r="971" customFormat="1" s="34"/>
    <row r="972" customFormat="1" s="34"/>
    <row r="973" customFormat="1" s="34"/>
    <row r="974" customFormat="1" s="34"/>
    <row r="975" customFormat="1" s="34"/>
    <row r="976" customFormat="1" s="34"/>
    <row r="977" customFormat="1" s="34"/>
    <row r="978" customFormat="1" s="34"/>
    <row r="979" customFormat="1" s="34"/>
    <row r="980" customFormat="1" s="34"/>
    <row r="981" customFormat="1" s="34"/>
    <row r="982" customFormat="1" s="34"/>
    <row r="983" customFormat="1" s="34"/>
    <row r="984" customFormat="1" s="34"/>
    <row r="985" customFormat="1" s="34"/>
    <row r="986" customFormat="1" s="34"/>
    <row r="987" customFormat="1" s="34"/>
    <row r="988" customFormat="1" s="34"/>
    <row r="989" customFormat="1" s="34"/>
    <row r="990" customFormat="1" s="34"/>
    <row r="991" customFormat="1" s="34"/>
    <row r="992" customFormat="1" s="34"/>
    <row r="993" customFormat="1" s="34"/>
    <row r="994" customFormat="1" s="34"/>
    <row r="995" customFormat="1" s="34"/>
    <row r="996" customFormat="1" s="34"/>
    <row r="997" customFormat="1" s="34"/>
    <row r="998" customFormat="1" s="34"/>
    <row r="999" customFormat="1" s="34"/>
    <row r="1000" customFormat="1" s="34"/>
    <row r="1001" customFormat="1" s="34"/>
    <row r="1002" customFormat="1" s="34"/>
    <row r="1003" customFormat="1" s="34"/>
    <row r="1004" customFormat="1" s="34"/>
    <row r="1005" customFormat="1" s="34"/>
    <row r="1006" customFormat="1" s="34"/>
    <row r="1007" customFormat="1" s="34"/>
    <row r="1008" customFormat="1" s="34"/>
    <row r="1009" customFormat="1" s="34"/>
    <row r="1010" customFormat="1" s="34"/>
    <row r="1011" customFormat="1" s="34"/>
    <row r="1012" customFormat="1" s="34"/>
    <row r="1013" customFormat="1" s="34"/>
    <row r="1014" customFormat="1" s="34"/>
    <row r="1015" customFormat="1" s="34"/>
    <row r="1016" customFormat="1" s="34"/>
    <row r="1017" customFormat="1" s="34"/>
    <row r="1018" customFormat="1" s="34"/>
    <row r="1019" customFormat="1" s="34"/>
    <row r="1020" customFormat="1" s="34"/>
    <row r="1021" customFormat="1" s="34"/>
    <row r="1022" customFormat="1" s="34"/>
    <row r="1023" customFormat="1" s="34"/>
    <row r="1024" customFormat="1" s="34"/>
    <row r="1025" customFormat="1" s="34"/>
    <row r="1026" customFormat="1" s="34"/>
    <row r="1027" customFormat="1" s="34"/>
    <row r="1028" customFormat="1" s="34"/>
    <row r="1029" customFormat="1" s="34"/>
    <row r="1030" customFormat="1" s="34"/>
    <row r="1031" customFormat="1" s="34"/>
    <row r="1032" customFormat="1" s="34"/>
    <row r="1033" customFormat="1" s="34"/>
    <row r="1034" customFormat="1" s="34"/>
    <row r="1035" customFormat="1" s="34"/>
    <row r="1036" customFormat="1" s="34"/>
    <row r="1037" customFormat="1" s="34"/>
    <row r="1038" customFormat="1" s="34"/>
    <row r="1039" customFormat="1" s="34"/>
    <row r="1040" customFormat="1" s="34"/>
    <row r="1041" customFormat="1" s="34"/>
    <row r="1042" customFormat="1" s="34"/>
    <row r="1043" customFormat="1" s="34"/>
    <row r="1044" customFormat="1" s="34"/>
    <row r="1045" customFormat="1" s="34"/>
    <row r="1046" customFormat="1" s="34"/>
    <row r="1047" customFormat="1" s="34"/>
    <row r="1048" customFormat="1" s="34"/>
    <row r="1049" customFormat="1" s="34"/>
    <row r="1050" customFormat="1" s="34"/>
    <row r="1051" customFormat="1" s="34"/>
    <row r="1052" customFormat="1" s="34"/>
    <row r="1053" customFormat="1" s="34"/>
    <row r="1054" customFormat="1" s="34"/>
    <row r="1055" customFormat="1" s="34"/>
    <row r="1056" customFormat="1" s="34"/>
    <row r="1057" customFormat="1" s="34"/>
    <row r="1058" customFormat="1" s="34"/>
    <row r="1059" customFormat="1" s="34"/>
    <row r="1060" customFormat="1" s="34"/>
    <row r="1061" customFormat="1" s="34"/>
    <row r="1062" customFormat="1" s="34"/>
    <row r="1063" customFormat="1" s="34"/>
    <row r="1064" customFormat="1" s="34"/>
    <row r="1065" customFormat="1" s="34"/>
    <row r="1066" customFormat="1" s="34"/>
    <row r="1067" customFormat="1" s="34"/>
    <row r="1068" customFormat="1" s="34"/>
    <row r="1069" customFormat="1" s="34"/>
    <row r="1070" customFormat="1" s="34"/>
    <row r="1071" customFormat="1" s="34"/>
    <row r="1072" customFormat="1" s="34"/>
    <row r="1073" customFormat="1" s="34"/>
    <row r="1074" customFormat="1" s="34"/>
    <row r="1075" customFormat="1" s="34"/>
    <row r="1076" customFormat="1" s="34"/>
    <row r="1077" customFormat="1" s="34"/>
    <row r="1078" customFormat="1" s="34"/>
    <row r="1079" customFormat="1" s="34"/>
    <row r="1080" customFormat="1" s="34"/>
    <row r="1081" customFormat="1" s="34"/>
    <row r="1082" customFormat="1" s="34"/>
    <row r="1083" customFormat="1" s="34"/>
    <row r="1084" customFormat="1" s="34"/>
    <row r="1085" customFormat="1" s="34"/>
    <row r="1086" customFormat="1" s="34"/>
    <row r="1087" customFormat="1" s="34"/>
    <row r="1088" customFormat="1" s="34"/>
    <row r="1089" customFormat="1" s="34"/>
    <row r="1090" customFormat="1" s="34"/>
    <row r="1091" customFormat="1" s="34"/>
    <row r="1092" customFormat="1" s="34"/>
    <row r="1093" customFormat="1" s="34"/>
    <row r="1094" customFormat="1" s="34"/>
    <row r="1095" customFormat="1" s="34"/>
    <row r="1096" customFormat="1" s="34"/>
    <row r="1097" customFormat="1" s="34"/>
    <row r="1098" customFormat="1" s="34"/>
    <row r="1099" customFormat="1" s="34"/>
    <row r="1100" customFormat="1" s="34"/>
    <row r="1101" customFormat="1" s="34"/>
    <row r="1102" customFormat="1" s="34"/>
    <row r="1103" customFormat="1" s="34"/>
    <row r="1104" customFormat="1" s="34"/>
    <row r="1105" customFormat="1" s="34"/>
    <row r="1106" customFormat="1" s="34"/>
    <row r="1107" customFormat="1" s="34"/>
    <row r="1108" customFormat="1" s="34"/>
    <row r="1109" customFormat="1" s="34"/>
    <row r="1110" customFormat="1" s="34"/>
    <row r="1111" customFormat="1" s="34"/>
    <row r="1112" customFormat="1" s="34"/>
    <row r="1113" customFormat="1" s="34"/>
    <row r="1114" customFormat="1" s="34"/>
    <row r="1115" customFormat="1" s="34"/>
    <row r="1116" customFormat="1" s="34"/>
    <row r="1117" customFormat="1" s="34"/>
    <row r="1118" customFormat="1" s="34"/>
    <row r="1119" customFormat="1" s="34"/>
    <row r="1120" customFormat="1" s="34"/>
    <row r="1121" customFormat="1" s="34"/>
    <row r="1122" customFormat="1" s="34"/>
    <row r="1123" customFormat="1" s="34"/>
    <row r="1124" customFormat="1" s="34"/>
    <row r="1125" customFormat="1" s="34"/>
    <row r="1126" customFormat="1" s="34"/>
    <row r="1127" customFormat="1" s="34"/>
    <row r="1128" customFormat="1" s="34"/>
    <row r="1129" customFormat="1" s="34"/>
    <row r="1130" customFormat="1" s="34"/>
    <row r="1131" customFormat="1" s="34"/>
    <row r="1132" customFormat="1" s="34"/>
    <row r="1133" customFormat="1" s="34"/>
    <row r="1134" customFormat="1" s="34"/>
    <row r="1135" customFormat="1" s="34"/>
    <row r="1136" customFormat="1" s="34"/>
    <row r="1137" customFormat="1" s="34"/>
    <row r="1138" customFormat="1" s="34"/>
    <row r="1139" customFormat="1" s="34"/>
    <row r="1140" customFormat="1" s="34"/>
    <row r="1141" customFormat="1" s="34"/>
    <row r="1142" customFormat="1" s="34"/>
    <row r="1143" customFormat="1" s="34"/>
    <row r="1144" customFormat="1" s="34"/>
    <row r="1145" customFormat="1" s="34"/>
    <row r="1146" customFormat="1" s="34"/>
    <row r="1147" customFormat="1" s="34"/>
    <row r="1148" customFormat="1" s="34"/>
    <row r="1149" customFormat="1" s="34"/>
    <row r="1150" customFormat="1" s="34"/>
    <row r="1151" customFormat="1" s="34"/>
    <row r="1152" customFormat="1" s="34"/>
    <row r="1153" customFormat="1" s="34"/>
    <row r="1154" customFormat="1" s="34"/>
    <row r="1155" customFormat="1" s="34"/>
    <row r="1156" customFormat="1" s="34"/>
    <row r="1157" customFormat="1" s="34"/>
    <row r="1158" customFormat="1" s="34"/>
    <row r="1159" customFormat="1" s="34"/>
    <row r="1160" customFormat="1" s="34"/>
    <row r="1161" customFormat="1" s="34"/>
    <row r="1162" customFormat="1" s="34"/>
    <row r="1163" customFormat="1" s="34"/>
    <row r="1164" customFormat="1" s="34"/>
    <row r="1165" customFormat="1" s="34"/>
    <row r="1166" customFormat="1" s="34"/>
    <row r="1167" customFormat="1" s="34"/>
    <row r="1168" customFormat="1" s="34"/>
    <row r="1169" customFormat="1" s="34"/>
    <row r="1170" customFormat="1" s="34"/>
    <row r="1171" customFormat="1" s="34"/>
    <row r="1172" customFormat="1" s="34"/>
    <row r="1173" customFormat="1" s="34"/>
    <row r="1174" customFormat="1" s="34"/>
    <row r="1175" customFormat="1" s="34"/>
    <row r="1176" customFormat="1" s="34"/>
    <row r="1177" customFormat="1" s="34"/>
    <row r="1178" customFormat="1" s="34"/>
    <row r="1179" customFormat="1" s="34"/>
    <row r="1180" customFormat="1" s="34"/>
    <row r="1181" customFormat="1" s="34"/>
    <row r="1182" customFormat="1" s="34"/>
    <row r="1183" customFormat="1" s="34"/>
    <row r="1184" customFormat="1" s="34"/>
    <row r="1185" customFormat="1" s="34"/>
    <row r="1186" customFormat="1" s="34"/>
    <row r="1187" customFormat="1" s="34"/>
    <row r="1188" customFormat="1" s="34"/>
    <row r="1189" customFormat="1" s="34"/>
    <row r="1190" customFormat="1" s="34"/>
    <row r="1191" customFormat="1" s="34"/>
    <row r="1192" customFormat="1" s="34"/>
    <row r="1193" customFormat="1" s="34"/>
    <row r="1194" customFormat="1" s="34"/>
    <row r="1195" customFormat="1" s="34"/>
    <row r="1196" customFormat="1" s="34"/>
    <row r="1197" customFormat="1" s="34"/>
    <row r="1198" customFormat="1" s="34"/>
    <row r="1199" customFormat="1" s="34"/>
    <row r="1200" customFormat="1" s="34"/>
    <row r="1201" customFormat="1" s="34"/>
    <row r="1202" customFormat="1" s="34"/>
    <row r="1203" customFormat="1" s="34"/>
    <row r="1204" customFormat="1" s="34"/>
    <row r="1205" customFormat="1" s="34"/>
    <row r="1206" customFormat="1" s="34"/>
    <row r="1207" customFormat="1" s="34"/>
    <row r="1208" customFormat="1" s="34"/>
    <row r="1209" customFormat="1" s="34"/>
    <row r="1210" customFormat="1" s="34"/>
    <row r="1211" customFormat="1" s="34"/>
    <row r="1212" customFormat="1" s="34"/>
    <row r="1213" customFormat="1" s="34"/>
    <row r="1214" customFormat="1" s="34"/>
    <row r="1215" customFormat="1" s="34"/>
    <row r="1216" customFormat="1" s="34"/>
    <row r="1217" customFormat="1" s="34"/>
    <row r="1218" customFormat="1" s="34"/>
    <row r="1219" customFormat="1" s="34"/>
    <row r="1220" customFormat="1" s="34"/>
    <row r="1221" customFormat="1" s="34"/>
    <row r="1222" customFormat="1" s="34"/>
    <row r="1223" customFormat="1" s="34"/>
    <row r="1224" customFormat="1" s="34"/>
    <row r="1225" customFormat="1" s="34"/>
    <row r="1226" customFormat="1" s="34"/>
    <row r="1227" customFormat="1" s="34"/>
    <row r="1228" customFormat="1" s="34"/>
    <row r="1229" customFormat="1" s="34"/>
    <row r="1230" customFormat="1" s="34"/>
    <row r="1231" customFormat="1" s="34"/>
    <row r="1232" customFormat="1" s="34"/>
    <row r="1233" customFormat="1" s="34"/>
    <row r="1234" customFormat="1" s="34"/>
    <row r="1235" customFormat="1" s="34"/>
    <row r="1236" customFormat="1" s="34"/>
    <row r="1237" customFormat="1" s="34"/>
    <row r="1238" customFormat="1" s="34"/>
    <row r="1239" customFormat="1" s="34"/>
    <row r="1240" customFormat="1" s="34"/>
    <row r="1241" customFormat="1" s="34"/>
    <row r="1242" customFormat="1" s="34"/>
    <row r="1243" customFormat="1" s="34"/>
    <row r="1244" customFormat="1" s="34"/>
    <row r="1245" customFormat="1" s="34"/>
    <row r="1246" customFormat="1" s="34"/>
    <row r="1247" customFormat="1" s="34"/>
    <row r="1248" customFormat="1" s="34"/>
    <row r="1249" customFormat="1" s="34"/>
    <row r="1250" customFormat="1" s="34"/>
    <row r="1251" customFormat="1" s="34"/>
    <row r="1252" customFormat="1" s="34"/>
    <row r="1253" customFormat="1" s="34"/>
    <row r="1254" customFormat="1" s="34"/>
    <row r="1255" customFormat="1" s="34"/>
    <row r="1256" customFormat="1" s="34"/>
    <row r="1257" customFormat="1" s="34"/>
    <row r="1258" customFormat="1" s="34"/>
    <row r="1259" customFormat="1" s="34"/>
    <row r="1260" customFormat="1" s="34"/>
    <row r="1261" customFormat="1" s="34"/>
    <row r="1262" customFormat="1" s="34"/>
    <row r="1263" customFormat="1" s="34"/>
    <row r="1264" customFormat="1" s="34"/>
    <row r="1265" customFormat="1" s="34"/>
    <row r="1266" customFormat="1" s="34"/>
    <row r="1267" customFormat="1" s="34"/>
    <row r="1268" customFormat="1" s="34"/>
    <row r="1269" customFormat="1" s="34"/>
    <row r="1270" customFormat="1" s="34"/>
    <row r="1271" customFormat="1" s="34"/>
    <row r="1272" customFormat="1" s="34"/>
    <row r="1273" customFormat="1" s="34"/>
    <row r="1274" customFormat="1" s="34"/>
    <row r="1275" customFormat="1" s="34"/>
    <row r="1276" customFormat="1" s="34"/>
    <row r="1277" customFormat="1" s="34"/>
    <row r="1278" customFormat="1" s="34"/>
    <row r="1279" customFormat="1" s="34"/>
    <row r="1280" customFormat="1" s="34"/>
    <row r="1281" customFormat="1" s="34"/>
    <row r="1282" customFormat="1" s="34"/>
    <row r="1283" customFormat="1" s="34"/>
    <row r="1284" customFormat="1" s="34"/>
    <row r="1285" customFormat="1" s="34"/>
    <row r="1286" customFormat="1" s="34"/>
    <row r="1287" customFormat="1" s="34"/>
    <row r="1288" customFormat="1" s="34"/>
    <row r="1289" customFormat="1" s="34"/>
    <row r="1290" customFormat="1" s="34"/>
    <row r="1291" customFormat="1" s="34"/>
    <row r="1292" customFormat="1" s="34"/>
    <row r="1293" customFormat="1" s="34"/>
    <row r="1294" customFormat="1" s="34"/>
    <row r="1295" customFormat="1" s="34"/>
    <row r="1296" customFormat="1" s="34"/>
    <row r="1297" customFormat="1" s="34"/>
    <row r="1298" customFormat="1" s="34"/>
    <row r="1299" customFormat="1" s="34"/>
    <row r="1300" customFormat="1" s="34"/>
    <row r="1301" customFormat="1" s="34"/>
    <row r="1302" customFormat="1" s="34"/>
    <row r="1303" customFormat="1" s="34"/>
    <row r="1304" customFormat="1" s="34"/>
    <row r="1305" customFormat="1" s="34"/>
    <row r="1306" customFormat="1" s="34"/>
    <row r="1307" customFormat="1" s="34"/>
    <row r="1308" customFormat="1" s="34"/>
    <row r="1309" customFormat="1" s="34"/>
    <row r="1310" customFormat="1" s="34"/>
    <row r="1311" customFormat="1" s="34"/>
    <row r="1312" customFormat="1" s="34"/>
    <row r="1313" customFormat="1" s="34"/>
    <row r="1314" customFormat="1" s="34"/>
    <row r="1315" customFormat="1" s="34"/>
    <row r="1316" customFormat="1" s="34"/>
    <row r="1317" customFormat="1" s="34"/>
    <row r="1318" customFormat="1" s="34"/>
    <row r="1319" customFormat="1" s="34"/>
    <row r="1320" customFormat="1" s="34"/>
    <row r="1321" customFormat="1" s="34"/>
    <row r="1322" customFormat="1" s="34"/>
    <row r="1323" customFormat="1" s="34"/>
    <row r="1324" customFormat="1" s="34"/>
    <row r="1325" customFormat="1" s="34"/>
    <row r="1326" customFormat="1" s="34"/>
    <row r="1327" customFormat="1" s="34"/>
    <row r="1328" customFormat="1" s="34"/>
    <row r="1329" customFormat="1" s="34"/>
    <row r="1330" customFormat="1" s="34"/>
    <row r="1331" customFormat="1" s="34"/>
    <row r="1332" customFormat="1" s="34"/>
    <row r="1333" customFormat="1" s="34"/>
    <row r="1334" customFormat="1" s="34"/>
    <row r="1335" customFormat="1" s="34"/>
    <row r="1336" customFormat="1" s="34"/>
    <row r="1337" customFormat="1" s="34"/>
    <row r="1338" customFormat="1" s="34"/>
    <row r="1339" customFormat="1" s="34"/>
    <row r="1340" customFormat="1" s="34"/>
    <row r="1341" customFormat="1" s="34"/>
    <row r="1342" customFormat="1" s="34"/>
    <row r="1343" customFormat="1" s="34"/>
    <row r="1344" customFormat="1" s="34"/>
    <row r="1345" customFormat="1" s="34"/>
    <row r="1346" customFormat="1" s="34"/>
    <row r="1347" customFormat="1" s="34"/>
    <row r="1348" customFormat="1" s="34"/>
    <row r="1349" customFormat="1" s="34"/>
    <row r="1350" customFormat="1" s="34"/>
    <row r="1351" customFormat="1" s="34"/>
    <row r="1352" customFormat="1" s="34"/>
    <row r="1353" customFormat="1" s="34"/>
    <row r="1354" customFormat="1" s="34"/>
    <row r="1355" customFormat="1" s="34"/>
    <row r="1356" customFormat="1" s="34"/>
    <row r="1357" customFormat="1" s="34"/>
    <row r="1358" customFormat="1" s="34"/>
    <row r="1359" customFormat="1" s="34"/>
    <row r="1360" customFormat="1" s="34"/>
    <row r="1361" customFormat="1" s="34"/>
    <row r="1362" customFormat="1" s="34"/>
    <row r="1363" customFormat="1" s="34"/>
    <row r="1364" customFormat="1" s="34"/>
    <row r="1365" customFormat="1" s="34"/>
    <row r="1366" customFormat="1" s="34"/>
    <row r="1367" customFormat="1" s="34"/>
    <row r="1368" customFormat="1" s="34"/>
    <row r="1369" customFormat="1" s="34"/>
    <row r="1370" customFormat="1" s="34"/>
    <row r="1371" customFormat="1" s="34"/>
    <row r="1372" customFormat="1" s="34"/>
    <row r="1373" customFormat="1" s="34"/>
    <row r="1374" customFormat="1" s="34"/>
    <row r="1375" customFormat="1" s="34"/>
    <row r="1376" customFormat="1" s="34"/>
    <row r="1377" customFormat="1" s="34"/>
    <row r="1378" customFormat="1" s="34"/>
    <row r="1379" customFormat="1" s="34"/>
    <row r="1380" customFormat="1" s="34"/>
    <row r="1381" customFormat="1" s="34"/>
    <row r="1382" customFormat="1" s="34"/>
    <row r="1383" customFormat="1" s="34"/>
    <row r="1384" customFormat="1" s="34"/>
    <row r="1385" customFormat="1" s="34"/>
    <row r="1386" customFormat="1" s="34"/>
    <row r="1387" customFormat="1" s="34"/>
    <row r="1388" customFormat="1" s="34"/>
    <row r="1389" customFormat="1" s="34"/>
    <row r="1390" customFormat="1" s="34"/>
    <row r="1391" customFormat="1" s="34"/>
    <row r="1392" customFormat="1" s="34"/>
    <row r="1393" customFormat="1" s="34"/>
    <row r="1394" customFormat="1" s="34"/>
    <row r="1395" customFormat="1" s="34"/>
    <row r="1396" customFormat="1" s="34"/>
    <row r="1397" customFormat="1" s="34"/>
    <row r="1398" customFormat="1" s="34"/>
    <row r="1399" customFormat="1" s="34"/>
    <row r="1400" customFormat="1" s="34"/>
    <row r="1401" customFormat="1" s="34"/>
    <row r="1402" customFormat="1" s="34"/>
    <row r="1403" customFormat="1" s="34"/>
    <row r="1404" customFormat="1" s="34"/>
    <row r="1405" customFormat="1" s="34"/>
    <row r="1406" customFormat="1" s="34"/>
    <row r="1407" customFormat="1" s="34"/>
    <row r="1408" customFormat="1" s="34"/>
    <row r="1409" customFormat="1" s="34"/>
    <row r="1410" customFormat="1" s="34"/>
    <row r="1411" customFormat="1" s="34"/>
    <row r="1412" customFormat="1" s="34"/>
    <row r="1413" customFormat="1" s="34"/>
    <row r="1414" customFormat="1" s="34"/>
    <row r="1415" customFormat="1" s="34"/>
    <row r="1416" customFormat="1" s="34"/>
    <row r="1417" customFormat="1" s="34"/>
    <row r="1418" customFormat="1" s="34"/>
    <row r="1419" customFormat="1" s="34"/>
    <row r="1420" customFormat="1" s="34"/>
    <row r="1421" customFormat="1" s="34"/>
    <row r="1422" customFormat="1" s="34"/>
    <row r="1423" customFormat="1" s="34"/>
    <row r="1424" customFormat="1" s="34"/>
    <row r="1425" customFormat="1" s="34"/>
    <row r="1426" customFormat="1" s="34"/>
    <row r="1427" customFormat="1" s="34"/>
    <row r="1428" customFormat="1" s="34"/>
    <row r="1429" customFormat="1" s="34"/>
    <row r="1430" customFormat="1" s="34"/>
    <row r="1431" customFormat="1" s="34"/>
    <row r="1432" customFormat="1" s="34"/>
    <row r="1433" customFormat="1" s="34"/>
    <row r="1434" customFormat="1" s="34"/>
    <row r="1435" customFormat="1" s="34"/>
    <row r="1436" customFormat="1" s="34"/>
    <row r="1437" customFormat="1" s="34"/>
    <row r="1438" customFormat="1" s="34"/>
    <row r="1439" customFormat="1" s="34"/>
    <row r="1440" customFormat="1" s="34"/>
    <row r="1441" customFormat="1" s="34"/>
    <row r="1442" customFormat="1" s="34"/>
    <row r="1443" customFormat="1" s="34"/>
    <row r="1444" customFormat="1" s="34"/>
    <row r="1445" customFormat="1" s="34"/>
    <row r="1446" customFormat="1" s="34"/>
    <row r="1447" customFormat="1" s="34"/>
    <row r="1448" customFormat="1" s="34"/>
    <row r="1449" customFormat="1" s="34"/>
    <row r="1450" customFormat="1" s="34"/>
    <row r="1451" customFormat="1" s="34"/>
    <row r="1452" customFormat="1" s="34"/>
    <row r="1453" customFormat="1" s="34"/>
    <row r="1454" customFormat="1" s="34"/>
    <row r="1455" customFormat="1" s="34"/>
    <row r="1456" customFormat="1" s="34"/>
    <row r="1457" customFormat="1" s="34"/>
    <row r="1458" customFormat="1" s="34"/>
    <row r="1459" customFormat="1" s="34"/>
    <row r="1460" customFormat="1" s="34"/>
    <row r="1461" customFormat="1" s="34"/>
    <row r="1462" customFormat="1" s="34"/>
    <row r="1463" customFormat="1" s="34"/>
    <row r="1464" customFormat="1" s="34"/>
    <row r="1465" customFormat="1" s="34"/>
    <row r="1466" customFormat="1" s="34"/>
    <row r="1467" customFormat="1" s="34"/>
    <row r="1468" customFormat="1" s="34"/>
    <row r="1469" customFormat="1" s="34"/>
    <row r="1470" customFormat="1" s="34"/>
    <row r="1471" customFormat="1" s="34"/>
    <row r="1472" customFormat="1" s="34"/>
    <row r="1473" customFormat="1" s="34"/>
    <row r="1474" customFormat="1" s="34"/>
    <row r="1475" customFormat="1" s="34"/>
    <row r="1476" customFormat="1" s="34"/>
    <row r="1477" customFormat="1" s="34"/>
    <row r="1478" customFormat="1" s="34"/>
    <row r="1479" customFormat="1" s="34"/>
    <row r="1480" customFormat="1" s="34"/>
    <row r="1481" customFormat="1" s="34"/>
    <row r="1482" customFormat="1" s="34"/>
    <row r="1483" customFormat="1" s="34"/>
    <row r="1484" customFormat="1" s="34"/>
    <row r="1485" customFormat="1" s="34"/>
    <row r="1486" customFormat="1" s="34"/>
    <row r="1487" customFormat="1" s="34"/>
    <row r="1488" customFormat="1" s="34"/>
    <row r="1489" customFormat="1" s="34"/>
    <row r="1490" customFormat="1" s="34"/>
    <row r="1491" customFormat="1" s="34"/>
    <row r="1492" customFormat="1" s="34"/>
    <row r="1493" customFormat="1" s="34"/>
    <row r="1494" customFormat="1" s="34"/>
    <row r="1495" customFormat="1" s="34"/>
    <row r="1496" customFormat="1" s="34"/>
    <row r="1497" customFormat="1" s="34"/>
    <row r="1498" customFormat="1" s="34"/>
    <row r="1499" customFormat="1" s="34"/>
    <row r="1500" customFormat="1" s="34"/>
    <row r="1501" customFormat="1" s="34"/>
    <row r="1502" customFormat="1" s="34"/>
    <row r="1503" customFormat="1" s="34"/>
    <row r="1504" customFormat="1" s="34"/>
    <row r="1505" customFormat="1" s="34"/>
    <row r="1506" customFormat="1" s="34"/>
    <row r="1507" customFormat="1" s="34"/>
    <row r="1508" customFormat="1" s="34"/>
    <row r="1509" customFormat="1" s="34"/>
    <row r="1510" customFormat="1" s="34"/>
    <row r="1511" customFormat="1" s="34"/>
    <row r="1512" customFormat="1" s="34"/>
    <row r="1513" customFormat="1" s="34"/>
    <row r="1514" customFormat="1" s="34"/>
    <row r="1515" customFormat="1" s="34"/>
    <row r="1516" customFormat="1" s="34"/>
    <row r="1517" customFormat="1" s="34"/>
    <row r="1518" customFormat="1" s="34"/>
    <row r="1519" customFormat="1" s="34"/>
    <row r="1520" customFormat="1" s="34"/>
    <row r="1521" customFormat="1" s="34"/>
    <row r="1522" customFormat="1" s="34"/>
    <row r="1523" customFormat="1" s="34"/>
    <row r="1524" customFormat="1" s="34"/>
    <row r="1525" customFormat="1" s="34"/>
    <row r="1526" customFormat="1" s="34"/>
    <row r="1527" customFormat="1" s="34"/>
    <row r="1528" customFormat="1" s="34"/>
    <row r="1529" customFormat="1" s="34"/>
    <row r="1530" customFormat="1" s="34"/>
    <row r="1531" customFormat="1" s="34"/>
    <row r="1532" customFormat="1" s="34"/>
    <row r="1533" customFormat="1" s="34"/>
    <row r="1534" customFormat="1" s="34"/>
    <row r="1535" customFormat="1" s="34"/>
    <row r="1536" customFormat="1" s="34"/>
    <row r="1537" customFormat="1" s="34"/>
    <row r="1538" customFormat="1" s="34"/>
    <row r="1539" customFormat="1" s="34"/>
    <row r="1540" customFormat="1" s="34"/>
    <row r="1541" customFormat="1" s="34"/>
    <row r="1542" customFormat="1" s="34"/>
    <row r="1543" customFormat="1" s="34"/>
    <row r="1544" customFormat="1" s="34"/>
    <row r="1545" customFormat="1" s="34"/>
    <row r="1546" customFormat="1" s="34"/>
    <row r="1547" customFormat="1" s="34"/>
    <row r="1548" customFormat="1" s="34"/>
    <row r="1549" customFormat="1" s="34"/>
    <row r="1550" customFormat="1" s="34"/>
    <row r="1551" customFormat="1" s="34"/>
    <row r="1552" customFormat="1" s="34"/>
    <row r="1553" customFormat="1" s="34"/>
    <row r="1554" customFormat="1" s="34"/>
    <row r="1555" customFormat="1" s="34"/>
    <row r="1556" customFormat="1" s="34"/>
    <row r="1557" customFormat="1" s="34"/>
    <row r="1558" customFormat="1" s="34"/>
    <row r="1559" customFormat="1" s="34"/>
    <row r="1560" customFormat="1" s="34"/>
    <row r="1561" customFormat="1" s="34"/>
    <row r="1562" customFormat="1" s="34"/>
    <row r="1563" customFormat="1" s="34"/>
    <row r="1564" customFormat="1" s="34"/>
    <row r="1565" customFormat="1" s="34"/>
    <row r="1566" customFormat="1" s="34"/>
    <row r="1567" customFormat="1" s="34"/>
    <row r="1568" customFormat="1" s="34"/>
    <row r="1569" customFormat="1" s="34"/>
    <row r="1570" customFormat="1" s="34"/>
    <row r="1571" customFormat="1" s="34"/>
    <row r="1572" customFormat="1" s="34"/>
    <row r="1573" customFormat="1" s="34"/>
    <row r="1574" customFormat="1" s="34"/>
    <row r="1575" customFormat="1" s="34"/>
    <row r="1576" customFormat="1" s="34"/>
    <row r="1577" customFormat="1" s="34"/>
    <row r="1578" customFormat="1" s="34"/>
    <row r="1579" customFormat="1" s="34"/>
    <row r="1580" customFormat="1" s="34"/>
    <row r="1581" customFormat="1" s="34"/>
    <row r="1582" customFormat="1" s="34"/>
    <row r="1583" customFormat="1" s="34"/>
    <row r="1584" customFormat="1" s="34"/>
    <row r="1585" customFormat="1" s="34"/>
    <row r="1586" customFormat="1" s="34"/>
    <row r="1587" customFormat="1" s="34"/>
    <row r="1588" customFormat="1" s="34"/>
    <row r="1589" customFormat="1" s="34"/>
    <row r="1590" customFormat="1" s="34"/>
    <row r="1591" customFormat="1" s="34"/>
    <row r="1592" customFormat="1" s="34"/>
    <row r="1593" customFormat="1" s="34"/>
    <row r="1594" customFormat="1" s="34"/>
    <row r="1595" customFormat="1" s="34"/>
    <row r="1596" customFormat="1" s="34"/>
    <row r="1597" customFormat="1" s="34"/>
    <row r="1598" customFormat="1" s="34"/>
    <row r="1599" customFormat="1" s="34"/>
    <row r="1600" customFormat="1" s="34"/>
    <row r="1601" customFormat="1" s="34"/>
    <row r="1602" customFormat="1" s="34"/>
    <row r="1603" customFormat="1" s="34"/>
    <row r="1604" customFormat="1" s="34"/>
    <row r="1605" customFormat="1" s="34"/>
    <row r="1606" customFormat="1" s="34"/>
    <row r="1607" customFormat="1" s="34"/>
    <row r="1608" customFormat="1" s="34"/>
    <row r="1609" customFormat="1" s="34"/>
    <row r="1610" customFormat="1" s="34"/>
    <row r="1611" customFormat="1" s="34"/>
    <row r="1612" customFormat="1" s="34"/>
    <row r="1613" customFormat="1" s="34"/>
    <row r="1614" customFormat="1" s="34"/>
    <row r="1615" customFormat="1" s="34"/>
    <row r="1616" customFormat="1" s="34"/>
    <row r="1617" customFormat="1" s="34"/>
    <row r="1618" customFormat="1" s="34"/>
    <row r="1619" customFormat="1" s="34"/>
    <row r="1620" customFormat="1" s="34"/>
    <row r="1621" customFormat="1" s="34"/>
    <row r="1622" customFormat="1" s="34"/>
    <row r="1623" customFormat="1" s="34"/>
    <row r="1624" customFormat="1" s="34"/>
    <row r="1625" customFormat="1" s="34"/>
    <row r="1626" customFormat="1" s="34"/>
    <row r="1627" customFormat="1" s="34"/>
    <row r="1628" customFormat="1" s="34"/>
    <row r="1629" customFormat="1" s="34"/>
    <row r="1630" customFormat="1" s="34"/>
    <row r="1631" customFormat="1" s="34"/>
    <row r="1632" customFormat="1" s="34"/>
    <row r="1633" customFormat="1" s="34"/>
    <row r="1634" customFormat="1" s="34"/>
    <row r="1635" customFormat="1" s="34"/>
    <row r="1636" customFormat="1" s="34"/>
    <row r="1637" customFormat="1" s="34"/>
    <row r="1638" customFormat="1" s="34"/>
    <row r="1639" customFormat="1" s="34"/>
    <row r="1640" customFormat="1" s="34"/>
    <row r="1641" customFormat="1" s="34"/>
    <row r="1642" customFormat="1" s="34"/>
    <row r="1643" customFormat="1" s="34"/>
    <row r="1644" customFormat="1" s="34"/>
    <row r="1645" customFormat="1" s="34"/>
    <row r="1646" customFormat="1" s="34"/>
    <row r="1647" customFormat="1" s="34"/>
    <row r="1648" customFormat="1" s="34"/>
    <row r="1649" customFormat="1" s="34"/>
    <row r="1650" customFormat="1" s="34"/>
    <row r="1651" customFormat="1" s="34"/>
    <row r="1652" customFormat="1" s="34"/>
    <row r="1653" customFormat="1" s="34"/>
    <row r="1654" customFormat="1" s="34"/>
    <row r="1655" customFormat="1" s="34"/>
    <row r="1656" customFormat="1" s="34"/>
    <row r="1657" customFormat="1" s="34"/>
    <row r="1658" customFormat="1" s="34"/>
    <row r="1659" customFormat="1" s="34"/>
    <row r="1660" customFormat="1" s="34"/>
    <row r="1661" customFormat="1" s="34"/>
    <row r="1662" customFormat="1" s="34"/>
    <row r="1663" customFormat="1" s="34"/>
    <row r="1664" customFormat="1" s="34"/>
    <row r="1665" customFormat="1" s="34"/>
    <row r="1666" customFormat="1" s="34"/>
    <row r="1667" customFormat="1" s="34"/>
    <row r="1668" customFormat="1" s="34"/>
    <row r="1669" customFormat="1" s="34"/>
    <row r="1670" customFormat="1" s="34"/>
    <row r="1671" customFormat="1" s="34"/>
    <row r="1672" customFormat="1" s="34"/>
    <row r="1673" customFormat="1" s="34"/>
    <row r="1674" customFormat="1" s="34"/>
    <row r="1675" customFormat="1" s="34"/>
    <row r="1676" customFormat="1" s="34"/>
    <row r="1677" customFormat="1" s="34"/>
    <row r="1678" customFormat="1" s="34"/>
    <row r="1679" customFormat="1" s="34"/>
    <row r="1680" customFormat="1" s="34"/>
    <row r="1681" customFormat="1" s="34"/>
    <row r="1682" customFormat="1" s="34"/>
    <row r="1683" customFormat="1" s="34"/>
    <row r="1684" customFormat="1" s="34"/>
    <row r="1685" customFormat="1" s="34"/>
    <row r="1686" customFormat="1" s="34"/>
    <row r="1687" customFormat="1" s="34"/>
    <row r="1688" customFormat="1" s="34"/>
    <row r="1689" customFormat="1" s="34"/>
    <row r="1690" customFormat="1" s="34"/>
    <row r="1691" customFormat="1" s="34"/>
    <row r="1692" customFormat="1" s="34"/>
    <row r="1693" customFormat="1" s="34"/>
    <row r="1694" customFormat="1" s="34"/>
    <row r="1695" customFormat="1" s="34"/>
    <row r="1696" customFormat="1" s="34"/>
    <row r="1697" customFormat="1" s="34"/>
    <row r="1698" customFormat="1" s="34"/>
    <row r="1699" customFormat="1" s="34"/>
    <row r="1700" customFormat="1" s="34"/>
    <row r="1701" customFormat="1" s="34"/>
    <row r="1702" customFormat="1" s="34"/>
    <row r="1703" customFormat="1" s="34"/>
    <row r="1704" customFormat="1" s="34"/>
    <row r="1705" customFormat="1" s="34"/>
    <row r="1706" customFormat="1" s="34"/>
    <row r="1707" customFormat="1" s="34"/>
    <row r="1708" customFormat="1" s="34"/>
    <row r="1709" customFormat="1" s="34"/>
    <row r="1710" customFormat="1" s="34"/>
    <row r="1711" customFormat="1" s="34"/>
    <row r="1712" customFormat="1" s="34"/>
    <row r="1713" customFormat="1" s="34"/>
    <row r="1714" customFormat="1" s="34"/>
    <row r="1715" customFormat="1" s="34"/>
    <row r="1716" customFormat="1" s="34"/>
    <row r="1717" customFormat="1" s="34"/>
    <row r="1718" customFormat="1" s="34"/>
    <row r="1719" customFormat="1" s="34"/>
    <row r="1720" customFormat="1" s="34"/>
    <row r="1721" customFormat="1" s="34"/>
    <row r="1722" customFormat="1" s="34"/>
    <row r="1723" customFormat="1" s="34"/>
    <row r="1724" customFormat="1" s="34"/>
    <row r="1725" customFormat="1" s="34"/>
    <row r="1726" customFormat="1" s="34"/>
    <row r="1727" customFormat="1" s="34"/>
    <row r="1728" customFormat="1" s="34"/>
    <row r="1729" customFormat="1" s="34"/>
    <row r="1730" customFormat="1" s="34"/>
    <row r="1731" customFormat="1" s="34"/>
    <row r="1732" customFormat="1" s="34"/>
    <row r="1733" customFormat="1" s="34"/>
    <row r="1734" customFormat="1" s="34"/>
    <row r="1735" customFormat="1" s="34"/>
    <row r="1736" customFormat="1" s="34"/>
    <row r="1737" customFormat="1" s="34"/>
    <row r="1738" customFormat="1" s="34"/>
    <row r="1739" customFormat="1" s="34"/>
    <row r="1740" customFormat="1" s="34"/>
    <row r="1741" customFormat="1" s="34"/>
    <row r="1742" customFormat="1" s="34"/>
    <row r="1743" customFormat="1" s="34"/>
    <row r="1744" customFormat="1" s="34"/>
    <row r="1745" customFormat="1" s="34"/>
    <row r="1746" customFormat="1" s="34"/>
    <row r="1747" customFormat="1" s="34"/>
    <row r="1748" customFormat="1" s="34"/>
    <row r="1749" customFormat="1" s="34"/>
    <row r="1750" customFormat="1" s="34"/>
    <row r="1751" customFormat="1" s="34"/>
    <row r="1752" customFormat="1" s="34"/>
    <row r="1753" customFormat="1" s="34"/>
    <row r="1754" customFormat="1" s="34"/>
    <row r="1755" customFormat="1" s="34"/>
    <row r="1756" customFormat="1" s="34"/>
    <row r="1757" customFormat="1" s="34"/>
    <row r="1758" customFormat="1" s="34"/>
    <row r="1759" customFormat="1" s="34"/>
    <row r="1760" customFormat="1" s="34"/>
    <row r="1761" customFormat="1" s="34"/>
    <row r="1762" customFormat="1" s="34"/>
    <row r="1763" customFormat="1" s="34"/>
    <row r="1764" customFormat="1" s="34"/>
    <row r="1765" customFormat="1" s="34"/>
    <row r="1766" customFormat="1" s="34"/>
    <row r="1767" customFormat="1" s="34"/>
    <row r="1768" customFormat="1" s="34"/>
    <row r="1769" customFormat="1" s="34"/>
    <row r="1770" customFormat="1" s="34"/>
    <row r="1771" customFormat="1" s="34"/>
    <row r="1772" customFormat="1" s="34"/>
    <row r="1773" customFormat="1" s="34"/>
    <row r="1774" customFormat="1" s="34"/>
    <row r="1775" customFormat="1" s="34"/>
    <row r="1776" customFormat="1" s="34"/>
    <row r="1777" customFormat="1" s="34"/>
    <row r="1778" customFormat="1" s="34"/>
    <row r="1779" customFormat="1" s="34"/>
    <row r="1780" customFormat="1" s="34"/>
    <row r="1781" customFormat="1" s="34"/>
    <row r="1782" customFormat="1" s="34"/>
    <row r="1783" customFormat="1" s="34"/>
    <row r="1784" customFormat="1" s="34"/>
    <row r="1785" customFormat="1" s="34"/>
    <row r="1786" customFormat="1" s="34"/>
    <row r="1787" customFormat="1" s="34"/>
    <row r="1788" customFormat="1" s="34"/>
    <row r="1789" customFormat="1" s="34"/>
    <row r="1790" customFormat="1" s="34"/>
    <row r="1791" customFormat="1" s="34"/>
    <row r="1792" customFormat="1" s="34"/>
    <row r="1793" customFormat="1" s="34"/>
    <row r="1794" customFormat="1" s="34"/>
    <row r="1795" customFormat="1" s="34"/>
    <row r="1796" customFormat="1" s="34"/>
    <row r="1797" customFormat="1" s="34"/>
    <row r="1798" customFormat="1" s="34"/>
    <row r="1799" customFormat="1" s="34"/>
    <row r="1800" customFormat="1" s="34"/>
    <row r="1801" customFormat="1" s="34"/>
    <row r="1802" customFormat="1" s="34"/>
    <row r="1803" customFormat="1" s="34"/>
    <row r="1804" customFormat="1" s="34"/>
    <row r="1805" customFormat="1" s="34"/>
    <row r="1806" customFormat="1" s="34"/>
    <row r="1807" customFormat="1" s="34"/>
    <row r="1808" customFormat="1" s="34"/>
    <row r="1809" customFormat="1" s="34"/>
    <row r="1810" customFormat="1" s="34"/>
    <row r="1811" customFormat="1" s="34"/>
    <row r="1812" customFormat="1" s="34"/>
    <row r="1813" customFormat="1" s="34"/>
    <row r="1814" customFormat="1" s="34"/>
    <row r="1815" customFormat="1" s="34"/>
    <row r="1816" customFormat="1" s="34"/>
    <row r="1817" customFormat="1" s="34"/>
    <row r="1818" customFormat="1" s="34"/>
    <row r="1819" customFormat="1" s="34"/>
    <row r="1820" customFormat="1" s="34"/>
    <row r="1821" customFormat="1" s="34"/>
    <row r="1822" customFormat="1" s="34"/>
    <row r="1823" customFormat="1" s="34"/>
    <row r="1824" customFormat="1" s="34"/>
    <row r="1825" customFormat="1" s="34"/>
    <row r="1826" customFormat="1" s="34"/>
    <row r="1827" customFormat="1" s="34"/>
    <row r="1828" customFormat="1" s="34"/>
    <row r="1829" customFormat="1" s="34"/>
    <row r="1830" customFormat="1" s="34"/>
    <row r="1831" customFormat="1" s="34"/>
    <row r="1832" customFormat="1" s="34"/>
    <row r="1833" customFormat="1" s="34"/>
    <row r="1834" customFormat="1" s="34"/>
    <row r="1835" customFormat="1" s="34"/>
    <row r="1836" customFormat="1" s="34"/>
    <row r="1837" customFormat="1" s="34"/>
    <row r="1838" customFormat="1" s="34"/>
    <row r="1839" customFormat="1" s="34"/>
    <row r="1840" customFormat="1" s="34"/>
    <row r="1841" customFormat="1" s="34"/>
    <row r="1842" customFormat="1" s="34"/>
    <row r="1843" customFormat="1" s="34"/>
    <row r="1844" customFormat="1" s="34"/>
    <row r="1845" customFormat="1" s="34"/>
    <row r="1846" customFormat="1" s="34"/>
    <row r="1847" customFormat="1" s="34"/>
    <row r="1848" customFormat="1" s="34"/>
    <row r="1849" customFormat="1" s="34"/>
    <row r="1850" customFormat="1" s="34"/>
    <row r="1851" customFormat="1" s="34"/>
    <row r="1852" customFormat="1" s="34"/>
    <row r="1853" customFormat="1" s="34"/>
    <row r="1854" customFormat="1" s="34"/>
    <row r="1855" customFormat="1" s="34"/>
    <row r="1856" customFormat="1" s="34"/>
    <row r="1857" customFormat="1" s="34"/>
    <row r="1858" customFormat="1" s="34"/>
    <row r="1859" customFormat="1" s="34"/>
    <row r="1860" customFormat="1" s="34"/>
    <row r="1861" customFormat="1" s="34"/>
    <row r="1862" customFormat="1" s="34"/>
    <row r="1863" customFormat="1" s="34"/>
    <row r="1864" customFormat="1" s="34"/>
    <row r="1865" customFormat="1" s="34"/>
    <row r="1866" customFormat="1" s="34"/>
    <row r="1867" customFormat="1" s="34"/>
    <row r="1868" customFormat="1" s="34"/>
    <row r="1869" customFormat="1" s="34"/>
    <row r="1870" customFormat="1" s="34"/>
    <row r="1871" customFormat="1" s="34"/>
    <row r="1872" customFormat="1" s="34"/>
    <row r="1873" customFormat="1" s="34"/>
    <row r="1874" customFormat="1" s="34"/>
    <row r="1875" customFormat="1" s="34"/>
    <row r="1876" customFormat="1" s="34"/>
    <row r="1877" customFormat="1" s="34"/>
    <row r="1878" customFormat="1" s="34"/>
    <row r="1879" customFormat="1" s="34"/>
    <row r="1880" customFormat="1" s="34"/>
    <row r="1881" customFormat="1" s="34"/>
    <row r="1882" customFormat="1" s="34"/>
    <row r="1883" customFormat="1" s="34"/>
    <row r="1884" customFormat="1" s="34"/>
    <row r="1885" customFormat="1" s="34"/>
    <row r="1886" customFormat="1" s="34"/>
    <row r="1887" customFormat="1" s="34"/>
    <row r="1888" customFormat="1" s="34"/>
    <row r="1889" customFormat="1" s="34"/>
    <row r="1890" customFormat="1" s="34"/>
    <row r="1891" customFormat="1" s="34"/>
    <row r="1892" customFormat="1" s="34"/>
    <row r="1893" customFormat="1" s="34"/>
    <row r="1894" customFormat="1" s="34"/>
    <row r="1895" customFormat="1" s="34"/>
    <row r="1896" customFormat="1" s="34"/>
    <row r="1897" customFormat="1" s="34"/>
    <row r="1898" customFormat="1" s="34"/>
    <row r="1899" customFormat="1" s="34"/>
    <row r="1900" customFormat="1" s="34"/>
    <row r="1901" customFormat="1" s="34"/>
    <row r="1902" customFormat="1" s="34"/>
    <row r="1903" customFormat="1" s="34"/>
    <row r="1904" customFormat="1" s="34"/>
    <row r="1905" customFormat="1" s="34"/>
    <row r="1906" customFormat="1" s="34"/>
    <row r="1907" customFormat="1" s="34"/>
    <row r="1908" customFormat="1" s="34"/>
    <row r="1909" customFormat="1" s="34"/>
    <row r="1910" customFormat="1" s="34"/>
    <row r="1911" customFormat="1" s="34"/>
    <row r="1912" customFormat="1" s="34"/>
    <row r="1913" customFormat="1" s="34"/>
    <row r="1914" customFormat="1" s="34"/>
    <row r="1915" customFormat="1" s="34"/>
    <row r="1916" customFormat="1" s="34"/>
    <row r="1917" customFormat="1" s="34"/>
    <row r="1918" customFormat="1" s="34"/>
    <row r="1919" customFormat="1" s="34"/>
    <row r="1920" customFormat="1" s="34"/>
    <row r="1921" customFormat="1" s="34"/>
    <row r="1922" customFormat="1" s="34"/>
    <row r="1923" customFormat="1" s="34"/>
    <row r="1924" customFormat="1" s="34"/>
    <row r="1925" customFormat="1" s="34"/>
    <row r="1926" customFormat="1" s="34"/>
    <row r="1927" customFormat="1" s="34"/>
    <row r="1928" customFormat="1" s="34"/>
    <row r="1929" customFormat="1" s="34"/>
    <row r="1930" customFormat="1" s="34"/>
    <row r="1931" customFormat="1" s="34"/>
    <row r="1932" customFormat="1" s="34"/>
    <row r="1933" customFormat="1" s="34"/>
    <row r="1934" customFormat="1" s="34"/>
    <row r="1935" customFormat="1" s="34"/>
    <row r="1936" customFormat="1" s="34"/>
    <row r="1937" customFormat="1" s="34"/>
    <row r="1938" customFormat="1" s="34"/>
    <row r="1939" customFormat="1" s="34"/>
    <row r="1940" customFormat="1" s="34"/>
    <row r="1941" customFormat="1" s="34"/>
    <row r="1942" customFormat="1" s="34"/>
    <row r="1943" customFormat="1" s="34"/>
    <row r="1944" customFormat="1" s="34"/>
    <row r="1945" customFormat="1" s="34"/>
    <row r="1946" customFormat="1" s="34"/>
    <row r="1947" customFormat="1" s="34"/>
    <row r="1948" customFormat="1" s="34"/>
    <row r="1949" customFormat="1" s="34"/>
    <row r="1950" customFormat="1" s="34"/>
    <row r="1951" customFormat="1" s="34"/>
    <row r="1952" customFormat="1" s="34"/>
    <row r="1953" customFormat="1" s="34"/>
    <row r="1954" customFormat="1" s="34"/>
    <row r="1955" customFormat="1" s="34"/>
    <row r="1956" customFormat="1" s="34"/>
    <row r="1957" customFormat="1" s="34"/>
    <row r="1958" customFormat="1" s="34"/>
    <row r="1959" customFormat="1" s="34"/>
    <row r="1960" customFormat="1" s="34"/>
    <row r="1961" customFormat="1" s="34"/>
    <row r="1962" customFormat="1" s="34"/>
    <row r="1963" customFormat="1" s="34"/>
    <row r="1964" customFormat="1" s="34"/>
    <row r="1965" customFormat="1" s="34"/>
    <row r="1966" customFormat="1" s="34"/>
    <row r="1967" customFormat="1" s="34"/>
    <row r="1968" customFormat="1" s="34"/>
    <row r="1969" customFormat="1" s="34"/>
    <row r="1970" customFormat="1" s="34"/>
    <row r="1971" customFormat="1" s="34"/>
    <row r="1972" customFormat="1" s="34"/>
    <row r="1973" customFormat="1" s="34"/>
    <row r="1974" customFormat="1" s="34"/>
    <row r="1975" customFormat="1" s="34"/>
    <row r="1976" customFormat="1" s="34"/>
    <row r="1977" customFormat="1" s="34"/>
    <row r="1978" customFormat="1" s="34"/>
    <row r="1979" customFormat="1" s="34"/>
    <row r="1980" customFormat="1" s="34"/>
    <row r="1981" customFormat="1" s="34"/>
    <row r="1982" customFormat="1" s="34"/>
    <row r="1983" customFormat="1" s="34"/>
    <row r="1984" customFormat="1" s="34"/>
    <row r="1985" customFormat="1" s="34"/>
    <row r="1986" customFormat="1" s="34"/>
    <row r="1987" customFormat="1" s="34"/>
    <row r="1988" customFormat="1" s="34"/>
    <row r="1989" customFormat="1" s="34"/>
    <row r="1990" customFormat="1" s="34"/>
    <row r="1991" customFormat="1" s="34"/>
    <row r="1992" customFormat="1" s="34"/>
    <row r="1993" customFormat="1" s="34"/>
    <row r="1994" customFormat="1" s="34"/>
    <row r="1995" customFormat="1" s="34"/>
    <row r="1996" customFormat="1" s="34"/>
    <row r="1997" customFormat="1" s="34"/>
    <row r="1998" customFormat="1" s="34"/>
    <row r="1999" customFormat="1" s="34"/>
    <row r="2000" customFormat="1" s="34"/>
    <row r="2001" customFormat="1" s="34"/>
    <row r="2002" customFormat="1" s="34"/>
    <row r="262091">
      <c r="B262091" s="66"/>
      <c r="G262091" s="66"/>
    </row>
    <row r="262092">
      <c r="B262092" s="66"/>
      <c r="G262092" s="66"/>
    </row>
  </sheetData>
  <autoFilter ref="A1:W95"/>
  <hyperlinks>
    <hyperlink ref="D2" r:id="rId1"/>
    <hyperlink ref="F2" r:id="rId2"/>
    <hyperlink ref="D3" r:id="rId3"/>
    <hyperlink ref="F3" r:id="rId4"/>
    <hyperlink ref="U3" r:id="rId5"/>
    <hyperlink ref="D4" r:id="rId6"/>
    <hyperlink ref="F4" r:id="rId7"/>
    <hyperlink ref="L4" r:id="rId8"/>
    <hyperlink ref="U4" r:id="rId9"/>
    <hyperlink ref="D5" r:id="rId10"/>
    <hyperlink ref="F5" r:id="rId11"/>
    <hyperlink ref="D6" r:id="rId12"/>
    <hyperlink ref="F6" r:id="rId13"/>
    <hyperlink ref="U6" r:id="rId14"/>
    <hyperlink ref="D7" r:id="rId15"/>
    <hyperlink ref="F7" r:id="rId16"/>
    <hyperlink ref="D8" r:id="rId17"/>
    <hyperlink ref="F8" r:id="rId18"/>
    <hyperlink ref="L8" r:id="rId19"/>
    <hyperlink ref="U8" r:id="rId20"/>
    <hyperlink ref="D9" r:id="rId21"/>
    <hyperlink ref="F9" r:id="rId22"/>
    <hyperlink ref="L9" r:id="rId23"/>
    <hyperlink ref="U9" r:id="rId24"/>
    <hyperlink ref="D10" r:id="rId25"/>
    <hyperlink ref="F10" r:id="rId26"/>
    <hyperlink ref="L10" r:id="rId27"/>
    <hyperlink ref="U10" r:id="rId28"/>
    <hyperlink ref="D11" r:id="rId29"/>
    <hyperlink ref="F11" r:id="rId30"/>
    <hyperlink ref="L11" r:id="rId31"/>
    <hyperlink ref="D12" r:id="rId32"/>
    <hyperlink ref="F12" r:id="rId33"/>
    <hyperlink ref="U12" r:id="rId34"/>
    <hyperlink ref="D13" r:id="rId35"/>
    <hyperlink ref="F13" r:id="rId36"/>
    <hyperlink ref="U13" r:id="rId37"/>
    <hyperlink ref="D14" r:id="rId38"/>
    <hyperlink ref="F14" r:id="rId39"/>
    <hyperlink ref="D15" r:id="rId40"/>
    <hyperlink ref="F15" r:id="rId41"/>
    <hyperlink ref="U15" r:id="rId42"/>
    <hyperlink ref="D16" r:id="rId43"/>
    <hyperlink ref="F16" r:id="rId44"/>
    <hyperlink ref="U16" r:id="rId45"/>
    <hyperlink ref="D17" r:id="rId46"/>
    <hyperlink ref="F17" r:id="rId47"/>
    <hyperlink ref="U17" r:id="rId48"/>
    <hyperlink ref="D18" r:id="rId49"/>
    <hyperlink ref="F18" r:id="rId50"/>
    <hyperlink ref="D19" r:id="rId51"/>
    <hyperlink ref="F19" r:id="rId52"/>
    <hyperlink ref="U19" r:id="rId53"/>
    <hyperlink ref="D20" r:id="rId54"/>
    <hyperlink ref="F20" r:id="rId55"/>
    <hyperlink ref="U20" r:id="rId56"/>
    <hyperlink ref="D21" r:id="rId57"/>
    <hyperlink ref="F21" r:id="rId58"/>
    <hyperlink ref="U21" r:id="rId59"/>
    <hyperlink ref="D22" r:id="rId60"/>
    <hyperlink ref="F22" r:id="rId61"/>
    <hyperlink ref="D23" r:id="rId62"/>
    <hyperlink ref="F23" r:id="rId63"/>
    <hyperlink ref="U23" r:id="rId64"/>
    <hyperlink ref="D24" r:id="rId65"/>
    <hyperlink ref="F24" r:id="rId66"/>
    <hyperlink ref="U24" r:id="rId67"/>
    <hyperlink ref="D25" r:id="rId68"/>
    <hyperlink ref="F25" r:id="rId69"/>
    <hyperlink ref="L25" r:id="rId70"/>
    <hyperlink ref="U25" r:id="rId71"/>
    <hyperlink ref="D26" r:id="rId72"/>
    <hyperlink ref="F26" r:id="rId73"/>
    <hyperlink ref="L26" r:id="rId74"/>
    <hyperlink ref="U26" r:id="rId75"/>
    <hyperlink ref="D27" r:id="rId76"/>
    <hyperlink ref="F27" r:id="rId77"/>
    <hyperlink ref="U27" r:id="rId78"/>
    <hyperlink ref="D28" r:id="rId79"/>
    <hyperlink ref="F28" r:id="rId80"/>
    <hyperlink ref="D29" r:id="rId81"/>
    <hyperlink ref="F29" r:id="rId82"/>
    <hyperlink ref="D30" r:id="rId83"/>
    <hyperlink ref="F30" r:id="rId84"/>
    <hyperlink ref="L30" r:id="rId85"/>
    <hyperlink ref="U30" r:id="rId86"/>
    <hyperlink ref="D31" r:id="rId87"/>
    <hyperlink ref="F31" r:id="rId88"/>
    <hyperlink ref="U31" r:id="rId89"/>
    <hyperlink ref="D32" r:id="rId90"/>
    <hyperlink ref="F32" r:id="rId91"/>
    <hyperlink ref="D33" r:id="rId92"/>
    <hyperlink ref="F33" r:id="rId93"/>
    <hyperlink ref="D35" r:id="rId94"/>
    <hyperlink ref="F35" r:id="rId95"/>
    <hyperlink ref="D36" r:id="rId96"/>
    <hyperlink ref="F36" r:id="rId97"/>
    <hyperlink ref="D37" r:id="rId98"/>
    <hyperlink ref="F37" r:id="rId99"/>
    <hyperlink ref="U37" r:id="rId100"/>
    <hyperlink ref="D38" r:id="rId101"/>
    <hyperlink ref="F38" r:id="rId102"/>
    <hyperlink ref="D39" r:id="rId103"/>
    <hyperlink ref="F39" r:id="rId104"/>
    <hyperlink ref="U39" r:id="rId105"/>
    <hyperlink ref="D40" r:id="rId106"/>
    <hyperlink ref="F40" r:id="rId107"/>
    <hyperlink ref="U40" r:id="rId108"/>
    <hyperlink ref="D41" r:id="rId109"/>
    <hyperlink ref="F41" r:id="rId110"/>
    <hyperlink ref="L41" r:id="rId111"/>
    <hyperlink ref="U41" r:id="rId112"/>
    <hyperlink ref="D42" r:id="rId113"/>
    <hyperlink ref="D43" r:id="rId114"/>
    <hyperlink ref="F43" r:id="rId115"/>
    <hyperlink ref="D44" r:id="rId116"/>
    <hyperlink ref="F44" r:id="rId117"/>
    <hyperlink ref="U44" r:id="rId118"/>
    <hyperlink ref="D45" r:id="rId119"/>
    <hyperlink ref="F45" r:id="rId120"/>
    <hyperlink ref="L45" r:id="rId121"/>
    <hyperlink ref="U45" r:id="rId122"/>
    <hyperlink ref="D46" r:id="rId123"/>
    <hyperlink ref="F46" r:id="rId124"/>
    <hyperlink ref="U46" r:id="rId125"/>
    <hyperlink ref="D47" r:id="rId126"/>
    <hyperlink ref="F47" r:id="rId127"/>
    <hyperlink ref="D48" r:id="rId128"/>
    <hyperlink ref="F48" r:id="rId129"/>
    <hyperlink ref="U48" r:id="rId130"/>
    <hyperlink ref="D49" r:id="rId131"/>
    <hyperlink ref="F49" r:id="rId132"/>
    <hyperlink ref="D50" r:id="rId133"/>
    <hyperlink ref="F50" r:id="rId134"/>
    <hyperlink ref="D51" r:id="rId135"/>
    <hyperlink ref="F51" r:id="rId136"/>
    <hyperlink ref="U51" r:id="rId137"/>
    <hyperlink ref="D52" r:id="rId138"/>
    <hyperlink ref="F52" r:id="rId139"/>
    <hyperlink ref="U52" r:id="rId140"/>
    <hyperlink ref="D53" r:id="rId141"/>
    <hyperlink ref="U53" r:id="rId142"/>
    <hyperlink ref="D54" r:id="rId143"/>
    <hyperlink ref="F54" r:id="rId144"/>
    <hyperlink ref="D55" r:id="rId145"/>
    <hyperlink ref="F55" r:id="rId146"/>
    <hyperlink ref="U55" r:id="rId147"/>
    <hyperlink ref="D56" r:id="rId148"/>
    <hyperlink ref="F56" r:id="rId149"/>
    <hyperlink ref="D57" r:id="rId150"/>
    <hyperlink ref="F57" r:id="rId151"/>
    <hyperlink ref="L57" r:id="rId152"/>
    <hyperlink ref="U57" r:id="rId153"/>
  </hyperlinks>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X1"/>
  <sheetViews>
    <sheetView workbookViewId="0"/>
  </sheetViews>
  <sheetFormatPr defaultRowHeight="14.0" customHeight="1"/>
  <cols>
    <col min="1" max="1" style="34" width="10.2"/>
    <col min="2" max="2" style="34" width="9.0"/>
    <col min="3" max="3" style="34" width="12.18"/>
    <col min="4" max="4" style="34" width="38.82"/>
    <col min="5" max="6" style="34" width="13.24"/>
    <col min="7" max="7" style="34" width="62.14"/>
    <col min="8" max="8" style="34" width="53.92"/>
    <col min="9" max="10" style="34" width="13.24"/>
    <col min="11" max="11" style="34" width="16.42"/>
    <col min="12" max="12" style="34" width="13.64"/>
    <col min="13" max="13" style="34" width="27.82"/>
    <col min="14" max="14" style="34" width="21.33"/>
    <col min="15" max="15" style="34" width="16.69"/>
    <col min="16" max="19" style="34" width="13.24"/>
    <col min="20" max="20" style="34" width="49.42"/>
    <col min="21" max="21" style="34" width="51.8"/>
    <col min="22" max="22" style="34" width="36.3"/>
    <col min="23" max="23" style="34" width="51.8"/>
    <col min="24" max="24" style="34" width="37.09"/>
    <col min="25" max="2048" style="34" width="13.24"/>
  </cols>
  <sheetData>
    <row r="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52</v>
      </c>
      <c r="X1" s="78" t="s">
        <v>62</v>
      </c>
    </row>
    <row r="2">
      <c r="A2" s="36"/>
      <c r="B2" s="34"/>
      <c r="C2" s="34"/>
      <c r="D2" s="37"/>
      <c r="K2" s="34"/>
      <c r="M2" s="34"/>
      <c r="N2" s="34"/>
      <c r="O2" s="34"/>
      <c r="P2" s="34"/>
      <c r="S2" s="40"/>
      <c r="X2" s="79"/>
    </row>
    <row r="3">
      <c r="A3" s="36"/>
      <c r="B3" s="34"/>
      <c r="C3" s="34"/>
      <c r="D3" s="37"/>
      <c r="K3" s="34"/>
      <c r="M3" s="34"/>
      <c r="N3" s="34"/>
      <c r="O3" s="34"/>
      <c r="P3" s="34"/>
      <c r="S3" s="40"/>
    </row>
    <row r="4">
      <c r="A4" s="36"/>
      <c r="B4" s="34"/>
      <c r="C4" s="34"/>
      <c r="D4" s="37"/>
      <c r="K4" s="34"/>
      <c r="M4" s="34"/>
      <c r="N4" s="34"/>
      <c r="O4" s="34"/>
      <c r="P4" s="34"/>
      <c r="S4" s="40"/>
    </row>
    <row r="5">
      <c r="A5" s="36"/>
      <c r="B5" s="34"/>
      <c r="C5" s="34"/>
      <c r="D5" s="37"/>
      <c r="K5" s="34"/>
      <c r="M5" s="34"/>
      <c r="N5" s="34"/>
      <c r="O5" s="34"/>
      <c r="P5" s="34"/>
      <c r="S5" s="40"/>
    </row>
    <row r="6">
      <c r="A6" s="36"/>
      <c r="B6" s="34"/>
      <c r="C6" s="34"/>
      <c r="D6" s="37"/>
      <c r="K6" s="34"/>
      <c r="M6" s="34"/>
      <c r="N6" s="34"/>
      <c r="O6" s="34"/>
      <c r="P6" s="34"/>
      <c r="S6" s="40"/>
    </row>
    <row r="7">
      <c r="A7" s="36"/>
      <c r="B7" s="34"/>
      <c r="C7" s="34"/>
      <c r="D7" s="37"/>
      <c r="G7" s="42"/>
      <c r="K7" s="34"/>
      <c r="M7" s="34"/>
      <c r="N7" s="34"/>
      <c r="O7" s="34"/>
      <c r="P7" s="34"/>
      <c r="S7" s="40"/>
    </row>
    <row r="8">
      <c r="A8" s="36"/>
      <c r="B8" s="34"/>
      <c r="C8" s="34"/>
      <c r="D8" s="37"/>
      <c r="G8" s="42"/>
      <c r="K8" s="34"/>
      <c r="M8" s="34"/>
      <c r="N8" s="34"/>
      <c r="O8" s="34"/>
      <c r="P8" s="34"/>
      <c r="Q8" s="54"/>
      <c r="S8" s="40"/>
    </row>
    <row r="9">
      <c r="A9" s="36"/>
      <c r="B9" s="34"/>
      <c r="C9" s="34"/>
      <c r="D9" s="37"/>
      <c r="G9" s="42"/>
      <c r="K9" s="34"/>
      <c r="M9" s="34"/>
      <c r="N9" s="34"/>
      <c r="O9" s="34"/>
      <c r="P9" s="34"/>
      <c r="Q9" s="54"/>
      <c r="S9" s="40"/>
    </row>
    <row r="10">
      <c r="A10" s="36"/>
      <c r="B10" s="34"/>
      <c r="C10" s="34"/>
      <c r="D10" s="37"/>
      <c r="K10" s="34"/>
      <c r="M10" s="34"/>
      <c r="N10" s="34"/>
      <c r="O10" s="34"/>
      <c r="P10" s="34"/>
      <c r="Q10" s="43"/>
      <c r="S10" s="40"/>
    </row>
    <row r="11">
      <c r="A11" s="36"/>
      <c r="B11" s="34"/>
      <c r="C11" s="34"/>
      <c r="D11" s="37"/>
      <c r="G11" s="42"/>
      <c r="K11" s="34"/>
      <c r="M11" s="34"/>
      <c r="N11" s="34"/>
      <c r="O11" s="34"/>
      <c r="P11" s="34"/>
      <c r="S11" s="40"/>
    </row>
    <row r="12" customFormat="1" s="34">
      <c r="A12" s="36"/>
      <c r="B12" s="34"/>
      <c r="C12" s="34"/>
      <c r="D12" s="37"/>
      <c r="K12" s="34"/>
      <c r="M12" s="34"/>
      <c r="N12" s="34"/>
      <c r="O12" s="34"/>
      <c r="P12" s="34"/>
      <c r="S12" s="40"/>
    </row>
    <row r="13" customFormat="1" s="34">
      <c r="A13" s="36"/>
      <c r="B13" s="34"/>
      <c r="C13" s="34"/>
      <c r="D13" s="37"/>
      <c r="K13" s="34"/>
      <c r="M13" s="34"/>
      <c r="N13" s="34"/>
      <c r="O13" s="34"/>
      <c r="P13" s="34"/>
      <c r="S13" s="40"/>
    </row>
    <row r="14" customFormat="1" s="34">
      <c r="A14" s="36"/>
      <c r="B14" s="34"/>
      <c r="C14" s="34"/>
      <c r="K14" s="34"/>
      <c r="M14" s="34"/>
      <c r="N14" s="34"/>
      <c r="O14" s="34"/>
      <c r="P14" s="34"/>
      <c r="S14" s="40"/>
    </row>
    <row r="15" customFormat="1" s="34">
      <c r="A15" s="36"/>
      <c r="B15" s="34"/>
      <c r="C15" s="34"/>
      <c r="D15" s="37"/>
      <c r="K15" s="34"/>
      <c r="M15" s="34"/>
      <c r="N15" s="34"/>
      <c r="O15" s="34"/>
      <c r="P15" s="34"/>
      <c r="S15" s="40"/>
    </row>
    <row r="16" customFormat="1" s="34">
      <c r="A16" s="36"/>
      <c r="B16" s="34"/>
      <c r="C16" s="34"/>
      <c r="D16" s="37"/>
      <c r="K16" s="34"/>
      <c r="M16" s="34"/>
      <c r="N16" s="34"/>
      <c r="O16" s="34"/>
      <c r="P16" s="34"/>
      <c r="S16" s="40"/>
    </row>
    <row r="17" customFormat="1" s="34">
      <c r="A17" s="36"/>
      <c r="B17" s="34"/>
      <c r="C17" s="34"/>
      <c r="D17" s="37"/>
      <c r="K17" s="34"/>
      <c r="M17" s="34"/>
      <c r="N17" s="34"/>
      <c r="O17" s="34"/>
      <c r="P17" s="34"/>
      <c r="S17" s="40"/>
    </row>
    <row r="18" customFormat="1" s="34">
      <c r="A18" s="36"/>
      <c r="B18" s="34"/>
      <c r="C18" s="34"/>
      <c r="D18" s="37"/>
      <c r="K18" s="34"/>
      <c r="M18" s="34"/>
      <c r="N18" s="34"/>
      <c r="O18" s="34"/>
      <c r="P18" s="34"/>
      <c r="S18" s="40"/>
    </row>
    <row r="19">
      <c r="A19" s="36"/>
      <c r="B19" s="34"/>
      <c r="C19" s="34"/>
      <c r="D19" s="37"/>
      <c r="K19" s="34"/>
      <c r="M19" s="34"/>
      <c r="N19" s="34"/>
      <c r="O19" s="34"/>
      <c r="P19" s="34"/>
      <c r="Q19" s="43"/>
      <c r="S19" s="40"/>
    </row>
    <row r="20" customFormat="1" s="34">
      <c r="A20" s="36"/>
      <c r="B20" s="34"/>
      <c r="C20" s="34"/>
      <c r="D20" s="37"/>
      <c r="K20" s="34"/>
      <c r="M20" s="34"/>
      <c r="N20" s="34"/>
      <c r="O20" s="34"/>
      <c r="P20" s="34"/>
      <c r="S20" s="40"/>
    </row>
    <row r="21" customFormat="1" s="34">
      <c r="A21" s="36"/>
      <c r="B21" s="34"/>
      <c r="C21" s="34"/>
      <c r="D21" s="37"/>
      <c r="K21" s="34"/>
      <c r="M21" s="34"/>
      <c r="N21" s="34"/>
      <c r="O21" s="34"/>
      <c r="P21" s="34"/>
      <c r="S21" s="40"/>
    </row>
    <row r="22" customFormat="1" s="34">
      <c r="A22" s="36"/>
      <c r="B22" s="34"/>
      <c r="C22" s="34"/>
      <c r="D22" s="37"/>
      <c r="K22" s="34"/>
      <c r="M22" s="34"/>
      <c r="N22" s="34"/>
      <c r="O22" s="34"/>
      <c r="P22" s="34"/>
      <c r="S22" s="40"/>
    </row>
    <row r="23" customFormat="1" s="34">
      <c r="A23" s="36"/>
      <c r="B23" s="34"/>
      <c r="C23" s="34"/>
      <c r="D23" s="59"/>
      <c r="K23" s="34"/>
      <c r="M23" s="34"/>
      <c r="N23" s="34"/>
      <c r="O23" s="34"/>
      <c r="P23" s="34"/>
      <c r="S23" s="40"/>
    </row>
    <row r="24" customFormat="1" s="34">
      <c r="A24" s="36"/>
      <c r="B24" s="34"/>
      <c r="C24" s="34"/>
      <c r="D24" s="37"/>
      <c r="K24" s="34"/>
      <c r="M24" s="34"/>
      <c r="N24" s="34"/>
      <c r="O24" s="34"/>
      <c r="P24" s="34"/>
      <c r="S24" s="40"/>
    </row>
    <row r="25" customFormat="1" s="34">
      <c r="A25" s="36"/>
      <c r="B25" s="34"/>
      <c r="C25" s="34"/>
      <c r="D25" s="37"/>
      <c r="K25" s="34"/>
      <c r="M25" s="34"/>
      <c r="N25" s="34"/>
      <c r="O25" s="34"/>
      <c r="P25" s="34"/>
      <c r="S25" s="40"/>
    </row>
    <row r="26" customFormat="1" s="34">
      <c r="A26" s="36"/>
      <c r="B26" s="34"/>
      <c r="C26" s="34"/>
      <c r="D26" s="37"/>
      <c r="K26" s="34"/>
      <c r="M26" s="34"/>
      <c r="N26" s="34"/>
      <c r="O26" s="34"/>
      <c r="P26" s="34"/>
      <c r="S26" s="40"/>
    </row>
    <row r="27" customFormat="1" s="34">
      <c r="A27" s="36"/>
      <c r="B27" s="34"/>
      <c r="C27" s="34"/>
      <c r="D27" s="37"/>
      <c r="K27" s="34"/>
      <c r="M27" s="34"/>
      <c r="N27" s="34"/>
      <c r="O27" s="34"/>
      <c r="P27" s="34"/>
      <c r="S27" s="40"/>
    </row>
    <row r="28" customFormat="1" s="34">
      <c r="A28" s="36"/>
      <c r="B28" s="34"/>
      <c r="C28" s="34"/>
      <c r="D28" s="37"/>
      <c r="K28" s="34"/>
      <c r="M28" s="34"/>
      <c r="N28" s="34"/>
      <c r="O28" s="34"/>
      <c r="P28" s="34"/>
      <c r="S28" s="40"/>
    </row>
    <row r="29" customFormat="1" s="34">
      <c r="A29" s="36"/>
      <c r="B29" s="34"/>
      <c r="C29" s="34"/>
      <c r="D29" s="37"/>
      <c r="K29" s="34"/>
      <c r="M29" s="34"/>
      <c r="N29" s="34"/>
      <c r="O29" s="34"/>
      <c r="P29" s="34"/>
      <c r="S29" s="40"/>
    </row>
    <row r="30" customFormat="1" s="34">
      <c r="A30" s="36"/>
      <c r="B30" s="34"/>
      <c r="C30" s="34"/>
      <c r="D30" s="37"/>
      <c r="K30" s="34"/>
      <c r="M30" s="34"/>
      <c r="N30" s="34"/>
      <c r="O30" s="34"/>
      <c r="P30" s="34"/>
      <c r="S30" s="40"/>
    </row>
    <row r="31" customFormat="1" s="34">
      <c r="A31" s="36"/>
      <c r="B31" s="34"/>
      <c r="C31" s="34"/>
      <c r="D31" s="37"/>
      <c r="K31" s="34"/>
      <c r="M31" s="34"/>
      <c r="N31" s="34"/>
      <c r="O31" s="34"/>
      <c r="P31" s="34"/>
      <c r="S31" s="40"/>
    </row>
    <row r="32" customFormat="1" s="34">
      <c r="A32" s="36"/>
      <c r="B32" s="34"/>
      <c r="C32" s="34"/>
      <c r="D32" s="37"/>
      <c r="K32" s="34"/>
      <c r="M32" s="34"/>
      <c r="N32" s="34"/>
      <c r="O32" s="34"/>
      <c r="P32" s="34"/>
      <c r="S32" s="40"/>
    </row>
    <row r="33" customFormat="1" s="34">
      <c r="A33" s="36"/>
      <c r="B33" s="34"/>
      <c r="C33" s="34"/>
      <c r="D33" s="37"/>
      <c r="K33" s="34"/>
      <c r="M33" s="34"/>
      <c r="N33" s="34"/>
      <c r="O33" s="34"/>
      <c r="P33" s="34"/>
      <c r="S33" s="40"/>
    </row>
    <row r="34" customFormat="1" s="34">
      <c r="A34" s="36"/>
      <c r="B34" s="34"/>
      <c r="C34" s="34"/>
      <c r="D34" s="37"/>
      <c r="K34" s="34"/>
      <c r="M34" s="34"/>
      <c r="N34" s="34"/>
      <c r="O34" s="34"/>
      <c r="P34" s="34"/>
      <c r="S34" s="40"/>
    </row>
    <row r="35" customFormat="1" s="34">
      <c r="A35" s="36"/>
      <c r="B35" s="34"/>
      <c r="C35" s="34"/>
      <c r="D35" s="37"/>
      <c r="K35" s="34"/>
      <c r="M35" s="34"/>
      <c r="N35" s="34"/>
      <c r="O35" s="34"/>
      <c r="P35" s="34"/>
      <c r="S35" s="40"/>
    </row>
    <row r="36" customFormat="1" s="34">
      <c r="A36" s="36"/>
      <c r="B36" s="34"/>
      <c r="C36" s="34"/>
      <c r="D36" s="37"/>
      <c r="K36" s="34"/>
      <c r="M36" s="34"/>
      <c r="N36" s="34"/>
      <c r="O36" s="34"/>
      <c r="P36" s="34"/>
      <c r="S36" s="40"/>
    </row>
    <row r="37" customFormat="1" s="34">
      <c r="A37" s="36"/>
      <c r="B37" s="34"/>
      <c r="C37" s="34"/>
      <c r="D37" s="37"/>
      <c r="K37" s="34"/>
      <c r="M37" s="34"/>
      <c r="N37" s="34"/>
      <c r="O37" s="34"/>
      <c r="P37" s="34"/>
      <c r="S37" s="40"/>
    </row>
    <row r="38" customFormat="1" s="34">
      <c r="A38" s="36"/>
      <c r="B38" s="34"/>
      <c r="C38" s="34"/>
      <c r="D38" s="37"/>
      <c r="K38" s="34"/>
      <c r="M38" s="34"/>
      <c r="N38" s="34"/>
      <c r="O38" s="34"/>
      <c r="P38" s="34"/>
      <c r="S38" s="40"/>
    </row>
    <row r="39" customFormat="1" s="34">
      <c r="A39" s="36"/>
      <c r="B39" s="34"/>
      <c r="C39" s="34"/>
      <c r="D39" s="37"/>
      <c r="K39" s="34"/>
      <c r="M39" s="34"/>
      <c r="N39" s="34"/>
      <c r="O39" s="34"/>
      <c r="P39" s="34"/>
      <c r="S39" s="40"/>
    </row>
    <row r="40" customFormat="1" s="34">
      <c r="A40" s="36"/>
      <c r="B40" s="34"/>
      <c r="C40" s="34"/>
      <c r="D40" s="37"/>
      <c r="K40" s="34"/>
      <c r="M40" s="34"/>
      <c r="N40" s="34"/>
      <c r="O40" s="34"/>
      <c r="P40" s="34"/>
      <c r="S40" s="40"/>
    </row>
    <row r="41" customFormat="1" s="34">
      <c r="A41" s="36"/>
      <c r="B41" s="34"/>
      <c r="C41" s="34"/>
      <c r="D41" s="37"/>
      <c r="K41" s="34"/>
      <c r="M41" s="34"/>
      <c r="N41" s="34"/>
      <c r="O41" s="34"/>
      <c r="P41" s="34"/>
      <c r="S41" s="40"/>
    </row>
    <row r="42" customFormat="1" s="34">
      <c r="A42" s="36"/>
      <c r="B42" s="34"/>
      <c r="C42" s="34"/>
      <c r="D42" s="37"/>
      <c r="K42" s="34"/>
      <c r="M42" s="34"/>
      <c r="N42" s="34"/>
      <c r="O42" s="34"/>
      <c r="P42" s="34"/>
      <c r="S42" s="40"/>
    </row>
    <row r="43" customFormat="1" s="34">
      <c r="A43" s="36"/>
      <c r="B43" s="34"/>
      <c r="C43" s="34"/>
      <c r="D43" s="37"/>
      <c r="K43" s="34"/>
      <c r="M43" s="34"/>
      <c r="N43" s="34"/>
      <c r="O43" s="34"/>
      <c r="P43" s="34"/>
      <c r="S43" s="40"/>
    </row>
    <row r="44" customFormat="1" s="34">
      <c r="A44" s="36"/>
      <c r="B44" s="34"/>
      <c r="C44" s="34"/>
      <c r="D44" s="37"/>
      <c r="K44" s="34"/>
      <c r="M44" s="34"/>
      <c r="N44" s="34"/>
      <c r="O44" s="34"/>
      <c r="P44" s="34"/>
      <c r="S44" s="40"/>
    </row>
    <row r="45" customFormat="1" s="34">
      <c r="A45" s="36"/>
      <c r="B45" s="34"/>
      <c r="C45" s="34"/>
      <c r="D45" s="37"/>
      <c r="K45" s="34"/>
      <c r="M45" s="34"/>
      <c r="N45" s="34"/>
      <c r="O45" s="34"/>
      <c r="P45" s="34"/>
      <c r="S45" s="40"/>
    </row>
    <row r="46" customFormat="1" s="34">
      <c r="A46" s="36"/>
      <c r="B46" s="34"/>
      <c r="C46" s="34"/>
      <c r="D46" s="37"/>
      <c r="K46" s="34"/>
      <c r="M46" s="34"/>
      <c r="N46" s="34"/>
      <c r="O46" s="34"/>
      <c r="P46" s="34"/>
      <c r="S46" s="40"/>
    </row>
    <row r="47" customFormat="1" s="34">
      <c r="A47" s="36"/>
      <c r="B47" s="34"/>
      <c r="C47" s="34"/>
      <c r="D47" s="37"/>
      <c r="K47" s="34"/>
      <c r="M47" s="34"/>
      <c r="N47" s="34"/>
      <c r="O47" s="34"/>
      <c r="P47" s="34"/>
      <c r="S47" s="40"/>
    </row>
    <row r="48" customFormat="1" s="34">
      <c r="A48" s="36"/>
      <c r="B48" s="34"/>
      <c r="C48" s="34"/>
      <c r="D48" s="37"/>
      <c r="K48" s="34"/>
      <c r="M48" s="34"/>
      <c r="N48" s="34"/>
      <c r="O48" s="34"/>
      <c r="P48" s="34"/>
      <c r="S48" s="40"/>
    </row>
    <row r="49" customFormat="1" s="34">
      <c r="A49" s="36"/>
      <c r="B49" s="34"/>
      <c r="C49" s="34"/>
      <c r="D49" s="37"/>
      <c r="K49" s="34"/>
      <c r="M49" s="34"/>
      <c r="N49" s="34"/>
      <c r="O49" s="34"/>
      <c r="P49" s="34"/>
      <c r="S49" s="40"/>
    </row>
    <row r="50" customFormat="1" s="34">
      <c r="A50" s="36"/>
      <c r="B50" s="34"/>
      <c r="C50" s="34"/>
      <c r="D50" s="37"/>
      <c r="K50" s="34"/>
      <c r="M50" s="34"/>
      <c r="N50" s="34"/>
      <c r="O50" s="34"/>
      <c r="P50" s="34"/>
      <c r="S50" s="40"/>
    </row>
    <row r="51" customFormat="1" s="34">
      <c r="A51" s="36"/>
      <c r="B51" s="34"/>
      <c r="C51" s="34"/>
      <c r="D51" s="37"/>
      <c r="K51" s="34"/>
      <c r="M51" s="34"/>
      <c r="N51" s="34"/>
      <c r="O51" s="34"/>
      <c r="P51" s="34"/>
      <c r="S51" s="40"/>
    </row>
    <row r="52" customFormat="1" s="34">
      <c r="A52" s="36"/>
      <c r="B52" s="34"/>
      <c r="C52" s="34"/>
      <c r="D52" s="37"/>
      <c r="K52" s="34"/>
      <c r="M52" s="34"/>
      <c r="N52" s="34"/>
      <c r="O52" s="34"/>
      <c r="P52" s="34"/>
      <c r="S52" s="40"/>
    </row>
    <row r="53" customFormat="1" s="34">
      <c r="A53" s="36"/>
      <c r="B53" s="34"/>
      <c r="C53" s="34"/>
      <c r="D53" s="37"/>
      <c r="K53" s="34"/>
      <c r="M53" s="34"/>
      <c r="N53" s="34"/>
      <c r="O53" s="34"/>
      <c r="P53" s="34"/>
      <c r="S53" s="40"/>
    </row>
    <row r="54" customFormat="1" s="34">
      <c r="A54" s="36"/>
      <c r="B54" s="34"/>
      <c r="C54" s="34"/>
      <c r="D54" s="37"/>
      <c r="K54" s="34"/>
      <c r="M54" s="34"/>
      <c r="N54" s="34"/>
      <c r="O54" s="34"/>
      <c r="P54" s="34"/>
      <c r="S54" s="40"/>
    </row>
    <row r="55" customFormat="1" s="34">
      <c r="A55" s="36"/>
      <c r="B55" s="34"/>
      <c r="C55" s="34"/>
      <c r="D55" s="37"/>
      <c r="K55" s="34"/>
      <c r="M55" s="34"/>
      <c r="N55" s="34"/>
      <c r="O55" s="34"/>
      <c r="P55" s="34"/>
      <c r="S55" s="40"/>
    </row>
    <row r="56" customFormat="1" s="34">
      <c r="A56" s="36"/>
      <c r="B56" s="34"/>
      <c r="C56" s="34"/>
      <c r="D56" s="37"/>
      <c r="K56" s="34"/>
      <c r="M56" s="34"/>
      <c r="N56" s="34"/>
      <c r="O56" s="34"/>
      <c r="P56" s="34"/>
      <c r="S56" s="40"/>
    </row>
    <row r="57" customFormat="1" s="34">
      <c r="A57" s="36"/>
      <c r="B57" s="34"/>
      <c r="C57" s="34"/>
      <c r="D57" s="37"/>
      <c r="K57" s="34"/>
      <c r="M57" s="34"/>
      <c r="N57" s="34"/>
      <c r="O57" s="34"/>
      <c r="P57" s="34"/>
      <c r="S57" s="40"/>
    </row>
    <row r="58" customFormat="1" s="34">
      <c r="A58" s="36"/>
      <c r="B58" s="34"/>
      <c r="C58" s="34"/>
      <c r="D58" s="37"/>
      <c r="K58" s="34"/>
      <c r="M58" s="34"/>
      <c r="N58" s="34"/>
      <c r="O58" s="34"/>
      <c r="P58" s="34"/>
      <c r="S58" s="40"/>
    </row>
    <row r="59" customFormat="1" s="34">
      <c r="A59" s="36"/>
      <c r="B59" s="34"/>
      <c r="C59" s="34"/>
      <c r="D59" s="37"/>
      <c r="K59" s="34"/>
      <c r="M59" s="34"/>
      <c r="N59" s="34"/>
      <c r="O59" s="34"/>
      <c r="P59" s="34"/>
      <c r="S59" s="40"/>
    </row>
    <row r="60" customFormat="1" s="34">
      <c r="A60" s="36"/>
      <c r="B60" s="34"/>
      <c r="C60" s="34"/>
      <c r="D60" s="37"/>
      <c r="K60" s="34"/>
      <c r="M60" s="34"/>
      <c r="N60" s="34"/>
      <c r="O60" s="34"/>
      <c r="P60" s="34"/>
      <c r="S60" s="40"/>
    </row>
    <row r="61" customFormat="1" s="34">
      <c r="A61" s="36"/>
      <c r="B61" s="34"/>
      <c r="C61" s="34"/>
      <c r="D61" s="37"/>
      <c r="K61" s="34"/>
      <c r="M61" s="34"/>
      <c r="N61" s="34"/>
      <c r="O61" s="34"/>
      <c r="P61" s="34"/>
      <c r="S61" s="40"/>
    </row>
    <row r="62" customFormat="1" s="34">
      <c r="A62" s="36"/>
      <c r="B62" s="34"/>
      <c r="C62" s="34"/>
      <c r="D62" s="37"/>
      <c r="K62" s="34"/>
      <c r="M62" s="34"/>
      <c r="N62" s="34"/>
      <c r="O62" s="34"/>
      <c r="P62" s="34"/>
      <c r="S62" s="40"/>
    </row>
    <row r="63" customFormat="1" s="34">
      <c r="A63" s="36"/>
      <c r="B63" s="34"/>
      <c r="C63" s="34"/>
      <c r="D63" s="37"/>
      <c r="K63" s="34"/>
      <c r="M63" s="34"/>
      <c r="N63" s="34"/>
      <c r="O63" s="34"/>
      <c r="P63" s="34"/>
      <c r="S63" s="40"/>
    </row>
    <row r="64" customFormat="1" s="34">
      <c r="A64" s="36"/>
      <c r="B64" s="34"/>
      <c r="C64" s="34"/>
      <c r="D64" s="37"/>
      <c r="K64" s="34"/>
      <c r="M64" s="34"/>
      <c r="N64" s="34"/>
      <c r="O64" s="34"/>
      <c r="P64" s="34"/>
      <c r="S64" s="40"/>
    </row>
    <row r="65" customFormat="1" s="34">
      <c r="A65" s="36"/>
      <c r="B65" s="34"/>
      <c r="C65" s="34"/>
      <c r="D65" s="37"/>
      <c r="K65" s="34"/>
      <c r="M65" s="34"/>
      <c r="N65" s="34"/>
      <c r="O65" s="34"/>
      <c r="P65" s="34"/>
      <c r="S65" s="40"/>
    </row>
    <row r="66" customFormat="1" s="34">
      <c r="A66" s="36"/>
      <c r="B66" s="34"/>
      <c r="C66" s="34"/>
      <c r="D66" s="37"/>
      <c r="K66" s="34"/>
      <c r="M66" s="34"/>
      <c r="N66" s="34"/>
      <c r="O66" s="34"/>
      <c r="P66" s="34"/>
      <c r="S66" s="40"/>
    </row>
    <row r="67" customFormat="1" s="34">
      <c r="A67" s="36"/>
      <c r="B67" s="34"/>
      <c r="C67" s="34"/>
      <c r="D67" s="37"/>
      <c r="K67" s="34"/>
      <c r="M67" s="34"/>
      <c r="N67" s="34"/>
      <c r="O67" s="34"/>
      <c r="P67" s="34"/>
      <c r="S67" s="40"/>
    </row>
    <row r="68" customFormat="1" s="34">
      <c r="A68" s="36"/>
      <c r="B68" s="34"/>
      <c r="C68" s="34"/>
      <c r="D68" s="37"/>
      <c r="K68" s="34"/>
      <c r="M68" s="34"/>
      <c r="N68" s="34"/>
      <c r="O68" s="34"/>
      <c r="P68" s="34"/>
      <c r="S68" s="40"/>
    </row>
    <row r="69" customFormat="1" s="34">
      <c r="A69" s="36"/>
      <c r="B69" s="34"/>
      <c r="C69" s="34"/>
      <c r="D69" s="37"/>
      <c r="K69" s="34"/>
      <c r="M69" s="34"/>
      <c r="N69" s="34"/>
      <c r="O69" s="34"/>
      <c r="P69" s="34"/>
      <c r="S69" s="40"/>
    </row>
    <row r="70" customFormat="1" s="34">
      <c r="A70" s="36"/>
      <c r="B70" s="34"/>
      <c r="C70" s="34"/>
      <c r="D70" s="37"/>
      <c r="K70" s="34"/>
      <c r="M70" s="34"/>
      <c r="N70" s="34"/>
      <c r="O70" s="34"/>
      <c r="P70" s="34"/>
      <c r="S70" s="40"/>
    </row>
    <row r="71" customFormat="1" s="34">
      <c r="A71" s="36"/>
      <c r="B71" s="34"/>
      <c r="C71" s="34"/>
      <c r="D71" s="37"/>
      <c r="K71" s="34"/>
      <c r="M71" s="34"/>
      <c r="N71" s="34"/>
      <c r="O71" s="34"/>
      <c r="P71" s="34"/>
      <c r="S71" s="40"/>
    </row>
    <row r="72" customFormat="1" s="34">
      <c r="A72" s="36"/>
      <c r="B72" s="34"/>
      <c r="C72" s="34"/>
      <c r="D72" s="37"/>
      <c r="K72" s="34"/>
      <c r="M72" s="34"/>
      <c r="N72" s="34"/>
      <c r="O72" s="34"/>
      <c r="P72" s="34"/>
      <c r="S72" s="40"/>
    </row>
    <row r="73" customFormat="1" s="34">
      <c r="A73" s="36"/>
      <c r="B73" s="34"/>
      <c r="C73" s="34"/>
      <c r="D73" s="37"/>
      <c r="K73" s="34"/>
      <c r="M73" s="34"/>
      <c r="N73" s="34"/>
      <c r="O73" s="34"/>
      <c r="P73" s="34"/>
      <c r="S73" s="40"/>
    </row>
    <row r="74" customFormat="1" s="34">
      <c r="A74" s="36"/>
      <c r="B74" s="34"/>
      <c r="C74" s="34"/>
      <c r="D74" s="37"/>
      <c r="K74" s="34"/>
      <c r="M74" s="34"/>
      <c r="N74" s="34"/>
      <c r="O74" s="34"/>
      <c r="P74" s="34"/>
      <c r="S74" s="40"/>
    </row>
    <row r="75" customFormat="1" s="34">
      <c r="A75" s="36"/>
      <c r="B75" s="34"/>
      <c r="C75" s="34"/>
      <c r="D75" s="37"/>
      <c r="K75" s="34"/>
      <c r="M75" s="34"/>
      <c r="N75" s="34"/>
      <c r="O75" s="34"/>
      <c r="P75" s="34"/>
      <c r="S75" s="40"/>
    </row>
    <row r="76" customFormat="1" s="34">
      <c r="A76" s="36"/>
      <c r="B76" s="34"/>
      <c r="C76" s="34"/>
      <c r="D76" s="37"/>
      <c r="K76" s="34"/>
      <c r="M76" s="34"/>
      <c r="N76" s="34"/>
      <c r="O76" s="34"/>
      <c r="P76" s="34"/>
      <c r="S76" s="40"/>
    </row>
    <row r="77" customFormat="1" s="34">
      <c r="A77" s="36"/>
      <c r="B77" s="34"/>
      <c r="C77" s="34"/>
      <c r="D77" s="37"/>
      <c r="K77" s="34"/>
      <c r="M77" s="34"/>
      <c r="N77" s="34"/>
      <c r="O77" s="34"/>
      <c r="P77" s="34"/>
      <c r="S77" s="40"/>
    </row>
    <row r="78" customFormat="1" s="34">
      <c r="A78" s="36"/>
      <c r="B78" s="34"/>
      <c r="C78" s="34"/>
      <c r="D78" s="37"/>
      <c r="K78" s="34"/>
      <c r="M78" s="34"/>
      <c r="N78" s="34"/>
      <c r="O78" s="34"/>
      <c r="P78" s="34"/>
      <c r="S78" s="40"/>
    </row>
    <row r="79" customFormat="1" s="34">
      <c r="A79" s="36"/>
      <c r="B79" s="34"/>
      <c r="C79" s="34"/>
      <c r="D79" s="37"/>
      <c r="K79" s="34"/>
      <c r="M79" s="34"/>
      <c r="N79" s="34"/>
      <c r="O79" s="34"/>
      <c r="P79" s="34"/>
      <c r="S79" s="40"/>
    </row>
    <row r="80" customFormat="1" s="34">
      <c r="A80" s="36"/>
      <c r="B80" s="34"/>
      <c r="C80" s="34"/>
      <c r="D80" s="37"/>
      <c r="K80" s="34"/>
      <c r="M80" s="34"/>
      <c r="N80" s="34"/>
      <c r="O80" s="34"/>
      <c r="P80" s="34"/>
      <c r="S80" s="40"/>
    </row>
    <row r="81" customFormat="1" s="34">
      <c r="A81" s="36"/>
      <c r="B81" s="34"/>
      <c r="C81" s="34"/>
      <c r="D81" s="37"/>
      <c r="K81" s="34"/>
      <c r="M81" s="34"/>
      <c r="N81" s="34"/>
      <c r="O81" s="34"/>
      <c r="P81" s="34"/>
      <c r="S81" s="40"/>
    </row>
    <row r="82" customFormat="1" s="34">
      <c r="A82" s="36"/>
      <c r="B82" s="34"/>
      <c r="C82" s="34"/>
      <c r="D82" s="37"/>
      <c r="K82" s="34"/>
      <c r="M82" s="34"/>
      <c r="N82" s="34"/>
      <c r="O82" s="34"/>
      <c r="P82" s="34"/>
      <c r="S82" s="40"/>
    </row>
    <row r="83" customFormat="1" s="34">
      <c r="A83" s="36"/>
      <c r="B83" s="34"/>
      <c r="C83" s="34"/>
      <c r="D83" s="37"/>
      <c r="K83" s="34"/>
      <c r="M83" s="34"/>
      <c r="N83" s="34"/>
      <c r="O83" s="34"/>
      <c r="P83" s="34"/>
      <c r="S83" s="40"/>
    </row>
    <row r="84" customFormat="1" s="34">
      <c r="A84" s="36"/>
      <c r="B84" s="34"/>
      <c r="C84" s="34"/>
      <c r="D84" s="37"/>
      <c r="K84" s="34"/>
      <c r="M84" s="34"/>
      <c r="N84" s="34"/>
      <c r="O84" s="34"/>
      <c r="P84" s="34"/>
      <c r="S84" s="40"/>
    </row>
    <row r="85" customFormat="1" s="34">
      <c r="A85" s="36"/>
      <c r="B85" s="34"/>
      <c r="C85" s="34"/>
      <c r="D85" s="37"/>
      <c r="K85" s="34"/>
      <c r="M85" s="34"/>
      <c r="N85" s="34"/>
      <c r="O85" s="34"/>
      <c r="P85" s="34"/>
      <c r="S85" s="40"/>
    </row>
    <row r="86" customFormat="1" s="34">
      <c r="A86" s="36"/>
      <c r="B86" s="34"/>
      <c r="C86" s="34"/>
      <c r="D86" s="37"/>
      <c r="K86" s="34"/>
      <c r="M86" s="34"/>
      <c r="N86" s="34"/>
      <c r="O86" s="34"/>
      <c r="P86" s="34"/>
      <c r="S86" s="40"/>
    </row>
    <row r="87" customFormat="1" s="34">
      <c r="A87" s="36"/>
      <c r="B87" s="34"/>
      <c r="C87" s="34"/>
      <c r="D87" s="37"/>
      <c r="K87" s="34"/>
      <c r="M87" s="34"/>
      <c r="N87" s="34"/>
      <c r="O87" s="34"/>
      <c r="P87" s="34"/>
      <c r="S87" s="40"/>
    </row>
    <row r="88" customFormat="1" s="34"/>
    <row r="89" customFormat="1" s="34"/>
    <row r="90" customFormat="1" s="34"/>
    <row r="91" customFormat="1" s="34"/>
    <row r="92" customFormat="1" s="34"/>
    <row r="93" customFormat="1" s="34"/>
    <row r="94" customFormat="1" s="34"/>
    <row r="95" customFormat="1" s="34"/>
    <row r="96" customFormat="1" s="34"/>
    <row r="97" customFormat="1" s="34"/>
    <row r="98" customFormat="1" s="34"/>
    <row r="99" customFormat="1" s="34"/>
    <row r="100" customFormat="1" s="34"/>
    <row r="101" customFormat="1" s="34"/>
    <row r="102" customFormat="1" s="34"/>
    <row r="103" customFormat="1" s="34"/>
    <row r="104" customFormat="1" s="34"/>
    <row r="105" customFormat="1" s="34"/>
    <row r="106" customFormat="1" s="34"/>
    <row r="107" customFormat="1" s="34"/>
    <row r="108" customFormat="1" s="34"/>
    <row r="109" customFormat="1" s="34"/>
    <row r="110" customFormat="1" s="34"/>
    <row r="111" customFormat="1" s="34"/>
    <row r="112" customFormat="1" s="34"/>
    <row r="113" customFormat="1" s="34"/>
    <row r="114" customFormat="1" s="34"/>
    <row r="115" customFormat="1" s="34"/>
    <row r="116" customFormat="1" s="34"/>
    <row r="117" customFormat="1" s="34"/>
    <row r="118" customFormat="1" s="34"/>
    <row r="119" customFormat="1" s="34"/>
    <row r="120" customFormat="1" s="34"/>
    <row r="121" customFormat="1" s="34"/>
    <row r="122" customFormat="1" s="34"/>
    <row r="123" customFormat="1" s="34"/>
    <row r="124" customFormat="1" s="34"/>
    <row r="125" customFormat="1" s="34"/>
    <row r="126" customFormat="1" s="34"/>
    <row r="127" customFormat="1" s="34"/>
    <row r="128" customFormat="1" s="34"/>
    <row r="129" customFormat="1" s="34"/>
    <row r="130" customFormat="1" s="34"/>
    <row r="131" customFormat="1" s="34"/>
    <row r="132" customFormat="1" s="34"/>
    <row r="133" customFormat="1" s="34"/>
    <row r="134" customFormat="1" s="34"/>
    <row r="135" customFormat="1" s="34"/>
    <row r="136" customFormat="1" s="34"/>
    <row r="137" customFormat="1" s="34"/>
    <row r="138" customFormat="1" s="34"/>
    <row r="139" customFormat="1" s="34"/>
    <row r="140" customFormat="1" s="34"/>
    <row r="141" customFormat="1" s="34"/>
    <row r="142" customFormat="1" s="34"/>
    <row r="143" customFormat="1" s="34"/>
    <row r="144" customFormat="1" s="34"/>
    <row r="145" customFormat="1" s="34"/>
    <row r="146" customFormat="1" s="34"/>
    <row r="147" customFormat="1" s="34"/>
    <row r="148" customFormat="1" s="34"/>
    <row r="149" customFormat="1" s="34"/>
    <row r="150" customFormat="1" s="34"/>
    <row r="151" customFormat="1" s="34"/>
    <row r="152" customFormat="1" s="34"/>
    <row r="153" customFormat="1" s="34"/>
    <row r="154" customFormat="1" s="34"/>
    <row r="155" customFormat="1" s="34"/>
    <row r="156" customFormat="1" s="34"/>
    <row r="157" customFormat="1" s="34"/>
    <row r="158" customFormat="1" s="34"/>
    <row r="159" customFormat="1" s="34"/>
    <row r="160" customFormat="1" s="34"/>
    <row r="161" customFormat="1" s="34"/>
    <row r="162" customFormat="1" s="34"/>
    <row r="163" customFormat="1" s="34"/>
    <row r="164" customFormat="1" s="34"/>
    <row r="165" customFormat="1" s="34"/>
    <row r="166" customFormat="1" s="34"/>
    <row r="167" customFormat="1" s="34"/>
    <row r="168" customFormat="1" s="34"/>
    <row r="169" customFormat="1" s="34"/>
    <row r="170" customFormat="1" s="34"/>
    <row r="171" customFormat="1" s="34"/>
    <row r="172" customFormat="1" s="34"/>
    <row r="173" customFormat="1" s="34"/>
    <row r="174" customFormat="1" s="34"/>
    <row r="175" customFormat="1" s="34"/>
    <row r="176" customFormat="1" s="34"/>
    <row r="177" customFormat="1" s="34"/>
    <row r="178" customFormat="1" s="34"/>
    <row r="179" customFormat="1" s="34"/>
    <row r="180" customFormat="1" s="34"/>
    <row r="181" customFormat="1" s="34"/>
    <row r="182" customFormat="1" s="34"/>
    <row r="183" customFormat="1" s="34"/>
    <row r="184" customFormat="1" s="34"/>
    <row r="185" customFormat="1" s="34"/>
    <row r="186" customFormat="1" s="34"/>
    <row r="187" customFormat="1" s="34"/>
    <row r="188" customFormat="1" s="34"/>
    <row r="189" customFormat="1" s="34"/>
    <row r="190" customFormat="1" s="34"/>
    <row r="191" customFormat="1" s="34"/>
    <row r="192" customFormat="1" s="34"/>
    <row r="193" customFormat="1" s="34"/>
    <row r="194" customFormat="1" s="34"/>
    <row r="195" customFormat="1" s="34"/>
    <row r="196" customFormat="1" s="34"/>
    <row r="197" customFormat="1" s="34"/>
    <row r="198" customFormat="1" s="34"/>
    <row r="199" customFormat="1" s="34"/>
    <row r="200" customFormat="1" s="34"/>
    <row r="201" customFormat="1" s="34"/>
    <row r="202" customFormat="1" s="34"/>
    <row r="203" customFormat="1" s="34"/>
    <row r="204" customFormat="1" s="34"/>
    <row r="205" customFormat="1" s="34"/>
    <row r="206" customFormat="1" s="34"/>
    <row r="207" customFormat="1" s="34"/>
    <row r="208" customFormat="1" s="34"/>
    <row r="209" customFormat="1" s="34"/>
    <row r="210" customFormat="1" s="34"/>
    <row r="211" customFormat="1" s="34"/>
    <row r="212" customFormat="1" s="34"/>
    <row r="213" customFormat="1" s="34"/>
    <row r="214" customFormat="1" s="34"/>
    <row r="215" customFormat="1" s="34"/>
    <row r="216" customFormat="1" s="34"/>
    <row r="217" customFormat="1" s="34"/>
    <row r="218" customFormat="1" s="34"/>
    <row r="219" customFormat="1" s="34"/>
    <row r="220" customFormat="1" s="34"/>
    <row r="221" customFormat="1" s="34"/>
    <row r="222" customFormat="1" s="34"/>
    <row r="223" customFormat="1" s="34"/>
    <row r="224" customFormat="1" s="34"/>
    <row r="225" customFormat="1" s="34"/>
    <row r="226" customFormat="1" s="34"/>
    <row r="227" customFormat="1" s="34"/>
    <row r="228" customFormat="1" s="34"/>
    <row r="229" customFormat="1" s="34"/>
    <row r="230" customFormat="1" s="34"/>
    <row r="231" customFormat="1" s="34"/>
    <row r="232" customFormat="1" s="34"/>
    <row r="233" customFormat="1" s="34"/>
    <row r="234" customFormat="1" s="34"/>
    <row r="235" customFormat="1" s="34"/>
    <row r="236" customFormat="1" s="34"/>
    <row r="237" customFormat="1" s="34"/>
    <row r="238" customFormat="1" s="34"/>
    <row r="239" customFormat="1" s="34"/>
    <row r="240" customFormat="1" s="34"/>
    <row r="241" customFormat="1" s="34"/>
    <row r="242" customFormat="1" s="34"/>
    <row r="243" customFormat="1" s="34"/>
    <row r="244" customFormat="1" s="34"/>
    <row r="245" customFormat="1" s="34"/>
    <row r="246" customFormat="1" s="34"/>
    <row r="247" customFormat="1" s="34"/>
    <row r="248" customFormat="1" s="34"/>
    <row r="249" customFormat="1" s="34"/>
    <row r="250" customFormat="1" s="34"/>
    <row r="251" customFormat="1" s="34"/>
    <row r="252" customFormat="1" s="34"/>
    <row r="253" customFormat="1" s="34"/>
    <row r="254" customFormat="1" s="34"/>
    <row r="255" customFormat="1" s="34"/>
    <row r="256" customFormat="1" s="34"/>
    <row r="257" customFormat="1" s="34"/>
    <row r="258" customFormat="1" s="34"/>
    <row r="259" customFormat="1" s="34"/>
    <row r="260" customFormat="1" s="34"/>
    <row r="261" customFormat="1" s="34"/>
    <row r="262" customFormat="1" s="34"/>
    <row r="263" customFormat="1" s="34"/>
    <row r="264" customFormat="1" s="34"/>
    <row r="265" customFormat="1" s="34"/>
    <row r="266" customFormat="1" s="34"/>
    <row r="267" customFormat="1" s="34"/>
    <row r="268" customFormat="1" s="34"/>
    <row r="269" customFormat="1" s="34"/>
    <row r="270" customFormat="1" s="34"/>
    <row r="271" customFormat="1" s="34"/>
    <row r="272" customFormat="1" s="34"/>
    <row r="273" customFormat="1" s="34"/>
    <row r="274" customFormat="1" s="34"/>
    <row r="275" customFormat="1" s="34"/>
    <row r="276" customFormat="1" s="34"/>
    <row r="277" customFormat="1" s="34"/>
    <row r="278" customFormat="1" s="34"/>
    <row r="279" customFormat="1" s="34"/>
    <row r="280" customFormat="1" s="34"/>
    <row r="281" customFormat="1" s="34"/>
    <row r="282" customFormat="1" s="34"/>
    <row r="283" customFormat="1" s="34"/>
    <row r="284" customFormat="1" s="34"/>
    <row r="285" customFormat="1" s="34"/>
    <row r="286" customFormat="1" s="34"/>
    <row r="287" customFormat="1" s="34"/>
    <row r="288" customFormat="1" s="34"/>
    <row r="289" customFormat="1" s="34"/>
    <row r="290" customFormat="1" s="34"/>
    <row r="291" customFormat="1" s="34"/>
    <row r="292" customFormat="1" s="34"/>
    <row r="293" customFormat="1" s="34"/>
    <row r="294" customFormat="1" s="34"/>
    <row r="295" customFormat="1" s="34"/>
    <row r="296" customFormat="1" s="34"/>
    <row r="297" customFormat="1" s="34"/>
    <row r="298" customFormat="1" s="34"/>
    <row r="299" customFormat="1" s="34"/>
    <row r="300" customFormat="1" s="34"/>
    <row r="301" customFormat="1" s="34"/>
    <row r="302" customFormat="1" s="34"/>
    <row r="303" customFormat="1" s="34"/>
    <row r="304" customFormat="1" s="34"/>
    <row r="305" customFormat="1" s="34"/>
    <row r="306" customFormat="1" s="34"/>
    <row r="307" customFormat="1" s="34"/>
    <row r="308" customFormat="1" s="34"/>
    <row r="309" customFormat="1" s="34"/>
    <row r="310" customFormat="1" s="34"/>
    <row r="311" customFormat="1" s="34"/>
    <row r="312" customFormat="1" s="34"/>
    <row r="313" customFormat="1" s="34"/>
    <row r="314" customFormat="1" s="34"/>
    <row r="315" customFormat="1" s="34"/>
    <row r="316" customFormat="1" s="34"/>
    <row r="317" customFormat="1" s="34"/>
    <row r="318" customFormat="1" s="34"/>
    <row r="319" customFormat="1" s="34"/>
    <row r="320" customFormat="1" s="34"/>
    <row r="321" customFormat="1" s="34"/>
    <row r="322" customFormat="1" s="34"/>
    <row r="323" customFormat="1" s="34"/>
    <row r="324" customFormat="1" s="34"/>
    <row r="325" customFormat="1" s="34"/>
    <row r="326" customFormat="1" s="34"/>
    <row r="327" customFormat="1" s="34"/>
    <row r="328" customFormat="1" s="34"/>
    <row r="329" customFormat="1" s="34"/>
    <row r="330" customFormat="1" s="34"/>
    <row r="331" customFormat="1" s="34"/>
    <row r="332" customFormat="1" s="34"/>
    <row r="333" customFormat="1" s="34"/>
    <row r="334" customFormat="1" s="34"/>
    <row r="335" customFormat="1" s="34"/>
    <row r="336" customFormat="1" s="34"/>
    <row r="337" customFormat="1" s="34"/>
    <row r="338" customFormat="1" s="34"/>
    <row r="339" customFormat="1" s="34"/>
    <row r="340" customFormat="1" s="34"/>
    <row r="341" customFormat="1" s="34"/>
    <row r="342" customFormat="1" s="34"/>
    <row r="343" customFormat="1" s="34"/>
    <row r="344" customFormat="1" s="34"/>
    <row r="345" customFormat="1" s="34"/>
    <row r="346" customFormat="1" s="34"/>
    <row r="347" customFormat="1" s="34"/>
    <row r="348" customFormat="1" s="34"/>
    <row r="349" customFormat="1" s="34"/>
    <row r="350" customFormat="1" s="34"/>
    <row r="351" customFormat="1" s="34"/>
    <row r="352" customFormat="1" s="34"/>
    <row r="353" customFormat="1" s="34"/>
    <row r="354" customFormat="1" s="34"/>
    <row r="355" customFormat="1" s="34"/>
    <row r="356" customFormat="1" s="34"/>
    <row r="357" customFormat="1" s="34"/>
    <row r="358" customFormat="1" s="34"/>
    <row r="359" customFormat="1" s="34"/>
    <row r="360" customFormat="1" s="34"/>
    <row r="361" customFormat="1" s="34"/>
    <row r="362" customFormat="1" s="34"/>
    <row r="363" customFormat="1" s="34"/>
    <row r="364" customFormat="1" s="34"/>
    <row r="365" customFormat="1" s="34"/>
    <row r="366" customFormat="1" s="34"/>
    <row r="367" customFormat="1" s="34"/>
    <row r="368" customFormat="1" s="34"/>
    <row r="369" customFormat="1" s="34"/>
    <row r="370" customFormat="1" s="34"/>
    <row r="371" customFormat="1" s="34"/>
    <row r="372" customFormat="1" s="34"/>
    <row r="373" customFormat="1" s="34"/>
    <row r="374" customFormat="1" s="34"/>
    <row r="375" customFormat="1" s="34"/>
    <row r="376" customFormat="1" s="34"/>
    <row r="377" customFormat="1" s="34"/>
    <row r="378" customFormat="1" s="34"/>
    <row r="379" customFormat="1" s="34"/>
    <row r="380" customFormat="1" s="34"/>
    <row r="381" customFormat="1" s="34"/>
    <row r="382" customFormat="1" s="34"/>
    <row r="383" customFormat="1" s="34"/>
    <row r="384" customFormat="1" s="34"/>
    <row r="385" customFormat="1" s="34"/>
    <row r="386" customFormat="1" s="34"/>
    <row r="387" customFormat="1" s="34"/>
    <row r="388" customFormat="1" s="34"/>
    <row r="389" customFormat="1" s="34"/>
    <row r="390" customFormat="1" s="34"/>
    <row r="391" customFormat="1" s="34"/>
    <row r="392" customFormat="1" s="34"/>
    <row r="393" customFormat="1" s="34"/>
    <row r="394" customFormat="1" s="34"/>
    <row r="395" customFormat="1" s="34"/>
    <row r="396" customFormat="1" s="34"/>
    <row r="397" customFormat="1" s="34"/>
    <row r="398" customFormat="1" s="34"/>
    <row r="399" customFormat="1" s="34"/>
    <row r="400" customFormat="1" s="34"/>
    <row r="401" customFormat="1" s="34"/>
    <row r="402" customFormat="1" s="34"/>
    <row r="403" customFormat="1" s="34"/>
    <row r="404" customFormat="1" s="34"/>
    <row r="405" customFormat="1" s="34"/>
    <row r="406" customFormat="1" s="34"/>
    <row r="407" customFormat="1" s="34"/>
    <row r="408" customFormat="1" s="34"/>
    <row r="409" customFormat="1" s="34"/>
    <row r="410" customFormat="1" s="34"/>
    <row r="411" customFormat="1" s="34"/>
    <row r="412" customFormat="1" s="34"/>
    <row r="413" customFormat="1" s="34"/>
    <row r="414" customFormat="1" s="34"/>
    <row r="415" customFormat="1" s="34"/>
    <row r="416" customFormat="1" s="34"/>
    <row r="417" customFormat="1" s="34"/>
    <row r="418" customFormat="1" s="34"/>
    <row r="419" customFormat="1" s="34"/>
    <row r="420" customFormat="1" s="34"/>
    <row r="421" customFormat="1" s="34"/>
    <row r="422" customFormat="1" s="34"/>
    <row r="423" customFormat="1" s="34"/>
    <row r="424" customFormat="1" s="34"/>
    <row r="425" customFormat="1" s="34"/>
    <row r="426" customFormat="1" s="34"/>
    <row r="427" customFormat="1" s="34"/>
    <row r="428" customFormat="1" s="34"/>
    <row r="429" customFormat="1" s="34"/>
    <row r="430" customFormat="1" s="34"/>
    <row r="431" customFormat="1" s="34"/>
    <row r="432" customFormat="1" s="34"/>
    <row r="433" customFormat="1" s="34"/>
    <row r="434" customFormat="1" s="34"/>
    <row r="435" customFormat="1" s="34"/>
    <row r="436" customFormat="1" s="34"/>
    <row r="437" customFormat="1" s="34"/>
    <row r="438" customFormat="1" s="34"/>
    <row r="439" customFormat="1" s="34"/>
    <row r="440" customFormat="1" s="34"/>
    <row r="441" customFormat="1" s="34"/>
    <row r="442" customFormat="1" s="34"/>
    <row r="443" customFormat="1" s="34"/>
    <row r="444" customFormat="1" s="34"/>
    <row r="445" customFormat="1" s="34"/>
    <row r="446" customFormat="1" s="34"/>
    <row r="447" customFormat="1" s="34"/>
    <row r="448" customFormat="1" s="34"/>
    <row r="449" customFormat="1" s="34"/>
    <row r="450" customFormat="1" s="34"/>
    <row r="451" customFormat="1" s="34"/>
    <row r="452" customFormat="1" s="34"/>
    <row r="453" customFormat="1" s="34"/>
    <row r="454" customFormat="1" s="34"/>
    <row r="455" customFormat="1" s="34"/>
    <row r="456" customFormat="1" s="34"/>
    <row r="457" customFormat="1" s="34"/>
    <row r="458" customFormat="1" s="34"/>
    <row r="459" customFormat="1" s="34"/>
    <row r="460" customFormat="1" s="34"/>
    <row r="461" customFormat="1" s="34"/>
    <row r="462" customFormat="1" s="34"/>
    <row r="463" customFormat="1" s="34"/>
    <row r="464" customFormat="1" s="34"/>
    <row r="465" customFormat="1" s="34"/>
    <row r="466" customFormat="1" s="34"/>
    <row r="467" customFormat="1" s="34"/>
    <row r="468" customFormat="1" s="34"/>
    <row r="469" customFormat="1" s="34"/>
    <row r="470" customFormat="1" s="34"/>
    <row r="471" customFormat="1" s="34"/>
    <row r="472" customFormat="1" s="34"/>
    <row r="473" customFormat="1" s="34"/>
    <row r="474" customFormat="1" s="34"/>
    <row r="475" customFormat="1" s="34"/>
    <row r="476" customFormat="1" s="34"/>
    <row r="477" customFormat="1" s="34"/>
    <row r="478" customFormat="1" s="34"/>
    <row r="479" customFormat="1" s="34"/>
    <row r="480" customFormat="1" s="34"/>
    <row r="481" customFormat="1" s="34"/>
    <row r="482" customFormat="1" s="34"/>
    <row r="483" customFormat="1" s="34"/>
    <row r="484" customFormat="1" s="34"/>
    <row r="485" customFormat="1" s="34"/>
    <row r="486" customFormat="1" s="34"/>
    <row r="487" customFormat="1" s="34"/>
    <row r="488" customFormat="1" s="34"/>
    <row r="489" customFormat="1" s="34"/>
    <row r="490" customFormat="1" s="34"/>
    <row r="491" customFormat="1" s="34"/>
    <row r="492" customFormat="1" s="34"/>
    <row r="493" customFormat="1" s="34"/>
    <row r="494" customFormat="1" s="34"/>
    <row r="495" customFormat="1" s="34"/>
    <row r="496" customFormat="1" s="34"/>
    <row r="497" customFormat="1" s="34"/>
    <row r="498" customFormat="1" s="34"/>
    <row r="499" customFormat="1" s="34"/>
    <row r="500" customFormat="1" s="34"/>
    <row r="501" customFormat="1" s="34"/>
    <row r="502" customFormat="1" s="34"/>
    <row r="503" customFormat="1" s="34"/>
    <row r="504" customFormat="1" s="34"/>
    <row r="505" customFormat="1" s="34"/>
    <row r="506" customFormat="1" s="34"/>
    <row r="507" customFormat="1" s="34"/>
    <row r="508" customFormat="1" s="34"/>
    <row r="509" customFormat="1" s="34"/>
    <row r="510" customFormat="1" s="34"/>
    <row r="511" customFormat="1" s="34"/>
    <row r="512" customFormat="1" s="34"/>
    <row r="513" customFormat="1" s="34"/>
    <row r="514" customFormat="1" s="34"/>
    <row r="515" customFormat="1" s="34"/>
    <row r="516" customFormat="1" s="34"/>
    <row r="517" customFormat="1" s="34"/>
    <row r="518" customFormat="1" s="34"/>
    <row r="519" customFormat="1" s="34"/>
    <row r="520" customFormat="1" s="34"/>
    <row r="521" customFormat="1" s="34"/>
    <row r="522" customFormat="1" s="34"/>
    <row r="523" customFormat="1" s="34"/>
    <row r="524" customFormat="1" s="34"/>
    <row r="525" customFormat="1" s="34"/>
    <row r="526" customFormat="1" s="34"/>
    <row r="527" customFormat="1" s="34"/>
    <row r="528" customFormat="1" s="34"/>
    <row r="529" customFormat="1" s="34"/>
    <row r="530" customFormat="1" s="34"/>
    <row r="531" customFormat="1" s="34"/>
    <row r="532" customFormat="1" s="34"/>
    <row r="533" customFormat="1" s="34"/>
    <row r="534" customFormat="1" s="34"/>
    <row r="535" customFormat="1" s="34"/>
    <row r="536" customFormat="1" s="34"/>
    <row r="537" customFormat="1" s="34"/>
    <row r="538" customFormat="1" s="34"/>
    <row r="539" customFormat="1" s="34"/>
    <row r="540" customFormat="1" s="34"/>
    <row r="541" customFormat="1" s="34"/>
    <row r="542" customFormat="1" s="34"/>
    <row r="543" customFormat="1" s="34"/>
    <row r="544" customFormat="1" s="34"/>
    <row r="545" customFormat="1" s="34"/>
    <row r="546" customFormat="1" s="34"/>
    <row r="547" customFormat="1" s="34"/>
    <row r="548" customFormat="1" s="34"/>
    <row r="549" customFormat="1" s="34"/>
    <row r="550" customFormat="1" s="34"/>
    <row r="551" customFormat="1" s="34"/>
    <row r="552" customFormat="1" s="34"/>
    <row r="553" customFormat="1" s="34"/>
    <row r="554" customFormat="1" s="34"/>
    <row r="555" customFormat="1" s="34"/>
    <row r="556" customFormat="1" s="34"/>
    <row r="557" customFormat="1" s="34"/>
    <row r="558" customFormat="1" s="34"/>
    <row r="559" customFormat="1" s="34"/>
    <row r="560" customFormat="1" s="34"/>
    <row r="561" customFormat="1" s="34"/>
    <row r="562" customFormat="1" s="34"/>
    <row r="563" customFormat="1" s="34"/>
    <row r="564" customFormat="1" s="34"/>
    <row r="565" customFormat="1" s="34"/>
    <row r="566" customFormat="1" s="34"/>
    <row r="567" customFormat="1" s="34"/>
    <row r="568" customFormat="1" s="34"/>
    <row r="569" customFormat="1" s="34"/>
    <row r="570" customFormat="1" s="34"/>
    <row r="571" customFormat="1" s="34"/>
    <row r="572" customFormat="1" s="34"/>
    <row r="573" customFormat="1" s="34"/>
    <row r="574" customFormat="1" s="34"/>
    <row r="575" customFormat="1" s="34"/>
    <row r="576" customFormat="1" s="34"/>
    <row r="577" customFormat="1" s="34"/>
    <row r="578" customFormat="1" s="34"/>
    <row r="579" customFormat="1" s="34"/>
    <row r="580" customFormat="1" s="34"/>
    <row r="581" customFormat="1" s="34"/>
    <row r="582" customFormat="1" s="34"/>
    <row r="583" customFormat="1" s="34"/>
    <row r="584" customFormat="1" s="34"/>
    <row r="585" customFormat="1" s="34"/>
    <row r="586" customFormat="1" s="34"/>
    <row r="587" customFormat="1" s="34"/>
    <row r="588" customFormat="1" s="34"/>
    <row r="589" customFormat="1" s="34"/>
    <row r="590" customFormat="1" s="34"/>
    <row r="591" customFormat="1" s="34"/>
    <row r="592" customFormat="1" s="34"/>
    <row r="593" customFormat="1" s="34"/>
    <row r="594" customFormat="1" s="34"/>
    <row r="595" customFormat="1" s="34"/>
    <row r="596" customFormat="1" s="34"/>
    <row r="597" customFormat="1" s="34"/>
    <row r="598" customFormat="1" s="34"/>
    <row r="599" customFormat="1" s="34"/>
    <row r="600" customFormat="1" s="34"/>
    <row r="601" customFormat="1" s="34"/>
    <row r="602" customFormat="1" s="34"/>
    <row r="603" customFormat="1" s="34"/>
    <row r="604" customFormat="1" s="34"/>
    <row r="605" customFormat="1" s="34"/>
    <row r="606" customFormat="1" s="34"/>
    <row r="607" customFormat="1" s="34"/>
    <row r="608" customFormat="1" s="34"/>
    <row r="609" customFormat="1" s="34"/>
    <row r="610" customFormat="1" s="34"/>
    <row r="611" customFormat="1" s="34"/>
    <row r="612" customFormat="1" s="34"/>
    <row r="613" customFormat="1" s="34"/>
    <row r="614" customFormat="1" s="34"/>
    <row r="615" customFormat="1" s="34"/>
    <row r="616" customFormat="1" s="34"/>
    <row r="617" customFormat="1" s="34"/>
    <row r="618" customFormat="1" s="34"/>
    <row r="619" customFormat="1" s="34"/>
    <row r="620" customFormat="1" s="34"/>
    <row r="621" customFormat="1" s="34"/>
    <row r="622" customFormat="1" s="34"/>
    <row r="623" customFormat="1" s="34"/>
    <row r="624" customFormat="1" s="34"/>
    <row r="625" customFormat="1" s="34"/>
    <row r="626" customFormat="1" s="34"/>
    <row r="627" customFormat="1" s="34"/>
    <row r="628" customFormat="1" s="34"/>
    <row r="629" customFormat="1" s="34"/>
    <row r="630" customFormat="1" s="34"/>
    <row r="631" customFormat="1" s="34"/>
    <row r="632" customFormat="1" s="34"/>
    <row r="633" customFormat="1" s="34"/>
    <row r="634" customFormat="1" s="34"/>
    <row r="635" customFormat="1" s="34"/>
    <row r="636" customFormat="1" s="34"/>
    <row r="637" customFormat="1" s="34"/>
    <row r="638" customFormat="1" s="34"/>
    <row r="639" customFormat="1" s="34"/>
    <row r="640" customFormat="1" s="34"/>
    <row r="641" customFormat="1" s="34"/>
    <row r="642" customFormat="1" s="34"/>
    <row r="643" customFormat="1" s="34"/>
    <row r="644" customFormat="1" s="34"/>
    <row r="645" customFormat="1" s="34"/>
    <row r="646" customFormat="1" s="34"/>
    <row r="647" customFormat="1" s="34"/>
    <row r="648" customFormat="1" s="34"/>
    <row r="649" customFormat="1" s="34"/>
    <row r="650" customFormat="1" s="34"/>
    <row r="651" customFormat="1" s="34"/>
    <row r="652" customFormat="1" s="34"/>
    <row r="653" customFormat="1" s="34"/>
    <row r="654" customFormat="1" s="34"/>
    <row r="655" customFormat="1" s="34"/>
    <row r="656" customFormat="1" s="34"/>
    <row r="657" customFormat="1" s="34"/>
    <row r="658" customFormat="1" s="34"/>
    <row r="659" customFormat="1" s="34"/>
    <row r="660" customFormat="1" s="34"/>
    <row r="661" customFormat="1" s="34"/>
    <row r="662" customFormat="1" s="34"/>
    <row r="663" customFormat="1" s="34"/>
    <row r="664" customFormat="1" s="34"/>
    <row r="665" customFormat="1" s="34"/>
    <row r="666" customFormat="1" s="34"/>
    <row r="667" customFormat="1" s="34"/>
    <row r="668" customFormat="1" s="34"/>
    <row r="669" customFormat="1" s="34"/>
    <row r="670" customFormat="1" s="34"/>
    <row r="671" customFormat="1" s="34"/>
    <row r="672" customFormat="1" s="34"/>
    <row r="673" customFormat="1" s="34"/>
    <row r="674" customFormat="1" s="34"/>
    <row r="675" customFormat="1" s="34"/>
    <row r="676" customFormat="1" s="34"/>
    <row r="677" customFormat="1" s="34"/>
    <row r="678" customFormat="1" s="34"/>
    <row r="679" customFormat="1" s="34"/>
    <row r="680" customFormat="1" s="34"/>
    <row r="681" customFormat="1" s="34"/>
    <row r="682" customFormat="1" s="34"/>
    <row r="683" customFormat="1" s="34"/>
    <row r="684" customFormat="1" s="34"/>
    <row r="685" customFormat="1" s="34"/>
    <row r="686" customFormat="1" s="34"/>
    <row r="687" customFormat="1" s="34"/>
    <row r="688" customFormat="1" s="34"/>
    <row r="689" customFormat="1" s="34"/>
    <row r="690" customFormat="1" s="34"/>
    <row r="691" customFormat="1" s="34"/>
    <row r="692" customFormat="1" s="34"/>
    <row r="693" customFormat="1" s="34"/>
    <row r="694" customFormat="1" s="34"/>
    <row r="695" customFormat="1" s="34"/>
    <row r="696" customFormat="1" s="34"/>
    <row r="697" customFormat="1" s="34"/>
    <row r="698" customFormat="1" s="34"/>
    <row r="699" customFormat="1" s="34"/>
    <row r="700" customFormat="1" s="34"/>
    <row r="701" customFormat="1" s="34"/>
    <row r="702" customFormat="1" s="34"/>
    <row r="703" customFormat="1" s="34"/>
    <row r="704" customFormat="1" s="34"/>
    <row r="705" customFormat="1" s="34"/>
    <row r="706" customFormat="1" s="34"/>
    <row r="707" customFormat="1" s="34"/>
    <row r="708" customFormat="1" s="34"/>
    <row r="709" customFormat="1" s="34"/>
    <row r="710" customFormat="1" s="34"/>
    <row r="711" customFormat="1" s="34"/>
    <row r="712" customFormat="1" s="34"/>
    <row r="713" customFormat="1" s="34"/>
    <row r="714" customFormat="1" s="34"/>
    <row r="715" customFormat="1" s="34"/>
    <row r="716" customFormat="1" s="34"/>
    <row r="717" customFormat="1" s="34"/>
    <row r="718" customFormat="1" s="34"/>
    <row r="719" customFormat="1" s="34"/>
    <row r="720" customFormat="1" s="34"/>
    <row r="721" customFormat="1" s="34"/>
    <row r="722" customFormat="1" s="34"/>
    <row r="723" customFormat="1" s="34"/>
    <row r="724" customFormat="1" s="34"/>
    <row r="725" customFormat="1" s="34"/>
    <row r="726" customFormat="1" s="34"/>
    <row r="727" customFormat="1" s="34"/>
    <row r="728" customFormat="1" s="34"/>
    <row r="729" customFormat="1" s="34"/>
    <row r="730" customFormat="1" s="34"/>
    <row r="731" customFormat="1" s="34"/>
    <row r="732" customFormat="1" s="34"/>
    <row r="733" customFormat="1" s="34"/>
    <row r="734" customFormat="1" s="34"/>
    <row r="735" customFormat="1" s="34"/>
    <row r="736" customFormat="1" s="34"/>
    <row r="737" customFormat="1" s="34"/>
    <row r="738" customFormat="1" s="34"/>
    <row r="739" customFormat="1" s="34"/>
    <row r="740" customFormat="1" s="34"/>
    <row r="741" customFormat="1" s="34"/>
    <row r="742" customFormat="1" s="34"/>
    <row r="743" customFormat="1" s="34"/>
    <row r="744" customFormat="1" s="34"/>
    <row r="745" customFormat="1" s="34"/>
    <row r="746" customFormat="1" s="34"/>
    <row r="747" customFormat="1" s="34"/>
    <row r="748" customFormat="1" s="34"/>
    <row r="749" customFormat="1" s="34"/>
    <row r="750" customFormat="1" s="34"/>
    <row r="751" customFormat="1" s="34"/>
    <row r="752" customFormat="1" s="34"/>
    <row r="753" customFormat="1" s="34"/>
    <row r="754" customFormat="1" s="34"/>
    <row r="755" customFormat="1" s="34"/>
    <row r="756" customFormat="1" s="34"/>
    <row r="757" customFormat="1" s="34"/>
    <row r="758" customFormat="1" s="34"/>
    <row r="759" customFormat="1" s="34"/>
    <row r="760" customFormat="1" s="34"/>
    <row r="761" customFormat="1" s="34"/>
    <row r="762" customFormat="1" s="34"/>
    <row r="763" customFormat="1" s="34"/>
    <row r="764" customFormat="1" s="34"/>
    <row r="765" customFormat="1" s="34"/>
    <row r="766" customFormat="1" s="34"/>
    <row r="767" customFormat="1" s="34"/>
    <row r="768" customFormat="1" s="34"/>
    <row r="769" customFormat="1" s="34"/>
    <row r="770" customFormat="1" s="34"/>
    <row r="771" customFormat="1" s="34"/>
    <row r="772" customFormat="1" s="34"/>
    <row r="773" customFormat="1" s="34"/>
    <row r="774" customFormat="1" s="34"/>
    <row r="775" customFormat="1" s="34"/>
    <row r="776" customFormat="1" s="34"/>
    <row r="777" customFormat="1" s="34"/>
    <row r="778" customFormat="1" s="34"/>
    <row r="779" customFormat="1" s="34"/>
    <row r="780" customFormat="1" s="34"/>
    <row r="781" customFormat="1" s="34"/>
    <row r="782" customFormat="1" s="34"/>
    <row r="783" customFormat="1" s="34"/>
    <row r="784" customFormat="1" s="34"/>
    <row r="785" customFormat="1" s="34"/>
    <row r="786" customFormat="1" s="34"/>
    <row r="787" customFormat="1" s="34"/>
    <row r="788" customFormat="1" s="34"/>
    <row r="789" customFormat="1" s="34"/>
    <row r="790" customFormat="1" s="34"/>
    <row r="791" customFormat="1" s="34"/>
    <row r="792" customFormat="1" s="34"/>
    <row r="793" customFormat="1" s="34"/>
    <row r="794" customFormat="1" s="34"/>
    <row r="795" customFormat="1" s="34"/>
    <row r="796" customFormat="1" s="34"/>
    <row r="797" customFormat="1" s="34"/>
    <row r="798" customFormat="1" s="34"/>
    <row r="799" customFormat="1" s="34"/>
    <row r="800" customFormat="1" s="34"/>
    <row r="801" customFormat="1" s="34"/>
    <row r="802" customFormat="1" s="34"/>
    <row r="803" customFormat="1" s="34"/>
    <row r="804" customFormat="1" s="34"/>
    <row r="805" customFormat="1" s="34"/>
    <row r="806" customFormat="1" s="34"/>
    <row r="807" customFormat="1" s="34"/>
    <row r="808" customFormat="1" s="34"/>
    <row r="809" customFormat="1" s="34"/>
    <row r="810" customFormat="1" s="34"/>
    <row r="811" customFormat="1" s="34"/>
    <row r="812" customFormat="1" s="34"/>
    <row r="813" customFormat="1" s="34"/>
    <row r="814" customFormat="1" s="34"/>
    <row r="815" customFormat="1" s="34"/>
    <row r="816" customFormat="1" s="34"/>
    <row r="817" customFormat="1" s="34"/>
    <row r="818" customFormat="1" s="34"/>
    <row r="819" customFormat="1" s="34"/>
    <row r="820" customFormat="1" s="34"/>
    <row r="821" customFormat="1" s="34"/>
    <row r="822" customFormat="1" s="34"/>
    <row r="823" customFormat="1" s="34"/>
    <row r="824" customFormat="1" s="34"/>
    <row r="825" customFormat="1" s="34"/>
    <row r="826" customFormat="1" s="34"/>
    <row r="827" customFormat="1" s="34"/>
    <row r="828" customFormat="1" s="34"/>
    <row r="829" customFormat="1" s="34"/>
    <row r="830" customFormat="1" s="34"/>
    <row r="831" customFormat="1" s="34"/>
    <row r="832" customFormat="1" s="34"/>
    <row r="833" customFormat="1" s="34"/>
    <row r="834" customFormat="1" s="34"/>
    <row r="835" customFormat="1" s="34"/>
    <row r="836" customFormat="1" s="34"/>
    <row r="837" customFormat="1" s="34"/>
    <row r="838" customFormat="1" s="34"/>
    <row r="839" customFormat="1" s="34"/>
    <row r="840" customFormat="1" s="34"/>
    <row r="841" customFormat="1" s="34"/>
    <row r="842" customFormat="1" s="34"/>
    <row r="843" customFormat="1" s="34"/>
    <row r="844" customFormat="1" s="34"/>
    <row r="845" customFormat="1" s="34"/>
    <row r="846" customFormat="1" s="34"/>
    <row r="847" customFormat="1" s="34"/>
    <row r="848" customFormat="1" s="34"/>
    <row r="849" customFormat="1" s="34"/>
    <row r="850" customFormat="1" s="34"/>
    <row r="851" customFormat="1" s="34"/>
    <row r="852" customFormat="1" s="34"/>
    <row r="853" customFormat="1" s="34"/>
    <row r="854" customFormat="1" s="34"/>
    <row r="855" customFormat="1" s="34"/>
    <row r="856" customFormat="1" s="34"/>
    <row r="857" customFormat="1" s="34"/>
    <row r="858" customFormat="1" s="34"/>
    <row r="859" customFormat="1" s="34"/>
    <row r="860" customFormat="1" s="34"/>
    <row r="861" customFormat="1" s="34"/>
    <row r="862" customFormat="1" s="34"/>
    <row r="863" customFormat="1" s="34"/>
    <row r="864" customFormat="1" s="34"/>
    <row r="865" customFormat="1" s="34"/>
    <row r="866" customFormat="1" s="34"/>
    <row r="867" customFormat="1" s="34"/>
    <row r="868" customFormat="1" s="34"/>
    <row r="869" customFormat="1" s="34"/>
    <row r="870" customFormat="1" s="34"/>
    <row r="871" customFormat="1" s="34"/>
    <row r="872" customFormat="1" s="34"/>
    <row r="873" customFormat="1" s="34"/>
    <row r="874" customFormat="1" s="34"/>
    <row r="875" customFormat="1" s="34"/>
    <row r="876" customFormat="1" s="34"/>
    <row r="877" customFormat="1" s="34"/>
    <row r="878" customFormat="1" s="34"/>
    <row r="879" customFormat="1" s="34"/>
    <row r="880" customFormat="1" s="34"/>
    <row r="881" customFormat="1" s="34"/>
    <row r="882" customFormat="1" s="34"/>
    <row r="883" customFormat="1" s="34"/>
    <row r="884" customFormat="1" s="34"/>
    <row r="885" customFormat="1" s="34"/>
    <row r="886" customFormat="1" s="34"/>
    <row r="887" customFormat="1" s="34"/>
    <row r="888" customFormat="1" s="34"/>
    <row r="889" customFormat="1" s="34"/>
    <row r="890" customFormat="1" s="34"/>
    <row r="891" customFormat="1" s="34"/>
    <row r="892" customFormat="1" s="34"/>
    <row r="893" customFormat="1" s="34"/>
    <row r="894" customFormat="1" s="34"/>
    <row r="895" customFormat="1" s="34"/>
    <row r="896" customFormat="1" s="34"/>
    <row r="897" customFormat="1" s="34"/>
    <row r="898" customFormat="1" s="34"/>
    <row r="899" customFormat="1" s="34"/>
    <row r="900" customFormat="1" s="34"/>
    <row r="901" customFormat="1" s="34"/>
    <row r="902" customFormat="1" s="34"/>
    <row r="903" customFormat="1" s="34"/>
    <row r="904" customFormat="1" s="34"/>
    <row r="905" customFormat="1" s="34"/>
    <row r="906" customFormat="1" s="34"/>
    <row r="907" customFormat="1" s="34"/>
    <row r="908" customFormat="1" s="34"/>
    <row r="909" customFormat="1" s="34"/>
    <row r="910" customFormat="1" s="34"/>
    <row r="911" customFormat="1" s="34"/>
    <row r="912" customFormat="1" s="34"/>
    <row r="913" customFormat="1" s="34"/>
    <row r="914" customFormat="1" s="34"/>
    <row r="915" customFormat="1" s="34"/>
    <row r="916" customFormat="1" s="34"/>
    <row r="917" customFormat="1" s="34"/>
    <row r="918" customFormat="1" s="34"/>
    <row r="919" customFormat="1" s="34"/>
    <row r="920" customFormat="1" s="34"/>
    <row r="921" customFormat="1" s="34"/>
    <row r="922" customFormat="1" s="34"/>
    <row r="923" customFormat="1" s="34"/>
    <row r="924" customFormat="1" s="34"/>
    <row r="925" customFormat="1" s="34"/>
    <row r="926" customFormat="1" s="34"/>
    <row r="927" customFormat="1" s="34"/>
    <row r="928" customFormat="1" s="34"/>
    <row r="929" customFormat="1" s="34"/>
    <row r="930" customFormat="1" s="34"/>
    <row r="931" customFormat="1" s="34"/>
    <row r="932" customFormat="1" s="34"/>
    <row r="933" customFormat="1" s="34"/>
    <row r="934" customFormat="1" s="34"/>
    <row r="935" customFormat="1" s="34"/>
    <row r="936" customFormat="1" s="34"/>
    <row r="937" customFormat="1" s="34"/>
    <row r="938" customFormat="1" s="34"/>
    <row r="939" customFormat="1" s="34"/>
    <row r="940" customFormat="1" s="34"/>
    <row r="941" customFormat="1" s="34"/>
    <row r="942" customFormat="1" s="34"/>
    <row r="943" customFormat="1" s="34"/>
    <row r="944" customFormat="1" s="34"/>
    <row r="945" customFormat="1" s="34"/>
    <row r="946" customFormat="1" s="34"/>
    <row r="947" customFormat="1" s="34"/>
    <row r="948" customFormat="1" s="34"/>
    <row r="949" customFormat="1" s="34"/>
    <row r="950" customFormat="1" s="34"/>
    <row r="951" customFormat="1" s="34"/>
    <row r="952" customFormat="1" s="34"/>
    <row r="953" customFormat="1" s="34"/>
    <row r="954" customFormat="1" s="34"/>
    <row r="955" customFormat="1" s="34"/>
    <row r="956" customFormat="1" s="34"/>
    <row r="957" customFormat="1" s="34"/>
    <row r="958" customFormat="1" s="34"/>
    <row r="959" customFormat="1" s="34"/>
    <row r="960" customFormat="1" s="34"/>
    <row r="961" customFormat="1" s="34"/>
    <row r="962" customFormat="1" s="34"/>
    <row r="963" customFormat="1" s="34"/>
    <row r="964" customFormat="1" s="34"/>
    <row r="965" customFormat="1" s="34"/>
    <row r="966" customFormat="1" s="34"/>
    <row r="967" customFormat="1" s="34"/>
    <row r="968" customFormat="1" s="34"/>
    <row r="969" customFormat="1" s="34"/>
    <row r="970" customFormat="1" s="34"/>
    <row r="971" customFormat="1" s="34"/>
    <row r="972" customFormat="1" s="34"/>
    <row r="973" customFormat="1" s="34"/>
    <row r="974" customFormat="1" s="34"/>
    <row r="975" customFormat="1" s="34"/>
    <row r="976" customFormat="1" s="34"/>
    <row r="977" customFormat="1" s="34"/>
    <row r="978" customFormat="1" s="34"/>
    <row r="979" customFormat="1" s="34"/>
    <row r="980" customFormat="1" s="34"/>
    <row r="981" customFormat="1" s="34"/>
    <row r="982" customFormat="1" s="34"/>
    <row r="983" customFormat="1" s="34"/>
    <row r="984" customFormat="1" s="34"/>
    <row r="985" customFormat="1" s="34"/>
    <row r="986" customFormat="1" s="34"/>
    <row r="987" customFormat="1" s="34"/>
    <row r="988" customFormat="1" s="34"/>
    <row r="989" customFormat="1" s="34"/>
    <row r="990" customFormat="1" s="34"/>
    <row r="991" customFormat="1" s="34"/>
    <row r="992" customFormat="1" s="34"/>
    <row r="993" customFormat="1" s="34"/>
    <row r="994" customFormat="1" s="34"/>
    <row r="995" customFormat="1" s="34"/>
    <row r="996" customFormat="1" s="34"/>
    <row r="997" customFormat="1" s="34"/>
    <row r="998" customFormat="1" s="34"/>
    <row r="999" customFormat="1" s="34"/>
    <row r="1000" customFormat="1" s="34"/>
    <row r="1001" customFormat="1" s="34"/>
    <row r="1002" customFormat="1" s="34"/>
    <row r="1003" customFormat="1" s="34"/>
    <row r="1004" customFormat="1" s="34"/>
    <row r="1005" customFormat="1" s="34"/>
    <row r="1006" customFormat="1" s="34"/>
    <row r="1007" customFormat="1" s="34"/>
    <row r="1008" customFormat="1" s="34"/>
    <row r="1009" customFormat="1" s="34"/>
    <row r="1010" customFormat="1" s="34"/>
    <row r="1011" customFormat="1" s="34"/>
    <row r="1012" customFormat="1" s="34"/>
    <row r="1013" customFormat="1" s="34"/>
    <row r="1014" customFormat="1" s="34"/>
    <row r="1015" customFormat="1" s="34"/>
    <row r="1016" customFormat="1" s="34"/>
    <row r="1017" customFormat="1" s="34"/>
    <row r="1018" customFormat="1" s="34"/>
    <row r="1019" customFormat="1" s="34"/>
    <row r="1020" customFormat="1" s="34"/>
    <row r="1021" customFormat="1" s="34"/>
    <row r="1022" customFormat="1" s="34"/>
    <row r="1023" customFormat="1" s="34"/>
    <row r="1024" customFormat="1" s="34"/>
    <row r="1025" customFormat="1" s="34"/>
    <row r="1026" customFormat="1" s="34"/>
    <row r="1027" customFormat="1" s="34"/>
    <row r="1028" customFormat="1" s="34"/>
    <row r="1029" customFormat="1" s="34"/>
    <row r="1030" customFormat="1" s="34"/>
    <row r="1031" customFormat="1" s="34"/>
    <row r="1032" customFormat="1" s="34"/>
    <row r="1033" customFormat="1" s="34"/>
    <row r="1034" customFormat="1" s="34"/>
    <row r="1035" customFormat="1" s="34"/>
    <row r="1036" customFormat="1" s="34"/>
    <row r="1037" customFormat="1" s="34"/>
    <row r="1038" customFormat="1" s="34"/>
    <row r="1039" customFormat="1" s="34"/>
    <row r="1040" customFormat="1" s="34"/>
    <row r="1041" customFormat="1" s="34"/>
    <row r="1042" customFormat="1" s="34"/>
    <row r="1043" customFormat="1" s="34"/>
    <row r="1044" customFormat="1" s="34"/>
    <row r="1045" customFormat="1" s="34"/>
    <row r="1046" customFormat="1" s="34"/>
    <row r="1047" customFormat="1" s="34"/>
    <row r="1048" customFormat="1" s="34"/>
    <row r="1049" customFormat="1" s="34"/>
    <row r="1050" customFormat="1" s="34"/>
    <row r="1051" customFormat="1" s="34"/>
    <row r="1052" customFormat="1" s="34"/>
    <row r="1053" customFormat="1" s="34"/>
    <row r="1054" customFormat="1" s="34"/>
    <row r="1055" customFormat="1" s="34"/>
    <row r="1056" customFormat="1" s="34"/>
    <row r="1057" customFormat="1" s="34"/>
    <row r="1058" customFormat="1" s="34"/>
    <row r="1059" customFormat="1" s="34"/>
    <row r="1060" customFormat="1" s="34"/>
    <row r="1061" customFormat="1" s="34"/>
    <row r="1062" customFormat="1" s="34"/>
    <row r="1063" customFormat="1" s="34"/>
    <row r="1064" customFormat="1" s="34"/>
    <row r="1065" customFormat="1" s="34"/>
    <row r="1066" customFormat="1" s="34"/>
    <row r="1067" customFormat="1" s="34"/>
    <row r="1068" customFormat="1" s="34"/>
    <row r="1069" customFormat="1" s="34"/>
    <row r="1070" customFormat="1" s="34"/>
    <row r="1071" customFormat="1" s="34"/>
    <row r="1072" customFormat="1" s="34"/>
    <row r="1073" customFormat="1" s="34"/>
    <row r="1074" customFormat="1" s="34"/>
    <row r="1075" customFormat="1" s="34"/>
    <row r="1076" customFormat="1" s="34"/>
    <row r="1077" customFormat="1" s="34"/>
    <row r="1078" customFormat="1" s="34"/>
    <row r="1079" customFormat="1" s="34"/>
    <row r="1080" customFormat="1" s="34"/>
    <row r="1081" customFormat="1" s="34"/>
    <row r="1082" customFormat="1" s="34"/>
    <row r="1083" customFormat="1" s="34"/>
    <row r="1084" customFormat="1" s="34"/>
    <row r="1085" customFormat="1" s="34"/>
    <row r="1086" customFormat="1" s="34"/>
    <row r="1087" customFormat="1" s="34"/>
    <row r="1088" customFormat="1" s="34"/>
    <row r="1089" customFormat="1" s="34"/>
    <row r="1090" customFormat="1" s="34"/>
    <row r="1091" customFormat="1" s="34"/>
    <row r="1092" customFormat="1" s="34"/>
    <row r="1093" customFormat="1" s="34"/>
    <row r="1094" customFormat="1" s="34"/>
    <row r="1095" customFormat="1" s="34"/>
    <row r="1096" customFormat="1" s="34"/>
    <row r="1097" customFormat="1" s="34"/>
    <row r="1098" customFormat="1" s="34"/>
    <row r="1099" customFormat="1" s="34"/>
    <row r="1100" customFormat="1" s="34"/>
    <row r="1101" customFormat="1" s="34"/>
    <row r="1102" customFormat="1" s="34"/>
    <row r="1103" customFormat="1" s="34"/>
    <row r="1104" customFormat="1" s="34"/>
    <row r="1105" customFormat="1" s="34"/>
    <row r="1106" customFormat="1" s="34"/>
    <row r="1107" customFormat="1" s="34"/>
    <row r="1108" customFormat="1" s="34"/>
    <row r="1109" customFormat="1" s="34"/>
    <row r="1110" customFormat="1" s="34"/>
    <row r="1111" customFormat="1" s="34"/>
    <row r="1112" customFormat="1" s="34"/>
    <row r="1113" customFormat="1" s="34"/>
    <row r="1114" customFormat="1" s="34"/>
    <row r="1115" customFormat="1" s="34"/>
    <row r="1116" customFormat="1" s="34"/>
    <row r="1117" customFormat="1" s="34"/>
    <row r="1118" customFormat="1" s="34"/>
    <row r="1119" customFormat="1" s="34"/>
    <row r="1120" customFormat="1" s="34"/>
    <row r="1121" customFormat="1" s="34"/>
    <row r="1122" customFormat="1" s="34"/>
    <row r="1123" customFormat="1" s="34"/>
    <row r="1124" customFormat="1" s="34"/>
    <row r="1125" customFormat="1" s="34"/>
    <row r="1126" customFormat="1" s="34"/>
    <row r="1127" customFormat="1" s="34"/>
    <row r="1128" customFormat="1" s="34"/>
    <row r="1129" customFormat="1" s="34"/>
    <row r="1130" customFormat="1" s="34"/>
    <row r="1131" customFormat="1" s="34"/>
    <row r="1132" customFormat="1" s="34"/>
    <row r="1133" customFormat="1" s="34"/>
    <row r="1134" customFormat="1" s="34"/>
    <row r="1135" customFormat="1" s="34"/>
    <row r="1136" customFormat="1" s="34"/>
    <row r="1137" customFormat="1" s="34"/>
    <row r="1138" customFormat="1" s="34"/>
    <row r="1139" customFormat="1" s="34"/>
    <row r="1140" customFormat="1" s="34"/>
    <row r="1141" customFormat="1" s="34"/>
    <row r="1142" customFormat="1" s="34"/>
    <row r="1143" customFormat="1" s="34"/>
    <row r="1144" customFormat="1" s="34"/>
    <row r="1145" customFormat="1" s="34"/>
    <row r="1146" customFormat="1" s="34"/>
    <row r="1147" customFormat="1" s="34"/>
    <row r="1148" customFormat="1" s="34"/>
    <row r="1149" customFormat="1" s="34"/>
    <row r="1150" customFormat="1" s="34"/>
    <row r="1151" customFormat="1" s="34"/>
    <row r="1152" customFormat="1" s="34"/>
    <row r="1153" customFormat="1" s="34"/>
    <row r="1154" customFormat="1" s="34"/>
    <row r="1155" customFormat="1" s="34"/>
    <row r="1156" customFormat="1" s="34"/>
    <row r="1157" customFormat="1" s="34"/>
    <row r="1158" customFormat="1" s="34"/>
    <row r="1159" customFormat="1" s="34"/>
    <row r="1160" customFormat="1" s="34"/>
    <row r="1161" customFormat="1" s="34"/>
    <row r="1162" customFormat="1" s="34"/>
    <row r="1163" customFormat="1" s="34"/>
    <row r="1164" customFormat="1" s="34"/>
    <row r="1165" customFormat="1" s="34"/>
    <row r="1166" customFormat="1" s="34"/>
    <row r="1167" customFormat="1" s="34"/>
    <row r="1168" customFormat="1" s="34"/>
    <row r="1169" customFormat="1" s="34"/>
    <row r="1170" customFormat="1" s="34"/>
    <row r="1171" customFormat="1" s="34"/>
    <row r="1172" customFormat="1" s="34"/>
    <row r="1173" customFormat="1" s="34"/>
    <row r="1174" customFormat="1" s="34"/>
    <row r="1175" customFormat="1" s="34"/>
    <row r="1176" customFormat="1" s="34"/>
    <row r="1177" customFormat="1" s="34"/>
    <row r="1178" customFormat="1" s="34"/>
    <row r="1179" customFormat="1" s="34"/>
    <row r="1180" customFormat="1" s="34"/>
    <row r="1181" customFormat="1" s="34"/>
    <row r="1182" customFormat="1" s="34"/>
    <row r="1183" customFormat="1" s="34"/>
    <row r="1184" customFormat="1" s="34"/>
    <row r="1185" customFormat="1" s="34"/>
    <row r="1186" customFormat="1" s="34"/>
    <row r="1187" customFormat="1" s="34"/>
    <row r="1188" customFormat="1" s="34"/>
    <row r="1189" customFormat="1" s="34"/>
    <row r="1190" customFormat="1" s="34"/>
    <row r="1191" customFormat="1" s="34"/>
    <row r="1192" customFormat="1" s="34"/>
    <row r="1193" customFormat="1" s="34"/>
    <row r="1194" customFormat="1" s="34"/>
    <row r="1195" customFormat="1" s="34"/>
    <row r="1196" customFormat="1" s="34"/>
    <row r="1197" customFormat="1" s="34"/>
    <row r="1198" customFormat="1" s="34"/>
    <row r="1199" customFormat="1" s="34"/>
    <row r="1200" customFormat="1" s="34"/>
    <row r="1201" customFormat="1" s="34"/>
    <row r="1202" customFormat="1" s="34"/>
    <row r="1203" customFormat="1" s="34"/>
    <row r="1204" customFormat="1" s="34"/>
    <row r="1205" customFormat="1" s="34"/>
    <row r="1206" customFormat="1" s="34"/>
    <row r="1207" customFormat="1" s="34"/>
    <row r="1208" customFormat="1" s="34"/>
    <row r="1209" customFormat="1" s="34"/>
    <row r="1210" customFormat="1" s="34"/>
    <row r="1211" customFormat="1" s="34"/>
    <row r="1212" customFormat="1" s="34"/>
    <row r="1213" customFormat="1" s="34"/>
    <row r="1214" customFormat="1" s="34"/>
    <row r="1215" customFormat="1" s="34"/>
    <row r="1216" customFormat="1" s="34"/>
    <row r="1217" customFormat="1" s="34"/>
    <row r="1218" customFormat="1" s="34"/>
    <row r="1219" customFormat="1" s="34"/>
    <row r="1220" customFormat="1" s="34"/>
    <row r="1221" customFormat="1" s="34"/>
    <row r="1222" customFormat="1" s="34"/>
    <row r="1223" customFormat="1" s="34"/>
    <row r="1224" customFormat="1" s="34"/>
    <row r="1225" customFormat="1" s="34"/>
    <row r="1226" customFormat="1" s="34"/>
    <row r="1227" customFormat="1" s="34"/>
    <row r="1228" customFormat="1" s="34"/>
    <row r="1229" customFormat="1" s="34"/>
    <row r="1230" customFormat="1" s="34"/>
    <row r="1231" customFormat="1" s="34"/>
    <row r="1232" customFormat="1" s="34"/>
    <row r="1233" customFormat="1" s="34"/>
    <row r="1234" customFormat="1" s="34"/>
    <row r="1235" customFormat="1" s="34"/>
    <row r="1236" customFormat="1" s="34"/>
    <row r="1237" customFormat="1" s="34"/>
    <row r="1238" customFormat="1" s="34"/>
    <row r="1239" customFormat="1" s="34"/>
    <row r="1240" customFormat="1" s="34"/>
    <row r="1241" customFormat="1" s="34"/>
    <row r="1242" customFormat="1" s="34"/>
    <row r="1243" customFormat="1" s="34"/>
    <row r="1244" customFormat="1" s="34"/>
    <row r="1245" customFormat="1" s="34"/>
    <row r="1246" customFormat="1" s="34"/>
    <row r="1247" customFormat="1" s="34"/>
    <row r="1248" customFormat="1" s="34"/>
    <row r="1249" customFormat="1" s="34"/>
    <row r="1250" customFormat="1" s="34"/>
    <row r="1251" customFormat="1" s="34"/>
    <row r="1252" customFormat="1" s="34"/>
    <row r="1253" customFormat="1" s="34"/>
    <row r="1254" customFormat="1" s="34"/>
    <row r="1255" customFormat="1" s="34"/>
    <row r="1256" customFormat="1" s="34"/>
    <row r="1257" customFormat="1" s="34"/>
    <row r="1258" customFormat="1" s="34"/>
    <row r="1259" customFormat="1" s="34"/>
    <row r="1260" customFormat="1" s="34"/>
    <row r="1261" customFormat="1" s="34"/>
    <row r="1262" customFormat="1" s="34"/>
    <row r="1263" customFormat="1" s="34"/>
    <row r="1264" customFormat="1" s="34"/>
    <row r="1265" customFormat="1" s="34"/>
    <row r="1266" customFormat="1" s="34"/>
    <row r="1267" customFormat="1" s="34"/>
    <row r="1268" customFormat="1" s="34"/>
    <row r="1269" customFormat="1" s="34"/>
    <row r="1270" customFormat="1" s="34"/>
    <row r="1271" customFormat="1" s="34"/>
    <row r="1272" customFormat="1" s="34"/>
    <row r="1273" customFormat="1" s="34"/>
    <row r="1274" customFormat="1" s="34"/>
    <row r="1275" customFormat="1" s="34"/>
    <row r="1276" customFormat="1" s="34"/>
    <row r="1277" customFormat="1" s="34"/>
    <row r="1278" customFormat="1" s="34"/>
    <row r="1279" customFormat="1" s="34"/>
    <row r="1280" customFormat="1" s="34"/>
    <row r="1281" customFormat="1" s="34"/>
    <row r="1282" customFormat="1" s="34"/>
    <row r="1283" customFormat="1" s="34"/>
    <row r="1284" customFormat="1" s="34"/>
    <row r="1285" customFormat="1" s="34"/>
    <row r="1286" customFormat="1" s="34"/>
    <row r="1287" customFormat="1" s="34"/>
    <row r="1288" customFormat="1" s="34"/>
    <row r="1289" customFormat="1" s="34"/>
    <row r="1290" customFormat="1" s="34"/>
    <row r="1291" customFormat="1" s="34"/>
    <row r="1292" customFormat="1" s="34"/>
    <row r="1293" customFormat="1" s="34"/>
    <row r="1294" customFormat="1" s="34"/>
    <row r="1295" customFormat="1" s="34"/>
    <row r="1296" customFormat="1" s="34"/>
    <row r="1297" customFormat="1" s="34"/>
    <row r="1298" customFormat="1" s="34"/>
    <row r="1299" customFormat="1" s="34"/>
    <row r="1300" customFormat="1" s="34"/>
    <row r="1301" customFormat="1" s="34"/>
    <row r="1302" customFormat="1" s="34"/>
    <row r="1303" customFormat="1" s="34"/>
    <row r="1304" customFormat="1" s="34"/>
    <row r="1305" customFormat="1" s="34"/>
    <row r="1306" customFormat="1" s="34"/>
    <row r="1307" customFormat="1" s="34"/>
    <row r="1308" customFormat="1" s="34"/>
    <row r="1309" customFormat="1" s="34"/>
    <row r="1310" customFormat="1" s="34"/>
    <row r="1311" customFormat="1" s="34"/>
    <row r="1312" customFormat="1" s="34"/>
    <row r="1313" customFormat="1" s="34"/>
    <row r="1314" customFormat="1" s="34"/>
    <row r="1315" customFormat="1" s="34"/>
    <row r="1316" customFormat="1" s="34"/>
    <row r="1317" customFormat="1" s="34"/>
    <row r="1318" customFormat="1" s="34"/>
    <row r="1319" customFormat="1" s="34"/>
    <row r="1320" customFormat="1" s="34"/>
    <row r="1321" customFormat="1" s="34"/>
    <row r="1322" customFormat="1" s="34"/>
    <row r="1323" customFormat="1" s="34"/>
    <row r="1324" customFormat="1" s="34"/>
    <row r="1325" customFormat="1" s="34"/>
    <row r="1326" customFormat="1" s="34"/>
    <row r="1327" customFormat="1" s="34"/>
    <row r="1328" customFormat="1" s="34"/>
    <row r="1329" customFormat="1" s="34"/>
    <row r="1330" customFormat="1" s="34"/>
    <row r="1331" customFormat="1" s="34"/>
    <row r="1332" customFormat="1" s="34"/>
    <row r="1333" customFormat="1" s="34"/>
    <row r="1334" customFormat="1" s="34"/>
    <row r="1335" customFormat="1" s="34"/>
    <row r="1336" customFormat="1" s="34"/>
    <row r="1337" customFormat="1" s="34"/>
    <row r="1338" customFormat="1" s="34"/>
    <row r="1339" customFormat="1" s="34"/>
    <row r="1340" customFormat="1" s="34"/>
    <row r="1341" customFormat="1" s="34"/>
    <row r="1342" customFormat="1" s="34"/>
    <row r="1343" customFormat="1" s="34"/>
    <row r="1344" customFormat="1" s="34"/>
    <row r="1345" customFormat="1" s="34"/>
    <row r="1346" customFormat="1" s="34"/>
    <row r="1347" customFormat="1" s="34"/>
    <row r="1348" customFormat="1" s="34"/>
    <row r="1349" customFormat="1" s="34"/>
    <row r="1350" customFormat="1" s="34"/>
    <row r="1351" customFormat="1" s="34"/>
    <row r="1352" customFormat="1" s="34"/>
    <row r="1353" customFormat="1" s="34"/>
    <row r="1354" customFormat="1" s="34"/>
    <row r="1355" customFormat="1" s="34"/>
    <row r="1356" customFormat="1" s="34"/>
    <row r="1357" customFormat="1" s="34"/>
    <row r="1358" customFormat="1" s="34"/>
    <row r="1359" customFormat="1" s="34"/>
    <row r="1360" customFormat="1" s="34"/>
    <row r="1361" customFormat="1" s="34"/>
    <row r="1362" customFormat="1" s="34"/>
    <row r="1363" customFormat="1" s="34"/>
    <row r="1364" customFormat="1" s="34"/>
    <row r="1365" customFormat="1" s="34"/>
    <row r="1366" customFormat="1" s="34"/>
    <row r="1367" customFormat="1" s="34"/>
    <row r="1368" customFormat="1" s="34"/>
    <row r="1369" customFormat="1" s="34"/>
    <row r="1370" customFormat="1" s="34"/>
    <row r="1371" customFormat="1" s="34"/>
    <row r="1372" customFormat="1" s="34"/>
    <row r="1373" customFormat="1" s="34"/>
    <row r="1374" customFormat="1" s="34"/>
    <row r="1375" customFormat="1" s="34"/>
    <row r="1376" customFormat="1" s="34"/>
    <row r="1377" customFormat="1" s="34"/>
    <row r="1378" customFormat="1" s="34"/>
    <row r="1379" customFormat="1" s="34"/>
    <row r="1380" customFormat="1" s="34"/>
    <row r="1381" customFormat="1" s="34"/>
    <row r="1382" customFormat="1" s="34"/>
    <row r="1383" customFormat="1" s="34"/>
    <row r="1384" customFormat="1" s="34"/>
    <row r="1385" customFormat="1" s="34"/>
    <row r="1386" customFormat="1" s="34"/>
    <row r="1387" customFormat="1" s="34"/>
    <row r="1388" customFormat="1" s="34"/>
    <row r="1389" customFormat="1" s="34"/>
    <row r="1390" customFormat="1" s="34"/>
    <row r="1391" customFormat="1" s="34"/>
    <row r="1392" customFormat="1" s="34"/>
    <row r="1393" customFormat="1" s="34"/>
    <row r="1394" customFormat="1" s="34"/>
    <row r="1395" customFormat="1" s="34"/>
    <row r="1396" customFormat="1" s="34"/>
    <row r="1397" customFormat="1" s="34"/>
    <row r="1398" customFormat="1" s="34"/>
    <row r="1399" customFormat="1" s="34"/>
    <row r="1400" customFormat="1" s="34"/>
    <row r="1401" customFormat="1" s="34"/>
    <row r="1402" customFormat="1" s="34"/>
    <row r="1403" customFormat="1" s="34"/>
    <row r="1404" customFormat="1" s="34"/>
    <row r="1405" customFormat="1" s="34"/>
    <row r="1406" customFormat="1" s="34"/>
    <row r="1407" customFormat="1" s="34"/>
    <row r="1408" customFormat="1" s="34"/>
    <row r="1409" customFormat="1" s="34"/>
    <row r="1410" customFormat="1" s="34"/>
    <row r="1411" customFormat="1" s="34"/>
    <row r="1412" customFormat="1" s="34"/>
    <row r="1413" customFormat="1" s="34"/>
    <row r="1414" customFormat="1" s="34"/>
    <row r="1415" customFormat="1" s="34"/>
    <row r="1416" customFormat="1" s="34"/>
    <row r="1417" customFormat="1" s="34"/>
    <row r="1418" customFormat="1" s="34"/>
    <row r="1419" customFormat="1" s="34"/>
    <row r="1420" customFormat="1" s="34"/>
    <row r="1421" customFormat="1" s="34"/>
    <row r="1422" customFormat="1" s="34"/>
    <row r="1423" customFormat="1" s="34"/>
    <row r="1424" customFormat="1" s="34"/>
    <row r="1425" customFormat="1" s="34"/>
    <row r="1426" customFormat="1" s="34"/>
    <row r="1427" customFormat="1" s="34"/>
    <row r="1428" customFormat="1" s="34"/>
    <row r="1429" customFormat="1" s="34"/>
    <row r="1430" customFormat="1" s="34"/>
    <row r="1431" customFormat="1" s="34"/>
    <row r="1432" customFormat="1" s="34"/>
    <row r="1433" customFormat="1" s="34"/>
    <row r="1434" customFormat="1" s="34"/>
    <row r="1435" customFormat="1" s="34"/>
    <row r="1436" customFormat="1" s="34"/>
    <row r="1437" customFormat="1" s="34"/>
    <row r="1438" customFormat="1" s="34"/>
    <row r="1439" customFormat="1" s="34"/>
    <row r="1440" customFormat="1" s="34"/>
    <row r="1441" customFormat="1" s="34"/>
    <row r="1442" customFormat="1" s="34"/>
    <row r="1443" customFormat="1" s="34"/>
    <row r="1444" customFormat="1" s="34"/>
    <row r="1445" customFormat="1" s="34"/>
    <row r="1446" customFormat="1" s="34"/>
    <row r="1447" customFormat="1" s="34"/>
    <row r="1448" customFormat="1" s="34"/>
    <row r="1449" customFormat="1" s="34"/>
    <row r="1450" customFormat="1" s="34"/>
    <row r="1451" customFormat="1" s="34"/>
    <row r="1452" customFormat="1" s="34"/>
    <row r="1453" customFormat="1" s="34"/>
    <row r="1454" customFormat="1" s="34"/>
    <row r="1455" customFormat="1" s="34"/>
    <row r="1456" customFormat="1" s="34"/>
    <row r="1457" customFormat="1" s="34"/>
    <row r="1458" customFormat="1" s="34"/>
    <row r="1459" customFormat="1" s="34"/>
    <row r="1460" customFormat="1" s="34"/>
    <row r="1461" customFormat="1" s="34"/>
    <row r="1462" customFormat="1" s="34"/>
    <row r="1463" customFormat="1" s="34"/>
    <row r="1464" customFormat="1" s="34"/>
    <row r="1465" customFormat="1" s="34"/>
    <row r="1466" customFormat="1" s="34"/>
    <row r="1467" customFormat="1" s="34"/>
    <row r="1468" customFormat="1" s="34"/>
    <row r="1469" customFormat="1" s="34"/>
    <row r="1470" customFormat="1" s="34"/>
    <row r="1471" customFormat="1" s="34"/>
    <row r="1472" customFormat="1" s="34"/>
    <row r="1473" customFormat="1" s="34"/>
    <row r="1474" customFormat="1" s="34"/>
    <row r="1475" customFormat="1" s="34"/>
    <row r="1476" customFormat="1" s="34"/>
    <row r="1477" customFormat="1" s="34"/>
    <row r="1478" customFormat="1" s="34"/>
    <row r="1479" customFormat="1" s="34"/>
    <row r="1480" customFormat="1" s="34"/>
    <row r="1481" customFormat="1" s="34"/>
    <row r="1482" customFormat="1" s="34"/>
    <row r="1483" customFormat="1" s="34"/>
    <row r="1484" customFormat="1" s="34"/>
    <row r="1485" customFormat="1" s="34"/>
    <row r="1486" customFormat="1" s="34"/>
    <row r="1487" customFormat="1" s="34"/>
    <row r="1488" customFormat="1" s="34"/>
    <row r="1489" customFormat="1" s="34"/>
    <row r="1490" customFormat="1" s="34"/>
    <row r="1491" customFormat="1" s="34"/>
    <row r="1492" customFormat="1" s="34"/>
    <row r="1493" customFormat="1" s="34"/>
    <row r="1494" customFormat="1" s="34"/>
    <row r="1495" customFormat="1" s="34"/>
    <row r="1496" customFormat="1" s="34"/>
    <row r="1497" customFormat="1" s="34"/>
    <row r="1498" customFormat="1" s="34"/>
    <row r="1499" customFormat="1" s="34"/>
    <row r="1500" customFormat="1" s="34"/>
    <row r="1501" customFormat="1" s="34"/>
    <row r="1502" customFormat="1" s="34"/>
    <row r="1503" customFormat="1" s="34"/>
    <row r="1504" customFormat="1" s="34"/>
    <row r="1505" customFormat="1" s="34"/>
    <row r="1506" customFormat="1" s="34"/>
    <row r="1507" customFormat="1" s="34"/>
    <row r="1508" customFormat="1" s="34"/>
    <row r="1509" customFormat="1" s="34"/>
    <row r="1510" customFormat="1" s="34"/>
    <row r="1511" customFormat="1" s="34"/>
    <row r="1512" customFormat="1" s="34"/>
    <row r="1513" customFormat="1" s="34"/>
    <row r="1514" customFormat="1" s="34"/>
    <row r="1515" customFormat="1" s="34"/>
    <row r="1516" customFormat="1" s="34"/>
    <row r="1517" customFormat="1" s="34"/>
    <row r="1518" customFormat="1" s="34"/>
    <row r="1519" customFormat="1" s="34"/>
    <row r="1520" customFormat="1" s="34"/>
    <row r="1521" customFormat="1" s="34"/>
    <row r="1522" customFormat="1" s="34"/>
    <row r="1523" customFormat="1" s="34"/>
    <row r="1524" customFormat="1" s="34"/>
    <row r="1525" customFormat="1" s="34"/>
    <row r="1526" customFormat="1" s="34"/>
    <row r="1527" customFormat="1" s="34"/>
    <row r="1528" customFormat="1" s="34"/>
    <row r="1529" customFormat="1" s="34"/>
    <row r="1530" customFormat="1" s="34"/>
    <row r="1531" customFormat="1" s="34"/>
    <row r="1532" customFormat="1" s="34"/>
    <row r="1533" customFormat="1" s="34"/>
    <row r="1534" customFormat="1" s="34"/>
    <row r="1535" customFormat="1" s="34"/>
    <row r="1536" customFormat="1" s="34"/>
    <row r="1537" customFormat="1" s="34"/>
    <row r="1538" customFormat="1" s="34"/>
    <row r="1539" customFormat="1" s="34"/>
    <row r="1540" customFormat="1" s="34"/>
    <row r="1541" customFormat="1" s="34"/>
    <row r="1542" customFormat="1" s="34"/>
    <row r="1543" customFormat="1" s="34"/>
    <row r="1544" customFormat="1" s="34"/>
    <row r="1545" customFormat="1" s="34"/>
    <row r="1546" customFormat="1" s="34"/>
    <row r="1547" customFormat="1" s="34"/>
    <row r="1548" customFormat="1" s="34"/>
    <row r="1549" customFormat="1" s="34"/>
    <row r="1550" customFormat="1" s="34"/>
    <row r="1551" customFormat="1" s="34"/>
    <row r="1552" customFormat="1" s="34"/>
    <row r="1553" customFormat="1" s="34"/>
    <row r="1554" customFormat="1" s="34"/>
    <row r="1555" customFormat="1" s="34"/>
    <row r="1556" customFormat="1" s="34"/>
    <row r="1557" customFormat="1" s="34"/>
    <row r="1558" customFormat="1" s="34"/>
    <row r="1559" customFormat="1" s="34"/>
    <row r="1560" customFormat="1" s="34"/>
    <row r="1561" customFormat="1" s="34"/>
    <row r="1562" customFormat="1" s="34"/>
    <row r="1563" customFormat="1" s="34"/>
    <row r="1564" customFormat="1" s="34"/>
    <row r="1565" customFormat="1" s="34"/>
    <row r="1566" customFormat="1" s="34"/>
    <row r="1567" customFormat="1" s="34"/>
    <row r="1568" customFormat="1" s="34"/>
    <row r="1569" customFormat="1" s="34"/>
    <row r="1570" customFormat="1" s="34"/>
    <row r="1571" customFormat="1" s="34"/>
    <row r="1572" customFormat="1" s="34"/>
    <row r="1573" customFormat="1" s="34"/>
    <row r="1574" customFormat="1" s="34"/>
    <row r="1575" customFormat="1" s="34"/>
    <row r="1576" customFormat="1" s="34"/>
    <row r="1577" customFormat="1" s="34"/>
    <row r="1578" customFormat="1" s="34"/>
    <row r="1579" customFormat="1" s="34"/>
    <row r="1580" customFormat="1" s="34"/>
    <row r="1581" customFormat="1" s="34"/>
    <row r="1582" customFormat="1" s="34"/>
    <row r="1583" customFormat="1" s="34"/>
    <row r="1584" customFormat="1" s="34"/>
    <row r="1585" customFormat="1" s="34"/>
    <row r="1586" customFormat="1" s="34"/>
    <row r="1587" customFormat="1" s="34"/>
    <row r="1588" customFormat="1" s="34"/>
    <row r="1589" customFormat="1" s="34"/>
    <row r="1590" customFormat="1" s="34"/>
    <row r="1591" customFormat="1" s="34"/>
    <row r="1592" customFormat="1" s="34"/>
    <row r="1593" customFormat="1" s="34"/>
    <row r="1594" customFormat="1" s="34"/>
    <row r="1595" customFormat="1" s="34"/>
    <row r="1596" customFormat="1" s="34"/>
    <row r="1597" customFormat="1" s="34"/>
    <row r="1598" customFormat="1" s="34"/>
    <row r="1599" customFormat="1" s="34"/>
    <row r="1600" customFormat="1" s="34"/>
    <row r="1601" customFormat="1" s="34"/>
    <row r="1602" customFormat="1" s="34"/>
    <row r="1603" customFormat="1" s="34"/>
    <row r="1604" customFormat="1" s="34"/>
    <row r="1605" customFormat="1" s="34"/>
    <row r="1606" customFormat="1" s="34"/>
    <row r="1607" customFormat="1" s="34"/>
    <row r="1608" customFormat="1" s="34"/>
    <row r="1609" customFormat="1" s="34"/>
    <row r="1610" customFormat="1" s="34"/>
    <row r="1611" customFormat="1" s="34"/>
    <row r="1612" customFormat="1" s="34"/>
    <row r="1613" customFormat="1" s="34"/>
    <row r="1614" customFormat="1" s="34"/>
    <row r="1615" customFormat="1" s="34"/>
    <row r="1616" customFormat="1" s="34"/>
    <row r="1617" customFormat="1" s="34"/>
    <row r="1618" customFormat="1" s="34"/>
    <row r="1619" customFormat="1" s="34"/>
    <row r="1620" customFormat="1" s="34"/>
    <row r="1621" customFormat="1" s="34"/>
    <row r="1622" customFormat="1" s="34"/>
    <row r="1623" customFormat="1" s="34"/>
    <row r="1624" customFormat="1" s="34"/>
    <row r="1625" customFormat="1" s="34"/>
    <row r="1626" customFormat="1" s="34"/>
    <row r="1627" customFormat="1" s="34"/>
    <row r="1628" customFormat="1" s="34"/>
    <row r="1629" customFormat="1" s="34"/>
    <row r="1630" customFormat="1" s="34"/>
    <row r="1631" customFormat="1" s="34"/>
    <row r="1632" customFormat="1" s="34"/>
    <row r="1633" customFormat="1" s="34"/>
    <row r="1634" customFormat="1" s="34"/>
    <row r="1635" customFormat="1" s="34"/>
    <row r="1636" customFormat="1" s="34"/>
    <row r="1637" customFormat="1" s="34"/>
    <row r="1638" customFormat="1" s="34"/>
    <row r="1639" customFormat="1" s="34"/>
    <row r="1640" customFormat="1" s="34"/>
    <row r="1641" customFormat="1" s="34"/>
    <row r="1642" customFormat="1" s="34"/>
    <row r="1643" customFormat="1" s="34"/>
    <row r="1644" customFormat="1" s="34"/>
    <row r="1645" customFormat="1" s="34"/>
    <row r="1646" customFormat="1" s="34"/>
    <row r="1647" customFormat="1" s="34"/>
    <row r="1648" customFormat="1" s="34"/>
    <row r="1649" customFormat="1" s="34"/>
    <row r="1650" customFormat="1" s="34"/>
    <row r="1651" customFormat="1" s="34"/>
    <row r="1652" customFormat="1" s="34"/>
    <row r="1653" customFormat="1" s="34"/>
    <row r="1654" customFormat="1" s="34"/>
    <row r="1655" customFormat="1" s="34"/>
    <row r="1656" customFormat="1" s="34"/>
    <row r="1657" customFormat="1" s="34"/>
    <row r="1658" customFormat="1" s="34"/>
    <row r="1659" customFormat="1" s="34"/>
    <row r="1660" customFormat="1" s="34"/>
    <row r="1661" customFormat="1" s="34"/>
    <row r="1662" customFormat="1" s="34"/>
    <row r="1663" customFormat="1" s="34"/>
    <row r="1664" customFormat="1" s="34"/>
    <row r="1665" customFormat="1" s="34"/>
    <row r="1666" customFormat="1" s="34"/>
    <row r="1667" customFormat="1" s="34"/>
    <row r="1668" customFormat="1" s="34"/>
    <row r="1669" customFormat="1" s="34"/>
    <row r="1670" customFormat="1" s="34"/>
    <row r="1671" customFormat="1" s="34"/>
    <row r="1672" customFormat="1" s="34"/>
    <row r="1673" customFormat="1" s="34"/>
    <row r="1674" customFormat="1" s="34"/>
    <row r="1675" customFormat="1" s="34"/>
    <row r="1676" customFormat="1" s="34"/>
    <row r="1677" customFormat="1" s="34"/>
    <row r="1678" customFormat="1" s="34"/>
    <row r="1679" customFormat="1" s="34"/>
    <row r="1680" customFormat="1" s="34"/>
    <row r="1681" customFormat="1" s="34"/>
    <row r="1682" customFormat="1" s="34"/>
    <row r="1683" customFormat="1" s="34"/>
    <row r="1684" customFormat="1" s="34"/>
    <row r="1685" customFormat="1" s="34"/>
    <row r="1686" customFormat="1" s="34"/>
    <row r="1687" customFormat="1" s="34"/>
    <row r="1688" customFormat="1" s="34"/>
    <row r="1689" customFormat="1" s="34"/>
    <row r="1690" customFormat="1" s="34"/>
    <row r="1691" customFormat="1" s="34"/>
    <row r="1692" customFormat="1" s="34"/>
    <row r="1693" customFormat="1" s="34"/>
    <row r="1694" customFormat="1" s="34"/>
    <row r="1695" customFormat="1" s="34"/>
    <row r="1696" customFormat="1" s="34"/>
    <row r="1697" customFormat="1" s="34"/>
    <row r="1698" customFormat="1" s="34"/>
    <row r="1699" customFormat="1" s="34"/>
    <row r="1700" customFormat="1" s="34"/>
    <row r="1701" customFormat="1" s="34"/>
    <row r="1702" customFormat="1" s="34"/>
    <row r="1703" customFormat="1" s="34"/>
    <row r="1704" customFormat="1" s="34"/>
    <row r="1705" customFormat="1" s="34"/>
    <row r="1706" customFormat="1" s="34"/>
    <row r="1707" customFormat="1" s="34"/>
    <row r="1708" customFormat="1" s="34"/>
    <row r="1709" customFormat="1" s="34"/>
    <row r="1710" customFormat="1" s="34"/>
    <row r="1711" customFormat="1" s="34"/>
    <row r="1712" customFormat="1" s="34"/>
    <row r="1713" customFormat="1" s="34"/>
    <row r="1714" customFormat="1" s="34"/>
    <row r="1715" customFormat="1" s="34"/>
    <row r="1716" customFormat="1" s="34"/>
    <row r="1717" customFormat="1" s="34"/>
    <row r="1718" customFormat="1" s="34"/>
    <row r="1719" customFormat="1" s="34"/>
    <row r="1720" customFormat="1" s="34"/>
    <row r="1721" customFormat="1" s="34"/>
    <row r="1722" customFormat="1" s="34"/>
    <row r="1723" customFormat="1" s="34"/>
    <row r="1724" customFormat="1" s="34"/>
    <row r="1725" customFormat="1" s="34"/>
    <row r="1726" customFormat="1" s="34"/>
    <row r="1727" customFormat="1" s="34"/>
    <row r="1728" customFormat="1" s="34"/>
    <row r="1729" customFormat="1" s="34"/>
    <row r="1730" customFormat="1" s="34"/>
    <row r="1731" customFormat="1" s="34"/>
    <row r="1732" customFormat="1" s="34"/>
    <row r="1733" customFormat="1" s="34"/>
    <row r="1734" customFormat="1" s="34"/>
    <row r="1735" customFormat="1" s="34"/>
    <row r="1736" customFormat="1" s="34"/>
    <row r="1737" customFormat="1" s="34"/>
    <row r="1738" customFormat="1" s="34"/>
    <row r="1739" customFormat="1" s="34"/>
    <row r="1740" customFormat="1" s="34"/>
    <row r="1741" customFormat="1" s="34"/>
    <row r="1742" customFormat="1" s="34"/>
    <row r="1743" customFormat="1" s="34"/>
    <row r="1744" customFormat="1" s="34"/>
    <row r="1745" customFormat="1" s="34"/>
    <row r="1746" customFormat="1" s="34"/>
    <row r="1747" customFormat="1" s="34"/>
    <row r="1748" customFormat="1" s="34"/>
    <row r="1749" customFormat="1" s="34"/>
    <row r="1750" customFormat="1" s="34"/>
    <row r="1751" customFormat="1" s="34"/>
    <row r="1752" customFormat="1" s="34"/>
    <row r="1753" customFormat="1" s="34"/>
    <row r="1754" customFormat="1" s="34"/>
    <row r="1755" customFormat="1" s="34"/>
    <row r="1756" customFormat="1" s="34"/>
    <row r="1757" customFormat="1" s="34"/>
    <row r="1758" customFormat="1" s="34"/>
    <row r="1759" customFormat="1" s="34"/>
    <row r="1760" customFormat="1" s="34"/>
    <row r="1761" customFormat="1" s="34"/>
    <row r="1762" customFormat="1" s="34"/>
    <row r="1763" customFormat="1" s="34"/>
    <row r="1764" customFormat="1" s="34"/>
    <row r="1765" customFormat="1" s="34"/>
    <row r="1766" customFormat="1" s="34"/>
    <row r="1767" customFormat="1" s="34"/>
    <row r="1768" customFormat="1" s="34"/>
    <row r="1769" customFormat="1" s="34"/>
    <row r="1770" customFormat="1" s="34"/>
    <row r="1771" customFormat="1" s="34"/>
    <row r="1772" customFormat="1" s="34"/>
    <row r="1773" customFormat="1" s="34"/>
    <row r="1774" customFormat="1" s="34"/>
    <row r="1775" customFormat="1" s="34"/>
    <row r="1776" customFormat="1" s="34"/>
    <row r="1777" customFormat="1" s="34"/>
    <row r="1778" customFormat="1" s="34"/>
    <row r="1779" customFormat="1" s="34"/>
    <row r="1780" customFormat="1" s="34"/>
    <row r="1781" customFormat="1" s="34"/>
    <row r="1782" customFormat="1" s="34"/>
    <row r="1783" customFormat="1" s="34"/>
    <row r="1784" customFormat="1" s="34"/>
    <row r="1785" customFormat="1" s="34"/>
    <row r="1786" customFormat="1" s="34"/>
    <row r="1787" customFormat="1" s="34"/>
    <row r="1788" customFormat="1" s="34"/>
    <row r="1789" customFormat="1" s="34"/>
    <row r="1790" customFormat="1" s="34"/>
    <row r="1791" customFormat="1" s="34"/>
    <row r="1792" customFormat="1" s="34"/>
    <row r="1793" customFormat="1" s="34"/>
    <row r="1794" customFormat="1" s="34"/>
    <row r="1795" customFormat="1" s="34"/>
    <row r="1796" customFormat="1" s="34"/>
    <row r="1797" customFormat="1" s="34"/>
    <row r="1798" customFormat="1" s="34"/>
    <row r="1799" customFormat="1" s="34"/>
    <row r="1800" customFormat="1" s="34"/>
    <row r="1801" customFormat="1" s="34"/>
    <row r="1802" customFormat="1" s="34"/>
    <row r="1803" customFormat="1" s="34"/>
    <row r="1804" customFormat="1" s="34"/>
    <row r="1805" customFormat="1" s="34"/>
    <row r="1806" customFormat="1" s="34"/>
    <row r="1807" customFormat="1" s="34"/>
    <row r="1808" customFormat="1" s="34"/>
    <row r="1809" customFormat="1" s="34"/>
    <row r="1810" customFormat="1" s="34"/>
    <row r="1811" customFormat="1" s="34"/>
    <row r="1812" customFormat="1" s="34"/>
    <row r="1813" customFormat="1" s="34"/>
    <row r="1814" customFormat="1" s="34"/>
    <row r="1815" customFormat="1" s="34"/>
    <row r="1816" customFormat="1" s="34"/>
    <row r="1817" customFormat="1" s="34"/>
    <row r="1818" customFormat="1" s="34"/>
    <row r="1819" customFormat="1" s="34"/>
    <row r="1820" customFormat="1" s="34"/>
    <row r="1821" customFormat="1" s="34"/>
    <row r="1822" customFormat="1" s="34"/>
    <row r="1823" customFormat="1" s="34"/>
    <row r="1824" customFormat="1" s="34"/>
    <row r="1825" customFormat="1" s="34"/>
    <row r="1826" customFormat="1" s="34"/>
    <row r="1827" customFormat="1" s="34"/>
    <row r="1828" customFormat="1" s="34"/>
    <row r="1829" customFormat="1" s="34"/>
    <row r="1830" customFormat="1" s="34"/>
    <row r="1831" customFormat="1" s="34"/>
    <row r="1832" customFormat="1" s="34"/>
    <row r="1833" customFormat="1" s="34"/>
    <row r="1834" customFormat="1" s="34"/>
    <row r="1835" customFormat="1" s="34"/>
    <row r="1836" customFormat="1" s="34"/>
    <row r="1837" customFormat="1" s="34"/>
    <row r="1838" customFormat="1" s="34"/>
    <row r="1839" customFormat="1" s="34"/>
    <row r="1840" customFormat="1" s="34"/>
    <row r="1841" customFormat="1" s="34"/>
    <row r="1842" customFormat="1" s="34"/>
    <row r="1843" customFormat="1" s="34"/>
    <row r="1844" customFormat="1" s="34"/>
    <row r="1845" customFormat="1" s="34"/>
    <row r="1846" customFormat="1" s="34"/>
    <row r="1847" customFormat="1" s="34"/>
    <row r="1848" customFormat="1" s="34"/>
    <row r="1849" customFormat="1" s="34"/>
    <row r="1850" customFormat="1" s="34"/>
    <row r="1851" customFormat="1" s="34"/>
    <row r="1852" customFormat="1" s="34"/>
    <row r="1853" customFormat="1" s="34"/>
    <row r="1854" customFormat="1" s="34"/>
    <row r="1855" customFormat="1" s="34"/>
    <row r="1856" customFormat="1" s="34"/>
    <row r="1857" customFormat="1" s="34"/>
    <row r="1858" customFormat="1" s="34"/>
    <row r="1859" customFormat="1" s="34"/>
    <row r="1860" customFormat="1" s="34"/>
    <row r="1861" customFormat="1" s="34"/>
    <row r="1862" customFormat="1" s="34"/>
    <row r="1863" customFormat="1" s="34"/>
    <row r="1864" customFormat="1" s="34"/>
    <row r="1865" customFormat="1" s="34"/>
    <row r="1866" customFormat="1" s="34"/>
    <row r="1867" customFormat="1" s="34"/>
    <row r="1868" customFormat="1" s="34"/>
    <row r="1869" customFormat="1" s="34"/>
    <row r="1870" customFormat="1" s="34"/>
    <row r="1871" customFormat="1" s="34"/>
    <row r="1872" customFormat="1" s="34"/>
    <row r="1873" customFormat="1" s="34"/>
    <row r="1874" customFormat="1" s="34"/>
    <row r="1875" customFormat="1" s="34"/>
    <row r="1876" customFormat="1" s="34"/>
    <row r="1877" customFormat="1" s="34"/>
    <row r="1878" customFormat="1" s="34"/>
    <row r="1879" customFormat="1" s="34"/>
    <row r="1880" customFormat="1" s="34"/>
    <row r="1881" customFormat="1" s="34"/>
    <row r="1882" customFormat="1" s="34"/>
    <row r="1883" customFormat="1" s="34"/>
    <row r="1884" customFormat="1" s="34"/>
    <row r="1885" customFormat="1" s="34"/>
    <row r="1886" customFormat="1" s="34"/>
    <row r="1887" customFormat="1" s="34"/>
    <row r="1888" customFormat="1" s="34"/>
    <row r="1889" customFormat="1" s="34"/>
    <row r="1890" customFormat="1" s="34"/>
    <row r="1891" customFormat="1" s="34"/>
    <row r="1892" customFormat="1" s="34"/>
    <row r="1893" customFormat="1" s="34"/>
    <row r="1894" customFormat="1" s="34"/>
    <row r="1895" customFormat="1" s="34"/>
    <row r="1896" customFormat="1" s="34"/>
    <row r="1897" customFormat="1" s="34"/>
    <row r="1898" customFormat="1" s="34"/>
    <row r="1899" customFormat="1" s="34"/>
    <row r="1900" customFormat="1" s="34"/>
    <row r="1901" customFormat="1" s="34"/>
    <row r="1902" customFormat="1" s="34"/>
    <row r="1903" customFormat="1" s="34"/>
    <row r="1904" customFormat="1" s="34"/>
    <row r="1905" customFormat="1" s="34"/>
    <row r="1906" customFormat="1" s="34"/>
    <row r="1907" customFormat="1" s="34"/>
    <row r="1908" customFormat="1" s="34"/>
    <row r="1909" customFormat="1" s="34"/>
    <row r="1910" customFormat="1" s="34"/>
    <row r="1911" customFormat="1" s="34"/>
    <row r="1912" customFormat="1" s="34"/>
    <row r="1913" customFormat="1" s="34"/>
    <row r="1914" customFormat="1" s="34"/>
    <row r="1915" customFormat="1" s="34"/>
    <row r="1916" customFormat="1" s="34"/>
    <row r="1917" customFormat="1" s="34"/>
    <row r="1918" customFormat="1" s="34"/>
    <row r="1919" customFormat="1" s="34"/>
    <row r="1920" customFormat="1" s="34"/>
    <row r="1921" customFormat="1" s="34"/>
    <row r="1922" customFormat="1" s="34"/>
    <row r="1923" customFormat="1" s="34"/>
    <row r="1924" customFormat="1" s="34"/>
    <row r="1925" customFormat="1" s="34"/>
    <row r="1926" customFormat="1" s="34"/>
    <row r="1927" customFormat="1" s="34"/>
    <row r="1928" customFormat="1" s="34"/>
    <row r="1929" customFormat="1" s="34"/>
    <row r="1930" customFormat="1" s="34"/>
    <row r="1931" customFormat="1" s="34"/>
    <row r="1932" customFormat="1" s="34"/>
    <row r="1933" customFormat="1" s="34"/>
    <row r="1934" customFormat="1" s="34"/>
    <row r="1935" customFormat="1" s="34"/>
    <row r="1936" customFormat="1" s="34"/>
    <row r="1937" customFormat="1" s="34"/>
    <row r="1938" customFormat="1" s="34"/>
    <row r="1939" customFormat="1" s="34"/>
    <row r="1940" customFormat="1" s="34"/>
    <row r="1941" customFormat="1" s="34"/>
    <row r="1942" customFormat="1" s="34"/>
    <row r="1943" customFormat="1" s="34"/>
    <row r="1944" customFormat="1" s="34"/>
    <row r="1945" customFormat="1" s="34"/>
    <row r="1946" customFormat="1" s="34"/>
    <row r="1947" customFormat="1" s="34"/>
    <row r="1948" customFormat="1" s="34"/>
    <row r="1949" customFormat="1" s="34"/>
    <row r="1950" customFormat="1" s="34"/>
    <row r="1951" customFormat="1" s="34"/>
    <row r="1952" customFormat="1" s="34"/>
    <row r="1953" customFormat="1" s="34"/>
    <row r="1954" customFormat="1" s="34"/>
    <row r="1955" customFormat="1" s="34"/>
    <row r="1956" customFormat="1" s="34"/>
    <row r="1957" customFormat="1" s="34"/>
    <row r="1958" customFormat="1" s="34"/>
    <row r="1959" customFormat="1" s="34"/>
    <row r="1960" customFormat="1" s="34"/>
    <row r="1961" customFormat="1" s="34"/>
    <row r="1962" customFormat="1" s="34"/>
    <row r="1963" customFormat="1" s="34"/>
    <row r="1964" customFormat="1" s="34"/>
    <row r="1965" customFormat="1" s="34"/>
    <row r="1966" customFormat="1" s="34"/>
    <row r="1967" customFormat="1" s="34"/>
    <row r="1968" customFormat="1" s="34"/>
    <row r="1969" customFormat="1" s="34"/>
    <row r="1970" customFormat="1" s="34"/>
    <row r="1971" customFormat="1" s="34"/>
    <row r="1972" customFormat="1" s="34"/>
    <row r="1973" customFormat="1" s="34"/>
    <row r="1974" customFormat="1" s="34"/>
    <row r="1975" customFormat="1" s="34"/>
    <row r="1976" customFormat="1" s="34"/>
    <row r="1977" customFormat="1" s="34"/>
    <row r="1978" customFormat="1" s="34"/>
    <row r="1979" customFormat="1" s="34"/>
    <row r="1980" customFormat="1" s="34"/>
    <row r="1981" customFormat="1" s="34"/>
    <row r="1982" customFormat="1" s="34"/>
    <row r="1983" customFormat="1" s="34"/>
    <row r="1984" customFormat="1" s="34"/>
    <row r="1985" customFormat="1" s="34"/>
    <row r="1986" customFormat="1" s="34"/>
    <row r="1987" customFormat="1" s="34"/>
    <row r="1988" customFormat="1" s="34"/>
    <row r="1989" customFormat="1" s="34"/>
    <row r="1990" customFormat="1" s="34"/>
    <row r="1991" customFormat="1" s="34"/>
    <row r="1992" customFormat="1" s="34"/>
    <row r="1993" customFormat="1" s="34"/>
    <row r="1994" customFormat="1" s="34"/>
    <row r="1995" customFormat="1" s="34"/>
    <row r="1996" customFormat="1" s="34"/>
    <row r="1997" customFormat="1" s="34"/>
    <row r="1998" customFormat="1" s="34"/>
    <row r="1999" customFormat="1" s="34"/>
    <row r="2000" customFormat="1" s="34"/>
    <row r="262083">
      <c r="B262083" s="66"/>
      <c r="G262083" s="66"/>
    </row>
    <row r="262084">
      <c r="B262084" s="66"/>
      <c r="G262084" s="66"/>
    </row>
  </sheetData>
  <autoFilter ref="A1:W87"/>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X1"/>
  <sheetViews>
    <sheetView workbookViewId="0"/>
  </sheetViews>
  <sheetFormatPr defaultRowHeight="14.0" customHeight="1"/>
  <cols>
    <col min="1" max="1" style="34" width="10.2"/>
    <col min="2" max="2" style="34" width="9.0"/>
    <col min="3" max="3" style="34" width="12.18"/>
    <col min="4" max="4" style="34" width="38.82"/>
    <col min="5" max="6" style="34" width="13.24"/>
    <col min="7" max="7" style="34" width="62.14"/>
    <col min="8" max="8" style="34" width="53.92"/>
    <col min="9" max="10" style="34" width="13.24"/>
    <col min="11" max="11" style="34" width="16.42"/>
    <col min="12" max="12" style="34" width="13.64"/>
    <col min="13" max="13" style="34" width="27.82"/>
    <col min="14" max="14" style="34" width="21.33"/>
    <col min="15" max="15" style="34" width="16.69"/>
    <col min="16" max="19" style="34" width="13.24"/>
    <col min="20" max="20" style="34" width="49.42"/>
    <col min="21" max="21" style="34" width="51.8"/>
    <col min="22" max="22" style="34" width="36.3"/>
    <col min="23" max="23" style="34" width="51.8"/>
    <col min="24" max="24" style="34" width="37.09"/>
    <col min="25" max="2048" style="34" width="13.24"/>
  </cols>
  <sheetData>
    <row r="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52</v>
      </c>
      <c r="X1" s="78" t="s">
        <v>62</v>
      </c>
    </row>
    <row r="2">
      <c r="A2" s="36"/>
      <c r="B2" s="34"/>
      <c r="C2" s="34"/>
      <c r="D2" s="37"/>
      <c r="K2" s="34"/>
      <c r="M2" s="34"/>
      <c r="N2" s="34"/>
      <c r="O2" s="34"/>
      <c r="P2" s="34"/>
      <c r="S2" s="40"/>
      <c r="X2" s="79"/>
    </row>
    <row r="3">
      <c r="A3" s="36"/>
      <c r="B3" s="34"/>
      <c r="C3" s="34"/>
      <c r="D3" s="37"/>
      <c r="K3" s="34"/>
      <c r="M3" s="34"/>
      <c r="N3" s="34"/>
      <c r="O3" s="34"/>
      <c r="P3" s="34"/>
      <c r="S3" s="40"/>
    </row>
    <row r="4">
      <c r="A4" s="36"/>
      <c r="B4" s="34"/>
      <c r="C4" s="34"/>
      <c r="D4" s="37"/>
      <c r="K4" s="34"/>
      <c r="M4" s="34"/>
      <c r="N4" s="34"/>
      <c r="O4" s="34"/>
      <c r="P4" s="34"/>
      <c r="S4" s="40"/>
    </row>
    <row r="5">
      <c r="A5" s="36"/>
      <c r="B5" s="34"/>
      <c r="C5" s="34"/>
      <c r="D5" s="37"/>
      <c r="K5" s="34"/>
      <c r="M5" s="34"/>
      <c r="N5" s="34"/>
      <c r="O5" s="34"/>
      <c r="P5" s="34"/>
      <c r="S5" s="40"/>
    </row>
    <row r="6">
      <c r="A6" s="36"/>
      <c r="B6" s="34"/>
      <c r="C6" s="34"/>
      <c r="D6" s="37"/>
      <c r="K6" s="34"/>
      <c r="M6" s="34"/>
      <c r="N6" s="34"/>
      <c r="O6" s="34"/>
      <c r="P6" s="34"/>
      <c r="S6" s="40"/>
    </row>
    <row r="7">
      <c r="A7" s="36"/>
      <c r="B7" s="34"/>
      <c r="C7" s="34"/>
      <c r="D7" s="37"/>
      <c r="G7" s="42"/>
      <c r="K7" s="34"/>
      <c r="M7" s="34"/>
      <c r="N7" s="34"/>
      <c r="O7" s="34"/>
      <c r="P7" s="34"/>
      <c r="S7" s="40"/>
    </row>
    <row r="8">
      <c r="A8" s="36"/>
      <c r="B8" s="34"/>
      <c r="C8" s="34"/>
      <c r="D8" s="37"/>
      <c r="G8" s="42"/>
      <c r="K8" s="34"/>
      <c r="M8" s="34"/>
      <c r="N8" s="34"/>
      <c r="O8" s="34"/>
      <c r="P8" s="34"/>
      <c r="Q8" s="54"/>
      <c r="S8" s="40"/>
    </row>
    <row r="9">
      <c r="A9" s="36"/>
      <c r="B9" s="34"/>
      <c r="C9" s="34"/>
      <c r="D9" s="37"/>
      <c r="G9" s="42"/>
      <c r="K9" s="34"/>
      <c r="M9" s="34"/>
      <c r="N9" s="34"/>
      <c r="O9" s="34"/>
      <c r="P9" s="34"/>
      <c r="Q9" s="54"/>
      <c r="S9" s="40"/>
    </row>
    <row r="10">
      <c r="A10" s="36"/>
      <c r="B10" s="34"/>
      <c r="C10" s="34"/>
      <c r="D10" s="37"/>
      <c r="K10" s="34"/>
      <c r="M10" s="34"/>
      <c r="N10" s="34"/>
      <c r="O10" s="34"/>
      <c r="P10" s="34"/>
      <c r="Q10" s="43"/>
      <c r="S10" s="40"/>
    </row>
    <row r="11">
      <c r="A11" s="36"/>
      <c r="B11" s="34"/>
      <c r="C11" s="34"/>
      <c r="D11" s="37"/>
      <c r="G11" s="42"/>
      <c r="K11" s="34"/>
      <c r="M11" s="34"/>
      <c r="N11" s="34"/>
      <c r="O11" s="34"/>
      <c r="P11" s="34"/>
      <c r="S11" s="40"/>
    </row>
    <row r="12" customFormat="1" s="34">
      <c r="A12" s="36"/>
      <c r="B12" s="34"/>
      <c r="C12" s="34"/>
      <c r="D12" s="37"/>
      <c r="K12" s="34"/>
      <c r="M12" s="34"/>
      <c r="N12" s="34"/>
      <c r="O12" s="34"/>
      <c r="P12" s="34"/>
      <c r="S12" s="40"/>
    </row>
    <row r="13" customFormat="1" s="34">
      <c r="A13" s="36"/>
      <c r="B13" s="34"/>
      <c r="C13" s="34"/>
      <c r="D13" s="37"/>
      <c r="K13" s="34"/>
      <c r="M13" s="34"/>
      <c r="N13" s="34"/>
      <c r="O13" s="34"/>
      <c r="P13" s="34"/>
      <c r="S13" s="40"/>
    </row>
    <row r="14" customFormat="1" s="34">
      <c r="A14" s="36"/>
      <c r="B14" s="34"/>
      <c r="C14" s="34"/>
      <c r="K14" s="34"/>
      <c r="M14" s="34"/>
      <c r="N14" s="34"/>
      <c r="O14" s="34"/>
      <c r="P14" s="34"/>
      <c r="S14" s="40"/>
    </row>
    <row r="15" customFormat="1" s="34">
      <c r="A15" s="36"/>
      <c r="B15" s="34"/>
      <c r="C15" s="34"/>
      <c r="D15" s="37"/>
      <c r="K15" s="34"/>
      <c r="M15" s="34"/>
      <c r="N15" s="34"/>
      <c r="O15" s="34"/>
      <c r="P15" s="34"/>
      <c r="S15" s="40"/>
    </row>
    <row r="16" customFormat="1" s="34">
      <c r="A16" s="36"/>
      <c r="B16" s="34"/>
      <c r="C16" s="34"/>
      <c r="D16" s="37"/>
      <c r="K16" s="34"/>
      <c r="M16" s="34"/>
      <c r="N16" s="34"/>
      <c r="O16" s="34"/>
      <c r="P16" s="34"/>
      <c r="S16" s="40"/>
    </row>
    <row r="17" customFormat="1" s="34">
      <c r="A17" s="36"/>
      <c r="B17" s="34"/>
      <c r="C17" s="34"/>
      <c r="D17" s="37"/>
      <c r="K17" s="34"/>
      <c r="M17" s="34"/>
      <c r="N17" s="34"/>
      <c r="O17" s="34"/>
      <c r="P17" s="34"/>
      <c r="S17" s="40"/>
    </row>
    <row r="18" customFormat="1" s="34">
      <c r="A18" s="36"/>
      <c r="B18" s="34"/>
      <c r="C18" s="34"/>
      <c r="D18" s="37"/>
      <c r="K18" s="34"/>
      <c r="M18" s="34"/>
      <c r="N18" s="34"/>
      <c r="O18" s="34"/>
      <c r="P18" s="34"/>
      <c r="S18" s="40"/>
    </row>
    <row r="19">
      <c r="A19" s="36"/>
      <c r="B19" s="34"/>
      <c r="C19" s="34"/>
      <c r="D19" s="37"/>
      <c r="K19" s="34"/>
      <c r="M19" s="34"/>
      <c r="N19" s="34"/>
      <c r="O19" s="34"/>
      <c r="P19" s="34"/>
      <c r="Q19" s="43"/>
      <c r="S19" s="40"/>
    </row>
    <row r="20" customFormat="1" s="34">
      <c r="A20" s="36"/>
      <c r="B20" s="34"/>
      <c r="C20" s="34"/>
      <c r="D20" s="37"/>
      <c r="K20" s="34"/>
      <c r="M20" s="34"/>
      <c r="N20" s="34"/>
      <c r="O20" s="34"/>
      <c r="P20" s="34"/>
      <c r="S20" s="40"/>
    </row>
    <row r="21" customFormat="1" s="34">
      <c r="A21" s="36"/>
      <c r="B21" s="34"/>
      <c r="C21" s="34"/>
      <c r="D21" s="37"/>
      <c r="K21" s="34"/>
      <c r="M21" s="34"/>
      <c r="N21" s="34"/>
      <c r="O21" s="34"/>
      <c r="P21" s="34"/>
      <c r="S21" s="40"/>
    </row>
    <row r="22" customFormat="1" s="34">
      <c r="A22" s="36"/>
      <c r="B22" s="34"/>
      <c r="C22" s="34"/>
      <c r="D22" s="37"/>
      <c r="K22" s="34"/>
      <c r="M22" s="34"/>
      <c r="N22" s="34"/>
      <c r="O22" s="34"/>
      <c r="P22" s="34"/>
      <c r="S22" s="40"/>
    </row>
    <row r="23" customFormat="1" s="34">
      <c r="A23" s="36"/>
      <c r="B23" s="34"/>
      <c r="C23" s="34"/>
      <c r="D23" s="59"/>
      <c r="K23" s="34"/>
      <c r="M23" s="34"/>
      <c r="N23" s="34"/>
      <c r="O23" s="34"/>
      <c r="P23" s="34"/>
      <c r="S23" s="40"/>
    </row>
    <row r="24" customFormat="1" s="34">
      <c r="A24" s="36"/>
      <c r="B24" s="34"/>
      <c r="C24" s="34"/>
      <c r="D24" s="37"/>
      <c r="K24" s="34"/>
      <c r="M24" s="34"/>
      <c r="N24" s="34"/>
      <c r="O24" s="34"/>
      <c r="P24" s="34"/>
      <c r="S24" s="40"/>
    </row>
    <row r="25" customFormat="1" s="34">
      <c r="A25" s="36"/>
      <c r="B25" s="34"/>
      <c r="C25" s="34"/>
      <c r="D25" s="37"/>
      <c r="K25" s="34"/>
      <c r="M25" s="34"/>
      <c r="N25" s="34"/>
      <c r="O25" s="34"/>
      <c r="P25" s="34"/>
      <c r="S25" s="40"/>
    </row>
    <row r="26" customFormat="1" s="34">
      <c r="A26" s="36"/>
      <c r="B26" s="34"/>
      <c r="C26" s="34"/>
      <c r="D26" s="37"/>
      <c r="K26" s="34"/>
      <c r="M26" s="34"/>
      <c r="N26" s="34"/>
      <c r="O26" s="34"/>
      <c r="P26" s="34"/>
      <c r="S26" s="40"/>
    </row>
    <row r="27" customFormat="1" s="34">
      <c r="A27" s="36"/>
      <c r="B27" s="34"/>
      <c r="C27" s="34"/>
      <c r="D27" s="37"/>
      <c r="K27" s="34"/>
      <c r="M27" s="34"/>
      <c r="N27" s="34"/>
      <c r="O27" s="34"/>
      <c r="P27" s="34"/>
      <c r="S27" s="40"/>
    </row>
    <row r="28" customFormat="1" s="34">
      <c r="A28" s="36"/>
      <c r="B28" s="34"/>
      <c r="C28" s="34"/>
      <c r="D28" s="37"/>
      <c r="K28" s="34"/>
      <c r="M28" s="34"/>
      <c r="N28" s="34"/>
      <c r="O28" s="34"/>
      <c r="P28" s="34"/>
      <c r="S28" s="40"/>
    </row>
    <row r="29" customFormat="1" s="34">
      <c r="A29" s="36"/>
      <c r="B29" s="34"/>
      <c r="C29" s="34"/>
      <c r="D29" s="37"/>
      <c r="K29" s="34"/>
      <c r="M29" s="34"/>
      <c r="N29" s="34"/>
      <c r="O29" s="34"/>
      <c r="P29" s="34"/>
      <c r="S29" s="40"/>
    </row>
    <row r="30" customFormat="1" s="34">
      <c r="A30" s="36"/>
      <c r="B30" s="34"/>
      <c r="C30" s="34"/>
      <c r="D30" s="37"/>
      <c r="K30" s="34"/>
      <c r="M30" s="34"/>
      <c r="N30" s="34"/>
      <c r="O30" s="34"/>
      <c r="P30" s="34"/>
      <c r="S30" s="40"/>
    </row>
    <row r="31" customFormat="1" s="34">
      <c r="A31" s="36"/>
      <c r="B31" s="34"/>
      <c r="C31" s="34"/>
      <c r="D31" s="37"/>
      <c r="K31" s="34"/>
      <c r="M31" s="34"/>
      <c r="N31" s="34"/>
      <c r="O31" s="34"/>
      <c r="P31" s="34"/>
      <c r="S31" s="40"/>
    </row>
    <row r="32" customFormat="1" s="34">
      <c r="A32" s="36"/>
      <c r="B32" s="34"/>
      <c r="C32" s="34"/>
      <c r="D32" s="37"/>
      <c r="K32" s="34"/>
      <c r="M32" s="34"/>
      <c r="N32" s="34"/>
      <c r="O32" s="34"/>
      <c r="P32" s="34"/>
      <c r="S32" s="40"/>
    </row>
    <row r="33" customFormat="1" s="34">
      <c r="A33" s="36"/>
      <c r="B33" s="34"/>
      <c r="C33" s="34"/>
      <c r="D33" s="37"/>
      <c r="K33" s="34"/>
      <c r="M33" s="34"/>
      <c r="N33" s="34"/>
      <c r="O33" s="34"/>
      <c r="P33" s="34"/>
      <c r="S33" s="40"/>
    </row>
    <row r="34" customFormat="1" s="34">
      <c r="A34" s="36"/>
      <c r="B34" s="34"/>
      <c r="C34" s="34"/>
      <c r="D34" s="37"/>
      <c r="K34" s="34"/>
      <c r="M34" s="34"/>
      <c r="N34" s="34"/>
      <c r="O34" s="34"/>
      <c r="P34" s="34"/>
      <c r="S34" s="40"/>
    </row>
    <row r="35" customFormat="1" s="34">
      <c r="A35" s="36"/>
      <c r="B35" s="34"/>
      <c r="C35" s="34"/>
      <c r="D35" s="37"/>
      <c r="K35" s="34"/>
      <c r="M35" s="34"/>
      <c r="N35" s="34"/>
      <c r="O35" s="34"/>
      <c r="P35" s="34"/>
      <c r="S35" s="40"/>
    </row>
    <row r="36" customFormat="1" s="34">
      <c r="A36" s="36"/>
      <c r="B36" s="34"/>
      <c r="C36" s="34"/>
      <c r="D36" s="37"/>
      <c r="K36" s="34"/>
      <c r="M36" s="34"/>
      <c r="N36" s="34"/>
      <c r="O36" s="34"/>
      <c r="P36" s="34"/>
      <c r="S36" s="40"/>
    </row>
    <row r="37" customFormat="1" s="34">
      <c r="A37" s="36"/>
      <c r="B37" s="34"/>
      <c r="C37" s="34"/>
      <c r="D37" s="37"/>
      <c r="K37" s="34"/>
      <c r="M37" s="34"/>
      <c r="N37" s="34"/>
      <c r="O37" s="34"/>
      <c r="P37" s="34"/>
      <c r="S37" s="40"/>
    </row>
    <row r="38" customFormat="1" s="34">
      <c r="A38" s="36"/>
      <c r="B38" s="34"/>
      <c r="C38" s="34"/>
      <c r="D38" s="37"/>
      <c r="K38" s="34"/>
      <c r="M38" s="34"/>
      <c r="N38" s="34"/>
      <c r="O38" s="34"/>
      <c r="P38" s="34"/>
      <c r="S38" s="40"/>
    </row>
    <row r="39" customFormat="1" s="34">
      <c r="A39" s="36"/>
      <c r="B39" s="34"/>
      <c r="C39" s="34"/>
      <c r="D39" s="37"/>
      <c r="K39" s="34"/>
      <c r="M39" s="34"/>
      <c r="N39" s="34"/>
      <c r="O39" s="34"/>
      <c r="P39" s="34"/>
      <c r="S39" s="40"/>
    </row>
    <row r="40" customFormat="1" s="34">
      <c r="A40" s="36"/>
      <c r="B40" s="34"/>
      <c r="C40" s="34"/>
      <c r="D40" s="37"/>
      <c r="K40" s="34"/>
      <c r="M40" s="34"/>
      <c r="N40" s="34"/>
      <c r="O40" s="34"/>
      <c r="P40" s="34"/>
      <c r="S40" s="40"/>
    </row>
    <row r="41" customFormat="1" s="34">
      <c r="A41" s="36"/>
      <c r="B41" s="34"/>
      <c r="C41" s="34"/>
      <c r="D41" s="37"/>
      <c r="K41" s="34"/>
      <c r="M41" s="34"/>
      <c r="N41" s="34"/>
      <c r="O41" s="34"/>
      <c r="P41" s="34"/>
      <c r="S41" s="40"/>
    </row>
    <row r="42" customFormat="1" s="34">
      <c r="A42" s="36"/>
      <c r="B42" s="34"/>
      <c r="C42" s="34"/>
      <c r="D42" s="37"/>
      <c r="K42" s="34"/>
      <c r="M42" s="34"/>
      <c r="N42" s="34"/>
      <c r="O42" s="34"/>
      <c r="P42" s="34"/>
      <c r="S42" s="40"/>
    </row>
    <row r="43" customFormat="1" s="34">
      <c r="A43" s="36"/>
      <c r="B43" s="34"/>
      <c r="C43" s="34"/>
      <c r="D43" s="37"/>
      <c r="K43" s="34"/>
      <c r="M43" s="34"/>
      <c r="N43" s="34"/>
      <c r="O43" s="34"/>
      <c r="P43" s="34"/>
      <c r="S43" s="40"/>
    </row>
    <row r="44" customFormat="1" s="34">
      <c r="A44" s="36"/>
      <c r="B44" s="34"/>
      <c r="C44" s="34"/>
      <c r="D44" s="37"/>
      <c r="K44" s="34"/>
      <c r="M44" s="34"/>
      <c r="N44" s="34"/>
      <c r="O44" s="34"/>
      <c r="P44" s="34"/>
      <c r="S44" s="40"/>
    </row>
    <row r="45" customFormat="1" s="34">
      <c r="A45" s="36"/>
      <c r="B45" s="34"/>
      <c r="C45" s="34"/>
      <c r="D45" s="37"/>
      <c r="K45" s="34"/>
      <c r="M45" s="34"/>
      <c r="N45" s="34"/>
      <c r="O45" s="34"/>
      <c r="P45" s="34"/>
      <c r="S45" s="40"/>
    </row>
    <row r="46" customFormat="1" s="34">
      <c r="A46" s="36"/>
      <c r="B46" s="34"/>
      <c r="C46" s="34"/>
      <c r="D46" s="37"/>
      <c r="K46" s="34"/>
      <c r="M46" s="34"/>
      <c r="N46" s="34"/>
      <c r="O46" s="34"/>
      <c r="P46" s="34"/>
      <c r="S46" s="40"/>
    </row>
    <row r="47" customFormat="1" s="34">
      <c r="A47" s="36"/>
      <c r="B47" s="34"/>
      <c r="C47" s="34"/>
      <c r="D47" s="37"/>
      <c r="K47" s="34"/>
      <c r="M47" s="34"/>
      <c r="N47" s="34"/>
      <c r="O47" s="34"/>
      <c r="P47" s="34"/>
      <c r="S47" s="40"/>
    </row>
    <row r="48" customFormat="1" s="34">
      <c r="A48" s="36"/>
      <c r="B48" s="34"/>
      <c r="C48" s="34"/>
      <c r="D48" s="37"/>
      <c r="K48" s="34"/>
      <c r="M48" s="34"/>
      <c r="N48" s="34"/>
      <c r="O48" s="34"/>
      <c r="P48" s="34"/>
      <c r="S48" s="40"/>
    </row>
    <row r="49" customFormat="1" s="34">
      <c r="A49" s="36"/>
      <c r="B49" s="34"/>
      <c r="C49" s="34"/>
      <c r="D49" s="37"/>
      <c r="K49" s="34"/>
      <c r="M49" s="34"/>
      <c r="N49" s="34"/>
      <c r="O49" s="34"/>
      <c r="P49" s="34"/>
      <c r="S49" s="40"/>
    </row>
    <row r="50" customFormat="1" s="34">
      <c r="A50" s="36"/>
      <c r="B50" s="34"/>
      <c r="C50" s="34"/>
      <c r="D50" s="37"/>
      <c r="K50" s="34"/>
      <c r="M50" s="34"/>
      <c r="N50" s="34"/>
      <c r="O50" s="34"/>
      <c r="P50" s="34"/>
      <c r="S50" s="40"/>
    </row>
    <row r="51" customFormat="1" s="34">
      <c r="A51" s="36"/>
      <c r="B51" s="34"/>
      <c r="C51" s="34"/>
      <c r="D51" s="37"/>
      <c r="K51" s="34"/>
      <c r="M51" s="34"/>
      <c r="N51" s="34"/>
      <c r="O51" s="34"/>
      <c r="P51" s="34"/>
      <c r="S51" s="40"/>
    </row>
    <row r="52" customFormat="1" s="34">
      <c r="A52" s="36"/>
      <c r="B52" s="34"/>
      <c r="C52" s="34"/>
      <c r="D52" s="37"/>
      <c r="K52" s="34"/>
      <c r="M52" s="34"/>
      <c r="N52" s="34"/>
      <c r="O52" s="34"/>
      <c r="P52" s="34"/>
      <c r="S52" s="40"/>
    </row>
    <row r="53" customFormat="1" s="34">
      <c r="A53" s="36"/>
      <c r="B53" s="34"/>
      <c r="C53" s="34"/>
      <c r="D53" s="37"/>
      <c r="K53" s="34"/>
      <c r="M53" s="34"/>
      <c r="N53" s="34"/>
      <c r="O53" s="34"/>
      <c r="P53" s="34"/>
      <c r="S53" s="40"/>
    </row>
    <row r="54" customFormat="1" s="34">
      <c r="A54" s="36"/>
      <c r="B54" s="34"/>
      <c r="C54" s="34"/>
      <c r="D54" s="37"/>
      <c r="K54" s="34"/>
      <c r="M54" s="34"/>
      <c r="N54" s="34"/>
      <c r="O54" s="34"/>
      <c r="P54" s="34"/>
      <c r="S54" s="40"/>
    </row>
    <row r="55" customFormat="1" s="34">
      <c r="A55" s="36"/>
      <c r="B55" s="34"/>
      <c r="C55" s="34"/>
      <c r="D55" s="37"/>
      <c r="K55" s="34"/>
      <c r="M55" s="34"/>
      <c r="N55" s="34"/>
      <c r="O55" s="34"/>
      <c r="P55" s="34"/>
      <c r="S55" s="40"/>
    </row>
    <row r="56" customFormat="1" s="34">
      <c r="A56" s="36"/>
      <c r="B56" s="34"/>
      <c r="C56" s="34"/>
      <c r="D56" s="37"/>
      <c r="K56" s="34"/>
      <c r="M56" s="34"/>
      <c r="N56" s="34"/>
      <c r="O56" s="34"/>
      <c r="P56" s="34"/>
      <c r="S56" s="40"/>
    </row>
    <row r="57" customFormat="1" s="34">
      <c r="A57" s="36"/>
      <c r="B57" s="34"/>
      <c r="C57" s="34"/>
      <c r="D57" s="37"/>
      <c r="K57" s="34"/>
      <c r="M57" s="34"/>
      <c r="N57" s="34"/>
      <c r="O57" s="34"/>
      <c r="P57" s="34"/>
      <c r="S57" s="40"/>
    </row>
    <row r="58" customFormat="1" s="34">
      <c r="A58" s="36"/>
      <c r="B58" s="34"/>
      <c r="C58" s="34"/>
      <c r="D58" s="37"/>
      <c r="K58" s="34"/>
      <c r="M58" s="34"/>
      <c r="N58" s="34"/>
      <c r="O58" s="34"/>
      <c r="P58" s="34"/>
      <c r="S58" s="40"/>
    </row>
    <row r="59" customFormat="1" s="34">
      <c r="A59" s="36"/>
      <c r="B59" s="34"/>
      <c r="C59" s="34"/>
      <c r="D59" s="37"/>
      <c r="K59" s="34"/>
      <c r="M59" s="34"/>
      <c r="N59" s="34"/>
      <c r="O59" s="34"/>
      <c r="P59" s="34"/>
      <c r="S59" s="40"/>
    </row>
    <row r="60" customFormat="1" s="34">
      <c r="A60" s="36"/>
      <c r="B60" s="34"/>
      <c r="C60" s="34"/>
      <c r="D60" s="37"/>
      <c r="K60" s="34"/>
      <c r="M60" s="34"/>
      <c r="N60" s="34"/>
      <c r="O60" s="34"/>
      <c r="P60" s="34"/>
      <c r="S60" s="40"/>
    </row>
    <row r="61" customFormat="1" s="34">
      <c r="A61" s="36"/>
      <c r="B61" s="34"/>
      <c r="C61" s="34"/>
      <c r="D61" s="37"/>
      <c r="K61" s="34"/>
      <c r="M61" s="34"/>
      <c r="N61" s="34"/>
      <c r="O61" s="34"/>
      <c r="P61" s="34"/>
      <c r="S61" s="40"/>
    </row>
    <row r="62" customFormat="1" s="34">
      <c r="A62" s="36"/>
      <c r="B62" s="34"/>
      <c r="C62" s="34"/>
      <c r="D62" s="37"/>
      <c r="K62" s="34"/>
      <c r="M62" s="34"/>
      <c r="N62" s="34"/>
      <c r="O62" s="34"/>
      <c r="P62" s="34"/>
      <c r="S62" s="40"/>
    </row>
    <row r="63" customFormat="1" s="34">
      <c r="A63" s="36"/>
      <c r="B63" s="34"/>
      <c r="C63" s="34"/>
      <c r="D63" s="37"/>
      <c r="K63" s="34"/>
      <c r="M63" s="34"/>
      <c r="N63" s="34"/>
      <c r="O63" s="34"/>
      <c r="P63" s="34"/>
      <c r="S63" s="40"/>
    </row>
    <row r="64" customFormat="1" s="34">
      <c r="A64" s="36"/>
      <c r="B64" s="34"/>
      <c r="C64" s="34"/>
      <c r="D64" s="37"/>
      <c r="K64" s="34"/>
      <c r="M64" s="34"/>
      <c r="N64" s="34"/>
      <c r="O64" s="34"/>
      <c r="P64" s="34"/>
      <c r="S64" s="40"/>
    </row>
    <row r="65" customFormat="1" s="34">
      <c r="A65" s="36"/>
      <c r="B65" s="34"/>
      <c r="C65" s="34"/>
      <c r="D65" s="37"/>
      <c r="K65" s="34"/>
      <c r="M65" s="34"/>
      <c r="N65" s="34"/>
      <c r="O65" s="34"/>
      <c r="P65" s="34"/>
      <c r="S65" s="40"/>
    </row>
    <row r="66" customFormat="1" s="34">
      <c r="A66" s="36"/>
      <c r="B66" s="34"/>
      <c r="C66" s="34"/>
      <c r="D66" s="37"/>
      <c r="K66" s="34"/>
      <c r="M66" s="34"/>
      <c r="N66" s="34"/>
      <c r="O66" s="34"/>
      <c r="P66" s="34"/>
      <c r="S66" s="40"/>
    </row>
    <row r="67" customFormat="1" s="34">
      <c r="A67" s="36"/>
      <c r="B67" s="34"/>
      <c r="C67" s="34"/>
      <c r="D67" s="37"/>
      <c r="K67" s="34"/>
      <c r="M67" s="34"/>
      <c r="N67" s="34"/>
      <c r="O67" s="34"/>
      <c r="P67" s="34"/>
      <c r="S67" s="40"/>
    </row>
    <row r="68" customFormat="1" s="34">
      <c r="A68" s="36"/>
      <c r="B68" s="34"/>
      <c r="C68" s="34"/>
      <c r="D68" s="37"/>
      <c r="K68" s="34"/>
      <c r="M68" s="34"/>
      <c r="N68" s="34"/>
      <c r="O68" s="34"/>
      <c r="P68" s="34"/>
      <c r="S68" s="40"/>
    </row>
    <row r="69" customFormat="1" s="34">
      <c r="A69" s="36"/>
      <c r="B69" s="34"/>
      <c r="C69" s="34"/>
      <c r="D69" s="37"/>
      <c r="K69" s="34"/>
      <c r="M69" s="34"/>
      <c r="N69" s="34"/>
      <c r="O69" s="34"/>
      <c r="P69" s="34"/>
      <c r="S69" s="40"/>
    </row>
    <row r="70" customFormat="1" s="34">
      <c r="A70" s="36"/>
      <c r="B70" s="34"/>
      <c r="C70" s="34"/>
      <c r="D70" s="37"/>
      <c r="K70" s="34"/>
      <c r="M70" s="34"/>
      <c r="N70" s="34"/>
      <c r="O70" s="34"/>
      <c r="P70" s="34"/>
      <c r="S70" s="40"/>
    </row>
    <row r="71" customFormat="1" s="34">
      <c r="A71" s="36"/>
      <c r="B71" s="34"/>
      <c r="C71" s="34"/>
      <c r="D71" s="37"/>
      <c r="K71" s="34"/>
      <c r="M71" s="34"/>
      <c r="N71" s="34"/>
      <c r="O71" s="34"/>
      <c r="P71" s="34"/>
      <c r="S71" s="40"/>
    </row>
    <row r="72" customFormat="1" s="34">
      <c r="A72" s="36"/>
      <c r="B72" s="34"/>
      <c r="C72" s="34"/>
      <c r="D72" s="37"/>
      <c r="K72" s="34"/>
      <c r="M72" s="34"/>
      <c r="N72" s="34"/>
      <c r="O72" s="34"/>
      <c r="P72" s="34"/>
      <c r="S72" s="40"/>
    </row>
    <row r="73" customFormat="1" s="34">
      <c r="A73" s="36"/>
      <c r="B73" s="34"/>
      <c r="C73" s="34"/>
      <c r="D73" s="37"/>
      <c r="K73" s="34"/>
      <c r="M73" s="34"/>
      <c r="N73" s="34"/>
      <c r="O73" s="34"/>
      <c r="P73" s="34"/>
      <c r="S73" s="40"/>
    </row>
    <row r="74" customFormat="1" s="34">
      <c r="A74" s="36"/>
      <c r="B74" s="34"/>
      <c r="C74" s="34"/>
      <c r="D74" s="37"/>
      <c r="K74" s="34"/>
      <c r="M74" s="34"/>
      <c r="N74" s="34"/>
      <c r="O74" s="34"/>
      <c r="P74" s="34"/>
      <c r="S74" s="40"/>
    </row>
    <row r="75" customFormat="1" s="34">
      <c r="A75" s="36"/>
      <c r="B75" s="34"/>
      <c r="C75" s="34"/>
      <c r="D75" s="37"/>
      <c r="K75" s="34"/>
      <c r="M75" s="34"/>
      <c r="N75" s="34"/>
      <c r="O75" s="34"/>
      <c r="P75" s="34"/>
      <c r="S75" s="40"/>
    </row>
    <row r="76" customFormat="1" s="34">
      <c r="A76" s="36"/>
      <c r="B76" s="34"/>
      <c r="C76" s="34"/>
      <c r="D76" s="37"/>
      <c r="K76" s="34"/>
      <c r="M76" s="34"/>
      <c r="N76" s="34"/>
      <c r="O76" s="34"/>
      <c r="P76" s="34"/>
      <c r="S76" s="40"/>
    </row>
    <row r="77" customFormat="1" s="34">
      <c r="A77" s="36"/>
      <c r="B77" s="34"/>
      <c r="C77" s="34"/>
      <c r="D77" s="37"/>
      <c r="K77" s="34"/>
      <c r="M77" s="34"/>
      <c r="N77" s="34"/>
      <c r="O77" s="34"/>
      <c r="P77" s="34"/>
      <c r="S77" s="40"/>
    </row>
    <row r="78" customFormat="1" s="34">
      <c r="A78" s="36"/>
      <c r="B78" s="34"/>
      <c r="C78" s="34"/>
      <c r="D78" s="37"/>
      <c r="K78" s="34"/>
      <c r="M78" s="34"/>
      <c r="N78" s="34"/>
      <c r="O78" s="34"/>
      <c r="P78" s="34"/>
      <c r="S78" s="40"/>
    </row>
    <row r="79" customFormat="1" s="34">
      <c r="A79" s="36"/>
      <c r="B79" s="34"/>
      <c r="C79" s="34"/>
      <c r="D79" s="37"/>
      <c r="K79" s="34"/>
      <c r="M79" s="34"/>
      <c r="N79" s="34"/>
      <c r="O79" s="34"/>
      <c r="P79" s="34"/>
      <c r="S79" s="40"/>
    </row>
    <row r="80" customFormat="1" s="34">
      <c r="A80" s="36"/>
      <c r="B80" s="34"/>
      <c r="C80" s="34"/>
      <c r="D80" s="37"/>
      <c r="K80" s="34"/>
      <c r="M80" s="34"/>
      <c r="N80" s="34"/>
      <c r="O80" s="34"/>
      <c r="P80" s="34"/>
      <c r="S80" s="40"/>
    </row>
    <row r="81" customFormat="1" s="34">
      <c r="A81" s="36"/>
      <c r="B81" s="34"/>
      <c r="C81" s="34"/>
      <c r="D81" s="37"/>
      <c r="K81" s="34"/>
      <c r="M81" s="34"/>
      <c r="N81" s="34"/>
      <c r="O81" s="34"/>
      <c r="P81" s="34"/>
      <c r="S81" s="40"/>
    </row>
    <row r="82" customFormat="1" s="34">
      <c r="A82" s="36"/>
      <c r="B82" s="34"/>
      <c r="C82" s="34"/>
      <c r="D82" s="37"/>
      <c r="K82" s="34"/>
      <c r="M82" s="34"/>
      <c r="N82" s="34"/>
      <c r="O82" s="34"/>
      <c r="P82" s="34"/>
      <c r="S82" s="40"/>
    </row>
    <row r="83" customFormat="1" s="34">
      <c r="A83" s="36"/>
      <c r="B83" s="34"/>
      <c r="C83" s="34"/>
      <c r="D83" s="37"/>
      <c r="K83" s="34"/>
      <c r="M83" s="34"/>
      <c r="N83" s="34"/>
      <c r="O83" s="34"/>
      <c r="P83" s="34"/>
      <c r="S83" s="40"/>
    </row>
    <row r="84" customFormat="1" s="34">
      <c r="A84" s="36"/>
      <c r="B84" s="34"/>
      <c r="C84" s="34"/>
      <c r="D84" s="37"/>
      <c r="K84" s="34"/>
      <c r="M84" s="34"/>
      <c r="N84" s="34"/>
      <c r="O84" s="34"/>
      <c r="P84" s="34"/>
      <c r="S84" s="40"/>
    </row>
    <row r="85" customFormat="1" s="34">
      <c r="A85" s="36"/>
      <c r="B85" s="34"/>
      <c r="C85" s="34"/>
      <c r="D85" s="37"/>
      <c r="K85" s="34"/>
      <c r="M85" s="34"/>
      <c r="N85" s="34"/>
      <c r="O85" s="34"/>
      <c r="P85" s="34"/>
      <c r="S85" s="40"/>
    </row>
    <row r="86" customFormat="1" s="34">
      <c r="A86" s="36"/>
      <c r="B86" s="34"/>
      <c r="C86" s="34"/>
      <c r="D86" s="37"/>
      <c r="K86" s="34"/>
      <c r="M86" s="34"/>
      <c r="N86" s="34"/>
      <c r="O86" s="34"/>
      <c r="P86" s="34"/>
      <c r="S86" s="40"/>
    </row>
    <row r="87" customFormat="1" s="34">
      <c r="A87" s="36"/>
      <c r="B87" s="34"/>
      <c r="C87" s="34"/>
      <c r="D87" s="37"/>
      <c r="K87" s="34"/>
      <c r="M87" s="34"/>
      <c r="N87" s="34"/>
      <c r="O87" s="34"/>
      <c r="P87" s="34"/>
      <c r="S87" s="40"/>
    </row>
    <row r="88" customFormat="1" s="34"/>
    <row r="89" customFormat="1" s="34"/>
    <row r="90" customFormat="1" s="34"/>
    <row r="91" customFormat="1" s="34"/>
    <row r="92" customFormat="1" s="34"/>
    <row r="93" customFormat="1" s="34"/>
    <row r="94" customFormat="1" s="34"/>
    <row r="95" customFormat="1" s="34"/>
    <row r="96" customFormat="1" s="34"/>
    <row r="97" customFormat="1" s="34"/>
    <row r="98" customFormat="1" s="34"/>
    <row r="99" customFormat="1" s="34"/>
    <row r="100" customFormat="1" s="34"/>
    <row r="101" customFormat="1" s="34"/>
    <row r="102" customFormat="1" s="34"/>
    <row r="103" customFormat="1" s="34"/>
    <row r="104" customFormat="1" s="34"/>
    <row r="105" customFormat="1" s="34"/>
    <row r="106" customFormat="1" s="34"/>
    <row r="107" customFormat="1" s="34"/>
    <row r="108" customFormat="1" s="34"/>
    <row r="109" customFormat="1" s="34"/>
    <row r="110" customFormat="1" s="34"/>
    <row r="111" customFormat="1" s="34"/>
    <row r="112" customFormat="1" s="34"/>
    <row r="113" customFormat="1" s="34"/>
    <row r="114" customFormat="1" s="34"/>
    <row r="115" customFormat="1" s="34"/>
    <row r="116" customFormat="1" s="34"/>
    <row r="117" customFormat="1" s="34"/>
    <row r="118" customFormat="1" s="34"/>
    <row r="119" customFormat="1" s="34"/>
    <row r="120" customFormat="1" s="34"/>
    <row r="121" customFormat="1" s="34"/>
    <row r="122" customFormat="1" s="34"/>
    <row r="123" customFormat="1" s="34"/>
    <row r="124" customFormat="1" s="34"/>
    <row r="125" customFormat="1" s="34"/>
    <row r="126" customFormat="1" s="34"/>
    <row r="127" customFormat="1" s="34"/>
    <row r="128" customFormat="1" s="34"/>
    <row r="129" customFormat="1" s="34"/>
    <row r="130" customFormat="1" s="34"/>
    <row r="131" customFormat="1" s="34"/>
    <row r="132" customFormat="1" s="34"/>
    <row r="133" customFormat="1" s="34"/>
    <row r="134" customFormat="1" s="34"/>
    <row r="135" customFormat="1" s="34"/>
    <row r="136" customFormat="1" s="34"/>
    <row r="137" customFormat="1" s="34"/>
    <row r="138" customFormat="1" s="34"/>
    <row r="139" customFormat="1" s="34"/>
    <row r="140" customFormat="1" s="34"/>
    <row r="141" customFormat="1" s="34"/>
    <row r="142" customFormat="1" s="34"/>
    <row r="143" customFormat="1" s="34"/>
    <row r="144" customFormat="1" s="34"/>
    <row r="145" customFormat="1" s="34"/>
    <row r="146" customFormat="1" s="34"/>
    <row r="147" customFormat="1" s="34"/>
    <row r="148" customFormat="1" s="34"/>
    <row r="149" customFormat="1" s="34"/>
    <row r="150" customFormat="1" s="34"/>
    <row r="151" customFormat="1" s="34"/>
    <row r="152" customFormat="1" s="34"/>
    <row r="153" customFormat="1" s="34"/>
    <row r="154" customFormat="1" s="34"/>
    <row r="155" customFormat="1" s="34"/>
    <row r="156" customFormat="1" s="34"/>
    <row r="157" customFormat="1" s="34"/>
    <row r="158" customFormat="1" s="34"/>
    <row r="159" customFormat="1" s="34"/>
    <row r="160" customFormat="1" s="34"/>
    <row r="161" customFormat="1" s="34"/>
    <row r="162" customFormat="1" s="34"/>
    <row r="163" customFormat="1" s="34"/>
    <row r="164" customFormat="1" s="34"/>
    <row r="165" customFormat="1" s="34"/>
    <row r="166" customFormat="1" s="34"/>
    <row r="167" customFormat="1" s="34"/>
    <row r="168" customFormat="1" s="34"/>
    <row r="169" customFormat="1" s="34"/>
    <row r="170" customFormat="1" s="34"/>
    <row r="171" customFormat="1" s="34"/>
    <row r="172" customFormat="1" s="34"/>
    <row r="173" customFormat="1" s="34"/>
    <row r="174" customFormat="1" s="34"/>
    <row r="175" customFormat="1" s="34"/>
    <row r="176" customFormat="1" s="34"/>
    <row r="177" customFormat="1" s="34"/>
    <row r="178" customFormat="1" s="34"/>
    <row r="179" customFormat="1" s="34"/>
    <row r="180" customFormat="1" s="34"/>
    <row r="181" customFormat="1" s="34"/>
    <row r="182" customFormat="1" s="34"/>
    <row r="183" customFormat="1" s="34"/>
    <row r="184" customFormat="1" s="34"/>
    <row r="185" customFormat="1" s="34"/>
    <row r="186" customFormat="1" s="34"/>
    <row r="187" customFormat="1" s="34"/>
    <row r="188" customFormat="1" s="34"/>
    <row r="189" customFormat="1" s="34"/>
    <row r="190" customFormat="1" s="34"/>
    <row r="191" customFormat="1" s="34"/>
    <row r="192" customFormat="1" s="34"/>
    <row r="193" customFormat="1" s="34"/>
    <row r="194" customFormat="1" s="34"/>
    <row r="195" customFormat="1" s="34"/>
    <row r="196" customFormat="1" s="34"/>
    <row r="197" customFormat="1" s="34"/>
    <row r="198" customFormat="1" s="34"/>
    <row r="199" customFormat="1" s="34"/>
    <row r="200" customFormat="1" s="34"/>
    <row r="201" customFormat="1" s="34"/>
    <row r="202" customFormat="1" s="34"/>
    <row r="203" customFormat="1" s="34"/>
    <row r="204" customFormat="1" s="34"/>
    <row r="205" customFormat="1" s="34"/>
    <row r="206" customFormat="1" s="34"/>
    <row r="207" customFormat="1" s="34"/>
    <row r="208" customFormat="1" s="34"/>
    <row r="209" customFormat="1" s="34"/>
    <row r="210" customFormat="1" s="34"/>
    <row r="211" customFormat="1" s="34"/>
    <row r="212" customFormat="1" s="34"/>
    <row r="213" customFormat="1" s="34"/>
    <row r="214" customFormat="1" s="34"/>
    <row r="215" customFormat="1" s="34"/>
    <row r="216" customFormat="1" s="34"/>
    <row r="217" customFormat="1" s="34"/>
    <row r="218" customFormat="1" s="34"/>
    <row r="219" customFormat="1" s="34"/>
    <row r="220" customFormat="1" s="34"/>
    <row r="221" customFormat="1" s="34"/>
    <row r="222" customFormat="1" s="34"/>
    <row r="223" customFormat="1" s="34"/>
    <row r="224" customFormat="1" s="34"/>
    <row r="225" customFormat="1" s="34"/>
    <row r="226" customFormat="1" s="34"/>
    <row r="227" customFormat="1" s="34"/>
    <row r="228" customFormat="1" s="34"/>
    <row r="229" customFormat="1" s="34"/>
    <row r="230" customFormat="1" s="34"/>
    <row r="231" customFormat="1" s="34"/>
    <row r="232" customFormat="1" s="34"/>
    <row r="233" customFormat="1" s="34"/>
    <row r="234" customFormat="1" s="34"/>
    <row r="235" customFormat="1" s="34"/>
    <row r="236" customFormat="1" s="34"/>
    <row r="237" customFormat="1" s="34"/>
    <row r="238" customFormat="1" s="34"/>
    <row r="239" customFormat="1" s="34"/>
    <row r="240" customFormat="1" s="34"/>
    <row r="241" customFormat="1" s="34"/>
    <row r="242" customFormat="1" s="34"/>
    <row r="243" customFormat="1" s="34"/>
    <row r="244" customFormat="1" s="34"/>
    <row r="245" customFormat="1" s="34"/>
    <row r="246" customFormat="1" s="34"/>
    <row r="247" customFormat="1" s="34"/>
    <row r="248" customFormat="1" s="34"/>
    <row r="249" customFormat="1" s="34"/>
    <row r="250" customFormat="1" s="34"/>
    <row r="251" customFormat="1" s="34"/>
    <row r="252" customFormat="1" s="34"/>
    <row r="253" customFormat="1" s="34"/>
    <row r="254" customFormat="1" s="34"/>
    <row r="255" customFormat="1" s="34"/>
    <row r="256" customFormat="1" s="34"/>
    <row r="257" customFormat="1" s="34"/>
    <row r="258" customFormat="1" s="34"/>
    <row r="259" customFormat="1" s="34"/>
    <row r="260" customFormat="1" s="34"/>
    <row r="261" customFormat="1" s="34"/>
    <row r="262" customFormat="1" s="34"/>
    <row r="263" customFormat="1" s="34"/>
    <row r="264" customFormat="1" s="34"/>
    <row r="265" customFormat="1" s="34"/>
    <row r="266" customFormat="1" s="34"/>
    <row r="267" customFormat="1" s="34"/>
    <row r="268" customFormat="1" s="34"/>
    <row r="269" customFormat="1" s="34"/>
    <row r="270" customFormat="1" s="34"/>
    <row r="271" customFormat="1" s="34"/>
    <row r="272" customFormat="1" s="34"/>
    <row r="273" customFormat="1" s="34"/>
    <row r="274" customFormat="1" s="34"/>
    <row r="275" customFormat="1" s="34"/>
    <row r="276" customFormat="1" s="34"/>
    <row r="277" customFormat="1" s="34"/>
    <row r="278" customFormat="1" s="34"/>
    <row r="279" customFormat="1" s="34"/>
    <row r="280" customFormat="1" s="34"/>
    <row r="281" customFormat="1" s="34"/>
    <row r="282" customFormat="1" s="34"/>
    <row r="283" customFormat="1" s="34"/>
    <row r="284" customFormat="1" s="34"/>
    <row r="285" customFormat="1" s="34"/>
    <row r="286" customFormat="1" s="34"/>
    <row r="287" customFormat="1" s="34"/>
    <row r="288" customFormat="1" s="34"/>
    <row r="289" customFormat="1" s="34"/>
    <row r="290" customFormat="1" s="34"/>
    <row r="291" customFormat="1" s="34"/>
    <row r="292" customFormat="1" s="34"/>
    <row r="293" customFormat="1" s="34"/>
    <row r="294" customFormat="1" s="34"/>
    <row r="295" customFormat="1" s="34"/>
    <row r="296" customFormat="1" s="34"/>
    <row r="297" customFormat="1" s="34"/>
    <row r="298" customFormat="1" s="34"/>
    <row r="299" customFormat="1" s="34"/>
    <row r="300" customFormat="1" s="34"/>
    <row r="301" customFormat="1" s="34"/>
    <row r="302" customFormat="1" s="34"/>
    <row r="303" customFormat="1" s="34"/>
    <row r="304" customFormat="1" s="34"/>
    <row r="305" customFormat="1" s="34"/>
    <row r="306" customFormat="1" s="34"/>
    <row r="307" customFormat="1" s="34"/>
    <row r="308" customFormat="1" s="34"/>
    <row r="309" customFormat="1" s="34"/>
    <row r="310" customFormat="1" s="34"/>
    <row r="311" customFormat="1" s="34"/>
    <row r="312" customFormat="1" s="34"/>
    <row r="313" customFormat="1" s="34"/>
    <row r="314" customFormat="1" s="34"/>
    <row r="315" customFormat="1" s="34"/>
    <row r="316" customFormat="1" s="34"/>
    <row r="317" customFormat="1" s="34"/>
    <row r="318" customFormat="1" s="34"/>
    <row r="319" customFormat="1" s="34"/>
    <row r="320" customFormat="1" s="34"/>
    <row r="321" customFormat="1" s="34"/>
    <row r="322" customFormat="1" s="34"/>
    <row r="323" customFormat="1" s="34"/>
    <row r="324" customFormat="1" s="34"/>
    <row r="325" customFormat="1" s="34"/>
    <row r="326" customFormat="1" s="34"/>
    <row r="327" customFormat="1" s="34"/>
    <row r="328" customFormat="1" s="34"/>
    <row r="329" customFormat="1" s="34"/>
    <row r="330" customFormat="1" s="34"/>
    <row r="331" customFormat="1" s="34"/>
    <row r="332" customFormat="1" s="34"/>
    <row r="333" customFormat="1" s="34"/>
    <row r="334" customFormat="1" s="34"/>
    <row r="335" customFormat="1" s="34"/>
    <row r="336" customFormat="1" s="34"/>
    <row r="337" customFormat="1" s="34"/>
    <row r="338" customFormat="1" s="34"/>
    <row r="339" customFormat="1" s="34"/>
    <row r="340" customFormat="1" s="34"/>
    <row r="341" customFormat="1" s="34"/>
    <row r="342" customFormat="1" s="34"/>
    <row r="343" customFormat="1" s="34"/>
    <row r="344" customFormat="1" s="34"/>
    <row r="345" customFormat="1" s="34"/>
    <row r="346" customFormat="1" s="34"/>
    <row r="347" customFormat="1" s="34"/>
    <row r="348" customFormat="1" s="34"/>
    <row r="349" customFormat="1" s="34"/>
    <row r="350" customFormat="1" s="34"/>
    <row r="351" customFormat="1" s="34"/>
    <row r="352" customFormat="1" s="34"/>
    <row r="353" customFormat="1" s="34"/>
    <row r="354" customFormat="1" s="34"/>
    <row r="355" customFormat="1" s="34"/>
    <row r="356" customFormat="1" s="34"/>
    <row r="357" customFormat="1" s="34"/>
    <row r="358" customFormat="1" s="34"/>
    <row r="359" customFormat="1" s="34"/>
    <row r="360" customFormat="1" s="34"/>
    <row r="361" customFormat="1" s="34"/>
    <row r="362" customFormat="1" s="34"/>
    <row r="363" customFormat="1" s="34"/>
    <row r="364" customFormat="1" s="34"/>
    <row r="365" customFormat="1" s="34"/>
    <row r="366" customFormat="1" s="34"/>
    <row r="367" customFormat="1" s="34"/>
    <row r="368" customFormat="1" s="34"/>
    <row r="369" customFormat="1" s="34"/>
    <row r="370" customFormat="1" s="34"/>
    <row r="371" customFormat="1" s="34"/>
    <row r="372" customFormat="1" s="34"/>
    <row r="373" customFormat="1" s="34"/>
    <row r="374" customFormat="1" s="34"/>
    <row r="375" customFormat="1" s="34"/>
    <row r="376" customFormat="1" s="34"/>
    <row r="377" customFormat="1" s="34"/>
    <row r="378" customFormat="1" s="34"/>
    <row r="379" customFormat="1" s="34"/>
    <row r="380" customFormat="1" s="34"/>
    <row r="381" customFormat="1" s="34"/>
    <row r="382" customFormat="1" s="34"/>
    <row r="383" customFormat="1" s="34"/>
    <row r="384" customFormat="1" s="34"/>
    <row r="385" customFormat="1" s="34"/>
    <row r="386" customFormat="1" s="34"/>
    <row r="387" customFormat="1" s="34"/>
    <row r="388" customFormat="1" s="34"/>
    <row r="389" customFormat="1" s="34"/>
    <row r="390" customFormat="1" s="34"/>
    <row r="391" customFormat="1" s="34"/>
    <row r="392" customFormat="1" s="34"/>
    <row r="393" customFormat="1" s="34"/>
    <row r="394" customFormat="1" s="34"/>
    <row r="395" customFormat="1" s="34"/>
    <row r="396" customFormat="1" s="34"/>
    <row r="397" customFormat="1" s="34"/>
    <row r="398" customFormat="1" s="34"/>
    <row r="399" customFormat="1" s="34"/>
    <row r="400" customFormat="1" s="34"/>
    <row r="401" customFormat="1" s="34"/>
    <row r="402" customFormat="1" s="34"/>
    <row r="403" customFormat="1" s="34"/>
    <row r="404" customFormat="1" s="34"/>
    <row r="405" customFormat="1" s="34"/>
    <row r="406" customFormat="1" s="34"/>
    <row r="407" customFormat="1" s="34"/>
    <row r="408" customFormat="1" s="34"/>
    <row r="409" customFormat="1" s="34"/>
    <row r="410" customFormat="1" s="34"/>
    <row r="411" customFormat="1" s="34"/>
    <row r="412" customFormat="1" s="34"/>
    <row r="413" customFormat="1" s="34"/>
    <row r="414" customFormat="1" s="34"/>
    <row r="415" customFormat="1" s="34"/>
    <row r="416" customFormat="1" s="34"/>
    <row r="417" customFormat="1" s="34"/>
    <row r="418" customFormat="1" s="34"/>
    <row r="419" customFormat="1" s="34"/>
    <row r="420" customFormat="1" s="34"/>
    <row r="421" customFormat="1" s="34"/>
    <row r="422" customFormat="1" s="34"/>
    <row r="423" customFormat="1" s="34"/>
    <row r="424" customFormat="1" s="34"/>
    <row r="425" customFormat="1" s="34"/>
    <row r="426" customFormat="1" s="34"/>
    <row r="427" customFormat="1" s="34"/>
    <row r="428" customFormat="1" s="34"/>
    <row r="429" customFormat="1" s="34"/>
    <row r="430" customFormat="1" s="34"/>
    <row r="431" customFormat="1" s="34"/>
    <row r="432" customFormat="1" s="34"/>
    <row r="433" customFormat="1" s="34"/>
    <row r="434" customFormat="1" s="34"/>
    <row r="435" customFormat="1" s="34"/>
    <row r="436" customFormat="1" s="34"/>
    <row r="437" customFormat="1" s="34"/>
    <row r="438" customFormat="1" s="34"/>
    <row r="439" customFormat="1" s="34"/>
    <row r="440" customFormat="1" s="34"/>
    <row r="441" customFormat="1" s="34"/>
    <row r="442" customFormat="1" s="34"/>
    <row r="443" customFormat="1" s="34"/>
    <row r="444" customFormat="1" s="34"/>
    <row r="445" customFormat="1" s="34"/>
    <row r="446" customFormat="1" s="34"/>
    <row r="447" customFormat="1" s="34"/>
    <row r="448" customFormat="1" s="34"/>
    <row r="449" customFormat="1" s="34"/>
    <row r="450" customFormat="1" s="34"/>
    <row r="451" customFormat="1" s="34"/>
    <row r="452" customFormat="1" s="34"/>
    <row r="453" customFormat="1" s="34"/>
    <row r="454" customFormat="1" s="34"/>
    <row r="455" customFormat="1" s="34"/>
    <row r="456" customFormat="1" s="34"/>
    <row r="457" customFormat="1" s="34"/>
    <row r="458" customFormat="1" s="34"/>
    <row r="459" customFormat="1" s="34"/>
    <row r="460" customFormat="1" s="34"/>
    <row r="461" customFormat="1" s="34"/>
    <row r="462" customFormat="1" s="34"/>
    <row r="463" customFormat="1" s="34"/>
    <row r="464" customFormat="1" s="34"/>
    <row r="465" customFormat="1" s="34"/>
    <row r="466" customFormat="1" s="34"/>
    <row r="467" customFormat="1" s="34"/>
    <row r="468" customFormat="1" s="34"/>
    <row r="469" customFormat="1" s="34"/>
    <row r="470" customFormat="1" s="34"/>
    <row r="471" customFormat="1" s="34"/>
    <row r="472" customFormat="1" s="34"/>
    <row r="473" customFormat="1" s="34"/>
    <row r="474" customFormat="1" s="34"/>
    <row r="475" customFormat="1" s="34"/>
    <row r="476" customFormat="1" s="34"/>
    <row r="477" customFormat="1" s="34"/>
    <row r="478" customFormat="1" s="34"/>
    <row r="479" customFormat="1" s="34"/>
    <row r="480" customFormat="1" s="34"/>
    <row r="481" customFormat="1" s="34"/>
    <row r="482" customFormat="1" s="34"/>
    <row r="483" customFormat="1" s="34"/>
    <row r="484" customFormat="1" s="34"/>
    <row r="485" customFormat="1" s="34"/>
    <row r="486" customFormat="1" s="34"/>
    <row r="487" customFormat="1" s="34"/>
    <row r="488" customFormat="1" s="34"/>
    <row r="489" customFormat="1" s="34"/>
    <row r="490" customFormat="1" s="34"/>
    <row r="491" customFormat="1" s="34"/>
    <row r="492" customFormat="1" s="34"/>
    <row r="493" customFormat="1" s="34"/>
    <row r="494" customFormat="1" s="34"/>
    <row r="495" customFormat="1" s="34"/>
    <row r="496" customFormat="1" s="34"/>
    <row r="497" customFormat="1" s="34"/>
    <row r="498" customFormat="1" s="34"/>
    <row r="499" customFormat="1" s="34"/>
    <row r="500" customFormat="1" s="34"/>
    <row r="501" customFormat="1" s="34"/>
    <row r="502" customFormat="1" s="34"/>
    <row r="503" customFormat="1" s="34"/>
    <row r="504" customFormat="1" s="34"/>
    <row r="505" customFormat="1" s="34"/>
    <row r="506" customFormat="1" s="34"/>
    <row r="507" customFormat="1" s="34"/>
    <row r="508" customFormat="1" s="34"/>
    <row r="509" customFormat="1" s="34"/>
    <row r="510" customFormat="1" s="34"/>
    <row r="511" customFormat="1" s="34"/>
    <row r="512" customFormat="1" s="34"/>
    <row r="513" customFormat="1" s="34"/>
    <row r="514" customFormat="1" s="34"/>
    <row r="515" customFormat="1" s="34"/>
    <row r="516" customFormat="1" s="34"/>
    <row r="517" customFormat="1" s="34"/>
    <row r="518" customFormat="1" s="34"/>
    <row r="519" customFormat="1" s="34"/>
    <row r="520" customFormat="1" s="34"/>
    <row r="521" customFormat="1" s="34"/>
    <row r="522" customFormat="1" s="34"/>
    <row r="523" customFormat="1" s="34"/>
    <row r="524" customFormat="1" s="34"/>
    <row r="525" customFormat="1" s="34"/>
    <row r="526" customFormat="1" s="34"/>
    <row r="527" customFormat="1" s="34"/>
    <row r="528" customFormat="1" s="34"/>
    <row r="529" customFormat="1" s="34"/>
    <row r="530" customFormat="1" s="34"/>
    <row r="531" customFormat="1" s="34"/>
    <row r="532" customFormat="1" s="34"/>
    <row r="533" customFormat="1" s="34"/>
    <row r="534" customFormat="1" s="34"/>
    <row r="535" customFormat="1" s="34"/>
    <row r="536" customFormat="1" s="34"/>
    <row r="537" customFormat="1" s="34"/>
    <row r="538" customFormat="1" s="34"/>
    <row r="539" customFormat="1" s="34"/>
    <row r="540" customFormat="1" s="34"/>
    <row r="541" customFormat="1" s="34"/>
    <row r="542" customFormat="1" s="34"/>
    <row r="543" customFormat="1" s="34"/>
    <row r="544" customFormat="1" s="34"/>
    <row r="545" customFormat="1" s="34"/>
    <row r="546" customFormat="1" s="34"/>
    <row r="547" customFormat="1" s="34"/>
    <row r="548" customFormat="1" s="34"/>
    <row r="549" customFormat="1" s="34"/>
    <row r="550" customFormat="1" s="34"/>
    <row r="551" customFormat="1" s="34"/>
    <row r="552" customFormat="1" s="34"/>
    <row r="553" customFormat="1" s="34"/>
    <row r="554" customFormat="1" s="34"/>
    <row r="555" customFormat="1" s="34"/>
    <row r="556" customFormat="1" s="34"/>
    <row r="557" customFormat="1" s="34"/>
    <row r="558" customFormat="1" s="34"/>
    <row r="559" customFormat="1" s="34"/>
    <row r="560" customFormat="1" s="34"/>
    <row r="561" customFormat="1" s="34"/>
    <row r="562" customFormat="1" s="34"/>
    <row r="563" customFormat="1" s="34"/>
    <row r="564" customFormat="1" s="34"/>
    <row r="565" customFormat="1" s="34"/>
    <row r="566" customFormat="1" s="34"/>
    <row r="567" customFormat="1" s="34"/>
    <row r="568" customFormat="1" s="34"/>
    <row r="569" customFormat="1" s="34"/>
    <row r="570" customFormat="1" s="34"/>
    <row r="571" customFormat="1" s="34"/>
    <row r="572" customFormat="1" s="34"/>
    <row r="573" customFormat="1" s="34"/>
    <row r="574" customFormat="1" s="34"/>
    <row r="575" customFormat="1" s="34"/>
    <row r="576" customFormat="1" s="34"/>
    <row r="577" customFormat="1" s="34"/>
    <row r="578" customFormat="1" s="34"/>
    <row r="579" customFormat="1" s="34"/>
    <row r="580" customFormat="1" s="34"/>
    <row r="581" customFormat="1" s="34"/>
    <row r="582" customFormat="1" s="34"/>
    <row r="583" customFormat="1" s="34"/>
    <row r="584" customFormat="1" s="34"/>
    <row r="585" customFormat="1" s="34"/>
    <row r="586" customFormat="1" s="34"/>
    <row r="587" customFormat="1" s="34"/>
    <row r="588" customFormat="1" s="34"/>
    <row r="589" customFormat="1" s="34"/>
    <row r="590" customFormat="1" s="34"/>
    <row r="591" customFormat="1" s="34"/>
    <row r="592" customFormat="1" s="34"/>
    <row r="593" customFormat="1" s="34"/>
    <row r="594" customFormat="1" s="34"/>
    <row r="595" customFormat="1" s="34"/>
    <row r="596" customFormat="1" s="34"/>
    <row r="597" customFormat="1" s="34"/>
    <row r="598" customFormat="1" s="34"/>
    <row r="599" customFormat="1" s="34"/>
    <row r="600" customFormat="1" s="34"/>
    <row r="601" customFormat="1" s="34"/>
    <row r="602" customFormat="1" s="34"/>
    <row r="603" customFormat="1" s="34"/>
    <row r="604" customFormat="1" s="34"/>
    <row r="605" customFormat="1" s="34"/>
    <row r="606" customFormat="1" s="34"/>
    <row r="607" customFormat="1" s="34"/>
    <row r="608" customFormat="1" s="34"/>
    <row r="609" customFormat="1" s="34"/>
    <row r="610" customFormat="1" s="34"/>
    <row r="611" customFormat="1" s="34"/>
    <row r="612" customFormat="1" s="34"/>
    <row r="613" customFormat="1" s="34"/>
    <row r="614" customFormat="1" s="34"/>
    <row r="615" customFormat="1" s="34"/>
    <row r="616" customFormat="1" s="34"/>
    <row r="617" customFormat="1" s="34"/>
    <row r="618" customFormat="1" s="34"/>
    <row r="619" customFormat="1" s="34"/>
    <row r="620" customFormat="1" s="34"/>
    <row r="621" customFormat="1" s="34"/>
    <row r="622" customFormat="1" s="34"/>
    <row r="623" customFormat="1" s="34"/>
    <row r="624" customFormat="1" s="34"/>
    <row r="625" customFormat="1" s="34"/>
    <row r="626" customFormat="1" s="34"/>
    <row r="627" customFormat="1" s="34"/>
    <row r="628" customFormat="1" s="34"/>
    <row r="629" customFormat="1" s="34"/>
    <row r="630" customFormat="1" s="34"/>
    <row r="631" customFormat="1" s="34"/>
    <row r="632" customFormat="1" s="34"/>
    <row r="633" customFormat="1" s="34"/>
    <row r="634" customFormat="1" s="34"/>
    <row r="635" customFormat="1" s="34"/>
    <row r="636" customFormat="1" s="34"/>
    <row r="637" customFormat="1" s="34"/>
    <row r="638" customFormat="1" s="34"/>
    <row r="639" customFormat="1" s="34"/>
    <row r="640" customFormat="1" s="34"/>
    <row r="641" customFormat="1" s="34"/>
    <row r="642" customFormat="1" s="34"/>
    <row r="643" customFormat="1" s="34"/>
    <row r="644" customFormat="1" s="34"/>
    <row r="645" customFormat="1" s="34"/>
    <row r="646" customFormat="1" s="34"/>
    <row r="647" customFormat="1" s="34"/>
    <row r="648" customFormat="1" s="34"/>
    <row r="649" customFormat="1" s="34"/>
    <row r="650" customFormat="1" s="34"/>
    <row r="651" customFormat="1" s="34"/>
    <row r="652" customFormat="1" s="34"/>
    <row r="653" customFormat="1" s="34"/>
    <row r="654" customFormat="1" s="34"/>
    <row r="655" customFormat="1" s="34"/>
    <row r="656" customFormat="1" s="34"/>
    <row r="657" customFormat="1" s="34"/>
    <row r="658" customFormat="1" s="34"/>
    <row r="659" customFormat="1" s="34"/>
    <row r="660" customFormat="1" s="34"/>
    <row r="661" customFormat="1" s="34"/>
    <row r="662" customFormat="1" s="34"/>
    <row r="663" customFormat="1" s="34"/>
    <row r="664" customFormat="1" s="34"/>
    <row r="665" customFormat="1" s="34"/>
    <row r="666" customFormat="1" s="34"/>
    <row r="667" customFormat="1" s="34"/>
    <row r="668" customFormat="1" s="34"/>
    <row r="669" customFormat="1" s="34"/>
    <row r="670" customFormat="1" s="34"/>
    <row r="671" customFormat="1" s="34"/>
    <row r="672" customFormat="1" s="34"/>
    <row r="673" customFormat="1" s="34"/>
    <row r="674" customFormat="1" s="34"/>
    <row r="675" customFormat="1" s="34"/>
    <row r="676" customFormat="1" s="34"/>
    <row r="677" customFormat="1" s="34"/>
    <row r="678" customFormat="1" s="34"/>
    <row r="679" customFormat="1" s="34"/>
    <row r="680" customFormat="1" s="34"/>
    <row r="681" customFormat="1" s="34"/>
    <row r="682" customFormat="1" s="34"/>
    <row r="683" customFormat="1" s="34"/>
    <row r="684" customFormat="1" s="34"/>
    <row r="685" customFormat="1" s="34"/>
    <row r="686" customFormat="1" s="34"/>
    <row r="687" customFormat="1" s="34"/>
    <row r="688" customFormat="1" s="34"/>
    <row r="689" customFormat="1" s="34"/>
    <row r="690" customFormat="1" s="34"/>
    <row r="691" customFormat="1" s="34"/>
    <row r="692" customFormat="1" s="34"/>
    <row r="693" customFormat="1" s="34"/>
    <row r="694" customFormat="1" s="34"/>
    <row r="695" customFormat="1" s="34"/>
    <row r="696" customFormat="1" s="34"/>
    <row r="697" customFormat="1" s="34"/>
    <row r="698" customFormat="1" s="34"/>
    <row r="699" customFormat="1" s="34"/>
    <row r="700" customFormat="1" s="34"/>
    <row r="701" customFormat="1" s="34"/>
    <row r="702" customFormat="1" s="34"/>
    <row r="703" customFormat="1" s="34"/>
    <row r="704" customFormat="1" s="34"/>
    <row r="705" customFormat="1" s="34"/>
    <row r="706" customFormat="1" s="34"/>
    <row r="707" customFormat="1" s="34"/>
    <row r="708" customFormat="1" s="34"/>
    <row r="709" customFormat="1" s="34"/>
    <row r="710" customFormat="1" s="34"/>
    <row r="711" customFormat="1" s="34"/>
    <row r="712" customFormat="1" s="34"/>
    <row r="713" customFormat="1" s="34"/>
    <row r="714" customFormat="1" s="34"/>
    <row r="715" customFormat="1" s="34"/>
    <row r="716" customFormat="1" s="34"/>
    <row r="717" customFormat="1" s="34"/>
    <row r="718" customFormat="1" s="34"/>
    <row r="719" customFormat="1" s="34"/>
    <row r="720" customFormat="1" s="34"/>
    <row r="721" customFormat="1" s="34"/>
    <row r="722" customFormat="1" s="34"/>
    <row r="723" customFormat="1" s="34"/>
    <row r="724" customFormat="1" s="34"/>
    <row r="725" customFormat="1" s="34"/>
    <row r="726" customFormat="1" s="34"/>
    <row r="727" customFormat="1" s="34"/>
    <row r="728" customFormat="1" s="34"/>
    <row r="729" customFormat="1" s="34"/>
    <row r="730" customFormat="1" s="34"/>
    <row r="731" customFormat="1" s="34"/>
    <row r="732" customFormat="1" s="34"/>
    <row r="733" customFormat="1" s="34"/>
    <row r="734" customFormat="1" s="34"/>
    <row r="735" customFormat="1" s="34"/>
    <row r="736" customFormat="1" s="34"/>
    <row r="737" customFormat="1" s="34"/>
    <row r="738" customFormat="1" s="34"/>
    <row r="739" customFormat="1" s="34"/>
    <row r="740" customFormat="1" s="34"/>
    <row r="741" customFormat="1" s="34"/>
    <row r="742" customFormat="1" s="34"/>
    <row r="743" customFormat="1" s="34"/>
    <row r="744" customFormat="1" s="34"/>
    <row r="745" customFormat="1" s="34"/>
    <row r="746" customFormat="1" s="34"/>
    <row r="747" customFormat="1" s="34"/>
    <row r="748" customFormat="1" s="34"/>
    <row r="749" customFormat="1" s="34"/>
    <row r="750" customFormat="1" s="34"/>
    <row r="751" customFormat="1" s="34"/>
    <row r="752" customFormat="1" s="34"/>
    <row r="753" customFormat="1" s="34"/>
    <row r="754" customFormat="1" s="34"/>
    <row r="755" customFormat="1" s="34"/>
    <row r="756" customFormat="1" s="34"/>
    <row r="757" customFormat="1" s="34"/>
    <row r="758" customFormat="1" s="34"/>
    <row r="759" customFormat="1" s="34"/>
    <row r="760" customFormat="1" s="34"/>
    <row r="761" customFormat="1" s="34"/>
    <row r="762" customFormat="1" s="34"/>
    <row r="763" customFormat="1" s="34"/>
    <row r="764" customFormat="1" s="34"/>
    <row r="765" customFormat="1" s="34"/>
    <row r="766" customFormat="1" s="34"/>
    <row r="767" customFormat="1" s="34"/>
    <row r="768" customFormat="1" s="34"/>
    <row r="769" customFormat="1" s="34"/>
    <row r="770" customFormat="1" s="34"/>
    <row r="771" customFormat="1" s="34"/>
    <row r="772" customFormat="1" s="34"/>
    <row r="773" customFormat="1" s="34"/>
    <row r="774" customFormat="1" s="34"/>
    <row r="775" customFormat="1" s="34"/>
    <row r="776" customFormat="1" s="34"/>
    <row r="777" customFormat="1" s="34"/>
    <row r="778" customFormat="1" s="34"/>
    <row r="779" customFormat="1" s="34"/>
    <row r="780" customFormat="1" s="34"/>
    <row r="781" customFormat="1" s="34"/>
    <row r="782" customFormat="1" s="34"/>
    <row r="783" customFormat="1" s="34"/>
    <row r="784" customFormat="1" s="34"/>
    <row r="785" customFormat="1" s="34"/>
    <row r="786" customFormat="1" s="34"/>
    <row r="787" customFormat="1" s="34"/>
    <row r="788" customFormat="1" s="34"/>
    <row r="789" customFormat="1" s="34"/>
    <row r="790" customFormat="1" s="34"/>
    <row r="791" customFormat="1" s="34"/>
    <row r="792" customFormat="1" s="34"/>
    <row r="793" customFormat="1" s="34"/>
    <row r="794" customFormat="1" s="34"/>
    <row r="795" customFormat="1" s="34"/>
    <row r="796" customFormat="1" s="34"/>
    <row r="797" customFormat="1" s="34"/>
    <row r="798" customFormat="1" s="34"/>
    <row r="799" customFormat="1" s="34"/>
    <row r="800" customFormat="1" s="34"/>
    <row r="801" customFormat="1" s="34"/>
    <row r="802" customFormat="1" s="34"/>
    <row r="803" customFormat="1" s="34"/>
    <row r="804" customFormat="1" s="34"/>
    <row r="805" customFormat="1" s="34"/>
    <row r="806" customFormat="1" s="34"/>
    <row r="807" customFormat="1" s="34"/>
    <row r="808" customFormat="1" s="34"/>
    <row r="809" customFormat="1" s="34"/>
    <row r="810" customFormat="1" s="34"/>
    <row r="811" customFormat="1" s="34"/>
    <row r="812" customFormat="1" s="34"/>
    <row r="813" customFormat="1" s="34"/>
    <row r="814" customFormat="1" s="34"/>
    <row r="815" customFormat="1" s="34"/>
    <row r="816" customFormat="1" s="34"/>
    <row r="817" customFormat="1" s="34"/>
    <row r="818" customFormat="1" s="34"/>
    <row r="819" customFormat="1" s="34"/>
    <row r="820" customFormat="1" s="34"/>
    <row r="821" customFormat="1" s="34"/>
    <row r="822" customFormat="1" s="34"/>
    <row r="823" customFormat="1" s="34"/>
    <row r="824" customFormat="1" s="34"/>
    <row r="825" customFormat="1" s="34"/>
    <row r="826" customFormat="1" s="34"/>
    <row r="827" customFormat="1" s="34"/>
    <row r="828" customFormat="1" s="34"/>
    <row r="829" customFormat="1" s="34"/>
    <row r="830" customFormat="1" s="34"/>
    <row r="831" customFormat="1" s="34"/>
    <row r="832" customFormat="1" s="34"/>
    <row r="833" customFormat="1" s="34"/>
    <row r="834" customFormat="1" s="34"/>
    <row r="835" customFormat="1" s="34"/>
    <row r="836" customFormat="1" s="34"/>
    <row r="837" customFormat="1" s="34"/>
    <row r="838" customFormat="1" s="34"/>
    <row r="839" customFormat="1" s="34"/>
    <row r="840" customFormat="1" s="34"/>
    <row r="841" customFormat="1" s="34"/>
    <row r="842" customFormat="1" s="34"/>
    <row r="843" customFormat="1" s="34"/>
    <row r="844" customFormat="1" s="34"/>
    <row r="845" customFormat="1" s="34"/>
    <row r="846" customFormat="1" s="34"/>
    <row r="847" customFormat="1" s="34"/>
    <row r="848" customFormat="1" s="34"/>
    <row r="849" customFormat="1" s="34"/>
    <row r="850" customFormat="1" s="34"/>
    <row r="851" customFormat="1" s="34"/>
    <row r="852" customFormat="1" s="34"/>
    <row r="853" customFormat="1" s="34"/>
    <row r="854" customFormat="1" s="34"/>
    <row r="855" customFormat="1" s="34"/>
    <row r="856" customFormat="1" s="34"/>
    <row r="857" customFormat="1" s="34"/>
    <row r="858" customFormat="1" s="34"/>
    <row r="859" customFormat="1" s="34"/>
    <row r="860" customFormat="1" s="34"/>
    <row r="861" customFormat="1" s="34"/>
    <row r="862" customFormat="1" s="34"/>
    <row r="863" customFormat="1" s="34"/>
    <row r="864" customFormat="1" s="34"/>
    <row r="865" customFormat="1" s="34"/>
    <row r="866" customFormat="1" s="34"/>
    <row r="867" customFormat="1" s="34"/>
    <row r="868" customFormat="1" s="34"/>
    <row r="869" customFormat="1" s="34"/>
    <row r="870" customFormat="1" s="34"/>
    <row r="871" customFormat="1" s="34"/>
    <row r="872" customFormat="1" s="34"/>
    <row r="873" customFormat="1" s="34"/>
    <row r="874" customFormat="1" s="34"/>
    <row r="875" customFormat="1" s="34"/>
    <row r="876" customFormat="1" s="34"/>
    <row r="877" customFormat="1" s="34"/>
    <row r="878" customFormat="1" s="34"/>
    <row r="879" customFormat="1" s="34"/>
    <row r="880" customFormat="1" s="34"/>
    <row r="881" customFormat="1" s="34"/>
    <row r="882" customFormat="1" s="34"/>
    <row r="883" customFormat="1" s="34"/>
    <row r="884" customFormat="1" s="34"/>
    <row r="885" customFormat="1" s="34"/>
    <row r="886" customFormat="1" s="34"/>
    <row r="887" customFormat="1" s="34"/>
    <row r="888" customFormat="1" s="34"/>
    <row r="889" customFormat="1" s="34"/>
    <row r="890" customFormat="1" s="34"/>
    <row r="891" customFormat="1" s="34"/>
    <row r="892" customFormat="1" s="34"/>
    <row r="893" customFormat="1" s="34"/>
    <row r="894" customFormat="1" s="34"/>
    <row r="895" customFormat="1" s="34"/>
    <row r="896" customFormat="1" s="34"/>
    <row r="897" customFormat="1" s="34"/>
    <row r="898" customFormat="1" s="34"/>
    <row r="899" customFormat="1" s="34"/>
    <row r="900" customFormat="1" s="34"/>
    <row r="901" customFormat="1" s="34"/>
    <row r="902" customFormat="1" s="34"/>
    <row r="903" customFormat="1" s="34"/>
    <row r="904" customFormat="1" s="34"/>
    <row r="905" customFormat="1" s="34"/>
    <row r="906" customFormat="1" s="34"/>
    <row r="907" customFormat="1" s="34"/>
    <row r="908" customFormat="1" s="34"/>
    <row r="909" customFormat="1" s="34"/>
    <row r="910" customFormat="1" s="34"/>
    <row r="911" customFormat="1" s="34"/>
    <row r="912" customFormat="1" s="34"/>
    <row r="913" customFormat="1" s="34"/>
    <row r="914" customFormat="1" s="34"/>
    <row r="915" customFormat="1" s="34"/>
    <row r="916" customFormat="1" s="34"/>
    <row r="917" customFormat="1" s="34"/>
    <row r="918" customFormat="1" s="34"/>
    <row r="919" customFormat="1" s="34"/>
    <row r="920" customFormat="1" s="34"/>
    <row r="921" customFormat="1" s="34"/>
    <row r="922" customFormat="1" s="34"/>
    <row r="923" customFormat="1" s="34"/>
    <row r="924" customFormat="1" s="34"/>
    <row r="925" customFormat="1" s="34"/>
    <row r="926" customFormat="1" s="34"/>
    <row r="927" customFormat="1" s="34"/>
    <row r="928" customFormat="1" s="34"/>
    <row r="929" customFormat="1" s="34"/>
    <row r="930" customFormat="1" s="34"/>
    <row r="931" customFormat="1" s="34"/>
    <row r="932" customFormat="1" s="34"/>
    <row r="933" customFormat="1" s="34"/>
    <row r="934" customFormat="1" s="34"/>
    <row r="935" customFormat="1" s="34"/>
    <row r="936" customFormat="1" s="34"/>
    <row r="937" customFormat="1" s="34"/>
    <row r="938" customFormat="1" s="34"/>
    <row r="939" customFormat="1" s="34"/>
    <row r="940" customFormat="1" s="34"/>
    <row r="941" customFormat="1" s="34"/>
    <row r="942" customFormat="1" s="34"/>
    <row r="943" customFormat="1" s="34"/>
    <row r="944" customFormat="1" s="34"/>
    <row r="945" customFormat="1" s="34"/>
    <row r="946" customFormat="1" s="34"/>
    <row r="947" customFormat="1" s="34"/>
    <row r="948" customFormat="1" s="34"/>
    <row r="949" customFormat="1" s="34"/>
    <row r="950" customFormat="1" s="34"/>
    <row r="951" customFormat="1" s="34"/>
    <row r="952" customFormat="1" s="34"/>
    <row r="953" customFormat="1" s="34"/>
    <row r="954" customFormat="1" s="34"/>
    <row r="955" customFormat="1" s="34"/>
    <row r="956" customFormat="1" s="34"/>
    <row r="957" customFormat="1" s="34"/>
    <row r="958" customFormat="1" s="34"/>
    <row r="959" customFormat="1" s="34"/>
    <row r="960" customFormat="1" s="34"/>
    <row r="961" customFormat="1" s="34"/>
    <row r="962" customFormat="1" s="34"/>
    <row r="963" customFormat="1" s="34"/>
    <row r="964" customFormat="1" s="34"/>
    <row r="965" customFormat="1" s="34"/>
    <row r="966" customFormat="1" s="34"/>
    <row r="967" customFormat="1" s="34"/>
    <row r="968" customFormat="1" s="34"/>
    <row r="969" customFormat="1" s="34"/>
    <row r="970" customFormat="1" s="34"/>
    <row r="971" customFormat="1" s="34"/>
    <row r="972" customFormat="1" s="34"/>
    <row r="973" customFormat="1" s="34"/>
    <row r="974" customFormat="1" s="34"/>
    <row r="975" customFormat="1" s="34"/>
    <row r="976" customFormat="1" s="34"/>
    <row r="977" customFormat="1" s="34"/>
    <row r="978" customFormat="1" s="34"/>
    <row r="979" customFormat="1" s="34"/>
    <row r="980" customFormat="1" s="34"/>
    <row r="981" customFormat="1" s="34"/>
    <row r="982" customFormat="1" s="34"/>
    <row r="983" customFormat="1" s="34"/>
    <row r="984" customFormat="1" s="34"/>
    <row r="985" customFormat="1" s="34"/>
    <row r="986" customFormat="1" s="34"/>
    <row r="987" customFormat="1" s="34"/>
    <row r="988" customFormat="1" s="34"/>
    <row r="989" customFormat="1" s="34"/>
    <row r="990" customFormat="1" s="34"/>
    <row r="991" customFormat="1" s="34"/>
    <row r="992" customFormat="1" s="34"/>
    <row r="993" customFormat="1" s="34"/>
    <row r="994" customFormat="1" s="34"/>
    <row r="995" customFormat="1" s="34"/>
    <row r="996" customFormat="1" s="34"/>
    <row r="997" customFormat="1" s="34"/>
    <row r="998" customFormat="1" s="34"/>
    <row r="999" customFormat="1" s="34"/>
    <row r="1000" customFormat="1" s="34"/>
    <row r="1001" customFormat="1" s="34"/>
    <row r="1002" customFormat="1" s="34"/>
    <row r="1003" customFormat="1" s="34"/>
    <row r="1004" customFormat="1" s="34"/>
    <row r="1005" customFormat="1" s="34"/>
    <row r="1006" customFormat="1" s="34"/>
    <row r="1007" customFormat="1" s="34"/>
    <row r="1008" customFormat="1" s="34"/>
    <row r="1009" customFormat="1" s="34"/>
    <row r="1010" customFormat="1" s="34"/>
    <row r="1011" customFormat="1" s="34"/>
    <row r="1012" customFormat="1" s="34"/>
    <row r="1013" customFormat="1" s="34"/>
    <row r="1014" customFormat="1" s="34"/>
    <row r="1015" customFormat="1" s="34"/>
    <row r="1016" customFormat="1" s="34"/>
    <row r="1017" customFormat="1" s="34"/>
    <row r="1018" customFormat="1" s="34"/>
    <row r="1019" customFormat="1" s="34"/>
    <row r="1020" customFormat="1" s="34"/>
    <row r="1021" customFormat="1" s="34"/>
    <row r="1022" customFormat="1" s="34"/>
    <row r="1023" customFormat="1" s="34"/>
    <row r="1024" customFormat="1" s="34"/>
    <row r="1025" customFormat="1" s="34"/>
    <row r="1026" customFormat="1" s="34"/>
    <row r="1027" customFormat="1" s="34"/>
    <row r="1028" customFormat="1" s="34"/>
    <row r="1029" customFormat="1" s="34"/>
    <row r="1030" customFormat="1" s="34"/>
    <row r="1031" customFormat="1" s="34"/>
    <row r="1032" customFormat="1" s="34"/>
    <row r="1033" customFormat="1" s="34"/>
    <row r="1034" customFormat="1" s="34"/>
    <row r="1035" customFormat="1" s="34"/>
    <row r="1036" customFormat="1" s="34"/>
    <row r="1037" customFormat="1" s="34"/>
    <row r="1038" customFormat="1" s="34"/>
    <row r="1039" customFormat="1" s="34"/>
    <row r="1040" customFormat="1" s="34"/>
    <row r="1041" customFormat="1" s="34"/>
    <row r="1042" customFormat="1" s="34"/>
    <row r="1043" customFormat="1" s="34"/>
    <row r="1044" customFormat="1" s="34"/>
    <row r="1045" customFormat="1" s="34"/>
    <row r="1046" customFormat="1" s="34"/>
    <row r="1047" customFormat="1" s="34"/>
    <row r="1048" customFormat="1" s="34"/>
    <row r="1049" customFormat="1" s="34"/>
    <row r="1050" customFormat="1" s="34"/>
    <row r="1051" customFormat="1" s="34"/>
    <row r="1052" customFormat="1" s="34"/>
    <row r="1053" customFormat="1" s="34"/>
    <row r="1054" customFormat="1" s="34"/>
    <row r="1055" customFormat="1" s="34"/>
    <row r="1056" customFormat="1" s="34"/>
    <row r="1057" customFormat="1" s="34"/>
    <row r="1058" customFormat="1" s="34"/>
    <row r="1059" customFormat="1" s="34"/>
    <row r="1060" customFormat="1" s="34"/>
    <row r="1061" customFormat="1" s="34"/>
    <row r="1062" customFormat="1" s="34"/>
    <row r="1063" customFormat="1" s="34"/>
    <row r="1064" customFormat="1" s="34"/>
    <row r="1065" customFormat="1" s="34"/>
    <row r="1066" customFormat="1" s="34"/>
    <row r="1067" customFormat="1" s="34"/>
    <row r="1068" customFormat="1" s="34"/>
    <row r="1069" customFormat="1" s="34"/>
    <row r="1070" customFormat="1" s="34"/>
    <row r="1071" customFormat="1" s="34"/>
    <row r="1072" customFormat="1" s="34"/>
    <row r="1073" customFormat="1" s="34"/>
    <row r="1074" customFormat="1" s="34"/>
    <row r="1075" customFormat="1" s="34"/>
    <row r="1076" customFormat="1" s="34"/>
    <row r="1077" customFormat="1" s="34"/>
    <row r="1078" customFormat="1" s="34"/>
    <row r="1079" customFormat="1" s="34"/>
    <row r="1080" customFormat="1" s="34"/>
    <row r="1081" customFormat="1" s="34"/>
    <row r="1082" customFormat="1" s="34"/>
    <row r="1083" customFormat="1" s="34"/>
    <row r="1084" customFormat="1" s="34"/>
    <row r="1085" customFormat="1" s="34"/>
    <row r="1086" customFormat="1" s="34"/>
    <row r="1087" customFormat="1" s="34"/>
    <row r="1088" customFormat="1" s="34"/>
    <row r="1089" customFormat="1" s="34"/>
    <row r="1090" customFormat="1" s="34"/>
    <row r="1091" customFormat="1" s="34"/>
    <row r="1092" customFormat="1" s="34"/>
    <row r="1093" customFormat="1" s="34"/>
    <row r="1094" customFormat="1" s="34"/>
    <row r="1095" customFormat="1" s="34"/>
    <row r="1096" customFormat="1" s="34"/>
    <row r="1097" customFormat="1" s="34"/>
    <row r="1098" customFormat="1" s="34"/>
    <row r="1099" customFormat="1" s="34"/>
    <row r="1100" customFormat="1" s="34"/>
    <row r="1101" customFormat="1" s="34"/>
    <row r="1102" customFormat="1" s="34"/>
    <row r="1103" customFormat="1" s="34"/>
    <row r="1104" customFormat="1" s="34"/>
    <row r="1105" customFormat="1" s="34"/>
    <row r="1106" customFormat="1" s="34"/>
    <row r="1107" customFormat="1" s="34"/>
    <row r="1108" customFormat="1" s="34"/>
    <row r="1109" customFormat="1" s="34"/>
    <row r="1110" customFormat="1" s="34"/>
    <row r="1111" customFormat="1" s="34"/>
    <row r="1112" customFormat="1" s="34"/>
    <row r="1113" customFormat="1" s="34"/>
    <row r="1114" customFormat="1" s="34"/>
    <row r="1115" customFormat="1" s="34"/>
    <row r="1116" customFormat="1" s="34"/>
    <row r="1117" customFormat="1" s="34"/>
    <row r="1118" customFormat="1" s="34"/>
    <row r="1119" customFormat="1" s="34"/>
    <row r="1120" customFormat="1" s="34"/>
    <row r="1121" customFormat="1" s="34"/>
    <row r="1122" customFormat="1" s="34"/>
    <row r="1123" customFormat="1" s="34"/>
    <row r="1124" customFormat="1" s="34"/>
    <row r="1125" customFormat="1" s="34"/>
    <row r="1126" customFormat="1" s="34"/>
    <row r="1127" customFormat="1" s="34"/>
    <row r="1128" customFormat="1" s="34"/>
    <row r="1129" customFormat="1" s="34"/>
    <row r="1130" customFormat="1" s="34"/>
    <row r="1131" customFormat="1" s="34"/>
    <row r="1132" customFormat="1" s="34"/>
    <row r="1133" customFormat="1" s="34"/>
    <row r="1134" customFormat="1" s="34"/>
    <row r="1135" customFormat="1" s="34"/>
    <row r="1136" customFormat="1" s="34"/>
    <row r="1137" customFormat="1" s="34"/>
    <row r="1138" customFormat="1" s="34"/>
    <row r="1139" customFormat="1" s="34"/>
    <row r="1140" customFormat="1" s="34"/>
    <row r="1141" customFormat="1" s="34"/>
    <row r="1142" customFormat="1" s="34"/>
    <row r="1143" customFormat="1" s="34"/>
    <row r="1144" customFormat="1" s="34"/>
    <row r="1145" customFormat="1" s="34"/>
    <row r="1146" customFormat="1" s="34"/>
    <row r="1147" customFormat="1" s="34"/>
    <row r="1148" customFormat="1" s="34"/>
    <row r="1149" customFormat="1" s="34"/>
    <row r="1150" customFormat="1" s="34"/>
    <row r="1151" customFormat="1" s="34"/>
    <row r="1152" customFormat="1" s="34"/>
    <row r="1153" customFormat="1" s="34"/>
    <row r="1154" customFormat="1" s="34"/>
    <row r="1155" customFormat="1" s="34"/>
    <row r="1156" customFormat="1" s="34"/>
    <row r="1157" customFormat="1" s="34"/>
    <row r="1158" customFormat="1" s="34"/>
    <row r="1159" customFormat="1" s="34"/>
    <row r="1160" customFormat="1" s="34"/>
    <row r="1161" customFormat="1" s="34"/>
    <row r="1162" customFormat="1" s="34"/>
    <row r="1163" customFormat="1" s="34"/>
    <row r="1164" customFormat="1" s="34"/>
    <row r="1165" customFormat="1" s="34"/>
    <row r="1166" customFormat="1" s="34"/>
    <row r="1167" customFormat="1" s="34"/>
    <row r="1168" customFormat="1" s="34"/>
    <row r="1169" customFormat="1" s="34"/>
    <row r="1170" customFormat="1" s="34"/>
    <row r="1171" customFormat="1" s="34"/>
    <row r="1172" customFormat="1" s="34"/>
    <row r="1173" customFormat="1" s="34"/>
    <row r="1174" customFormat="1" s="34"/>
    <row r="1175" customFormat="1" s="34"/>
    <row r="1176" customFormat="1" s="34"/>
    <row r="1177" customFormat="1" s="34"/>
    <row r="1178" customFormat="1" s="34"/>
    <row r="1179" customFormat="1" s="34"/>
    <row r="1180" customFormat="1" s="34"/>
    <row r="1181" customFormat="1" s="34"/>
    <row r="1182" customFormat="1" s="34"/>
    <row r="1183" customFormat="1" s="34"/>
    <row r="1184" customFormat="1" s="34"/>
    <row r="1185" customFormat="1" s="34"/>
    <row r="1186" customFormat="1" s="34"/>
    <row r="1187" customFormat="1" s="34"/>
    <row r="1188" customFormat="1" s="34"/>
    <row r="1189" customFormat="1" s="34"/>
    <row r="1190" customFormat="1" s="34"/>
    <row r="1191" customFormat="1" s="34"/>
    <row r="1192" customFormat="1" s="34"/>
    <row r="1193" customFormat="1" s="34"/>
    <row r="1194" customFormat="1" s="34"/>
    <row r="1195" customFormat="1" s="34"/>
    <row r="1196" customFormat="1" s="34"/>
    <row r="1197" customFormat="1" s="34"/>
    <row r="1198" customFormat="1" s="34"/>
    <row r="1199" customFormat="1" s="34"/>
    <row r="1200" customFormat="1" s="34"/>
    <row r="1201" customFormat="1" s="34"/>
    <row r="1202" customFormat="1" s="34"/>
    <row r="1203" customFormat="1" s="34"/>
    <row r="1204" customFormat="1" s="34"/>
    <row r="1205" customFormat="1" s="34"/>
    <row r="1206" customFormat="1" s="34"/>
    <row r="1207" customFormat="1" s="34"/>
    <row r="1208" customFormat="1" s="34"/>
    <row r="1209" customFormat="1" s="34"/>
    <row r="1210" customFormat="1" s="34"/>
    <row r="1211" customFormat="1" s="34"/>
    <row r="1212" customFormat="1" s="34"/>
    <row r="1213" customFormat="1" s="34"/>
    <row r="1214" customFormat="1" s="34"/>
    <row r="1215" customFormat="1" s="34"/>
    <row r="1216" customFormat="1" s="34"/>
    <row r="1217" customFormat="1" s="34"/>
    <row r="1218" customFormat="1" s="34"/>
    <row r="1219" customFormat="1" s="34"/>
    <row r="1220" customFormat="1" s="34"/>
    <row r="1221" customFormat="1" s="34"/>
    <row r="1222" customFormat="1" s="34"/>
    <row r="1223" customFormat="1" s="34"/>
    <row r="1224" customFormat="1" s="34"/>
    <row r="1225" customFormat="1" s="34"/>
    <row r="1226" customFormat="1" s="34"/>
    <row r="1227" customFormat="1" s="34"/>
    <row r="1228" customFormat="1" s="34"/>
    <row r="1229" customFormat="1" s="34"/>
    <row r="1230" customFormat="1" s="34"/>
    <row r="1231" customFormat="1" s="34"/>
    <row r="1232" customFormat="1" s="34"/>
    <row r="1233" customFormat="1" s="34"/>
    <row r="1234" customFormat="1" s="34"/>
    <row r="1235" customFormat="1" s="34"/>
    <row r="1236" customFormat="1" s="34"/>
    <row r="1237" customFormat="1" s="34"/>
    <row r="1238" customFormat="1" s="34"/>
    <row r="1239" customFormat="1" s="34"/>
    <row r="1240" customFormat="1" s="34"/>
    <row r="1241" customFormat="1" s="34"/>
    <row r="1242" customFormat="1" s="34"/>
    <row r="1243" customFormat="1" s="34"/>
    <row r="1244" customFormat="1" s="34"/>
    <row r="1245" customFormat="1" s="34"/>
    <row r="1246" customFormat="1" s="34"/>
    <row r="1247" customFormat="1" s="34"/>
    <row r="1248" customFormat="1" s="34"/>
    <row r="1249" customFormat="1" s="34"/>
    <row r="1250" customFormat="1" s="34"/>
    <row r="1251" customFormat="1" s="34"/>
    <row r="1252" customFormat="1" s="34"/>
    <row r="1253" customFormat="1" s="34"/>
    <row r="1254" customFormat="1" s="34"/>
    <row r="1255" customFormat="1" s="34"/>
    <row r="1256" customFormat="1" s="34"/>
    <row r="1257" customFormat="1" s="34"/>
    <row r="1258" customFormat="1" s="34"/>
    <row r="1259" customFormat="1" s="34"/>
    <row r="1260" customFormat="1" s="34"/>
    <row r="1261" customFormat="1" s="34"/>
    <row r="1262" customFormat="1" s="34"/>
    <row r="1263" customFormat="1" s="34"/>
    <row r="1264" customFormat="1" s="34"/>
    <row r="1265" customFormat="1" s="34"/>
    <row r="1266" customFormat="1" s="34"/>
    <row r="1267" customFormat="1" s="34"/>
    <row r="1268" customFormat="1" s="34"/>
    <row r="1269" customFormat="1" s="34"/>
    <row r="1270" customFormat="1" s="34"/>
    <row r="1271" customFormat="1" s="34"/>
    <row r="1272" customFormat="1" s="34"/>
    <row r="1273" customFormat="1" s="34"/>
    <row r="1274" customFormat="1" s="34"/>
    <row r="1275" customFormat="1" s="34"/>
    <row r="1276" customFormat="1" s="34"/>
    <row r="1277" customFormat="1" s="34"/>
    <row r="1278" customFormat="1" s="34"/>
    <row r="1279" customFormat="1" s="34"/>
    <row r="1280" customFormat="1" s="34"/>
    <row r="1281" customFormat="1" s="34"/>
    <row r="1282" customFormat="1" s="34"/>
    <row r="1283" customFormat="1" s="34"/>
    <row r="1284" customFormat="1" s="34"/>
    <row r="1285" customFormat="1" s="34"/>
    <row r="1286" customFormat="1" s="34"/>
    <row r="1287" customFormat="1" s="34"/>
    <row r="1288" customFormat="1" s="34"/>
    <row r="1289" customFormat="1" s="34"/>
    <row r="1290" customFormat="1" s="34"/>
    <row r="1291" customFormat="1" s="34"/>
    <row r="1292" customFormat="1" s="34"/>
    <row r="1293" customFormat="1" s="34"/>
    <row r="1294" customFormat="1" s="34"/>
    <row r="1295" customFormat="1" s="34"/>
    <row r="1296" customFormat="1" s="34"/>
    <row r="1297" customFormat="1" s="34"/>
    <row r="1298" customFormat="1" s="34"/>
    <row r="1299" customFormat="1" s="34"/>
    <row r="1300" customFormat="1" s="34"/>
    <row r="1301" customFormat="1" s="34"/>
    <row r="1302" customFormat="1" s="34"/>
    <row r="1303" customFormat="1" s="34"/>
    <row r="1304" customFormat="1" s="34"/>
    <row r="1305" customFormat="1" s="34"/>
    <row r="1306" customFormat="1" s="34"/>
    <row r="1307" customFormat="1" s="34"/>
    <row r="1308" customFormat="1" s="34"/>
    <row r="1309" customFormat="1" s="34"/>
    <row r="1310" customFormat="1" s="34"/>
    <row r="1311" customFormat="1" s="34"/>
    <row r="1312" customFormat="1" s="34"/>
    <row r="1313" customFormat="1" s="34"/>
    <row r="1314" customFormat="1" s="34"/>
    <row r="1315" customFormat="1" s="34"/>
    <row r="1316" customFormat="1" s="34"/>
    <row r="1317" customFormat="1" s="34"/>
    <row r="1318" customFormat="1" s="34"/>
    <row r="1319" customFormat="1" s="34"/>
    <row r="1320" customFormat="1" s="34"/>
    <row r="1321" customFormat="1" s="34"/>
    <row r="1322" customFormat="1" s="34"/>
    <row r="1323" customFormat="1" s="34"/>
    <row r="1324" customFormat="1" s="34"/>
    <row r="1325" customFormat="1" s="34"/>
    <row r="1326" customFormat="1" s="34"/>
    <row r="1327" customFormat="1" s="34"/>
    <row r="1328" customFormat="1" s="34"/>
    <row r="1329" customFormat="1" s="34"/>
    <row r="1330" customFormat="1" s="34"/>
    <row r="1331" customFormat="1" s="34"/>
    <row r="1332" customFormat="1" s="34"/>
    <row r="1333" customFormat="1" s="34"/>
    <row r="1334" customFormat="1" s="34"/>
    <row r="1335" customFormat="1" s="34"/>
    <row r="1336" customFormat="1" s="34"/>
    <row r="1337" customFormat="1" s="34"/>
    <row r="1338" customFormat="1" s="34"/>
    <row r="1339" customFormat="1" s="34"/>
    <row r="1340" customFormat="1" s="34"/>
    <row r="1341" customFormat="1" s="34"/>
    <row r="1342" customFormat="1" s="34"/>
    <row r="1343" customFormat="1" s="34"/>
    <row r="1344" customFormat="1" s="34"/>
    <row r="1345" customFormat="1" s="34"/>
    <row r="1346" customFormat="1" s="34"/>
    <row r="1347" customFormat="1" s="34"/>
    <row r="1348" customFormat="1" s="34"/>
    <row r="1349" customFormat="1" s="34"/>
    <row r="1350" customFormat="1" s="34"/>
    <row r="1351" customFormat="1" s="34"/>
    <row r="1352" customFormat="1" s="34"/>
    <row r="1353" customFormat="1" s="34"/>
    <row r="1354" customFormat="1" s="34"/>
    <row r="1355" customFormat="1" s="34"/>
    <row r="1356" customFormat="1" s="34"/>
    <row r="1357" customFormat="1" s="34"/>
    <row r="1358" customFormat="1" s="34"/>
    <row r="1359" customFormat="1" s="34"/>
    <row r="1360" customFormat="1" s="34"/>
    <row r="1361" customFormat="1" s="34"/>
    <row r="1362" customFormat="1" s="34"/>
    <row r="1363" customFormat="1" s="34"/>
    <row r="1364" customFormat="1" s="34"/>
    <row r="1365" customFormat="1" s="34"/>
    <row r="1366" customFormat="1" s="34"/>
    <row r="1367" customFormat="1" s="34"/>
    <row r="1368" customFormat="1" s="34"/>
    <row r="1369" customFormat="1" s="34"/>
    <row r="1370" customFormat="1" s="34"/>
    <row r="1371" customFormat="1" s="34"/>
    <row r="1372" customFormat="1" s="34"/>
    <row r="1373" customFormat="1" s="34"/>
    <row r="1374" customFormat="1" s="34"/>
    <row r="1375" customFormat="1" s="34"/>
    <row r="1376" customFormat="1" s="34"/>
    <row r="1377" customFormat="1" s="34"/>
    <row r="1378" customFormat="1" s="34"/>
    <row r="1379" customFormat="1" s="34"/>
    <row r="1380" customFormat="1" s="34"/>
    <row r="1381" customFormat="1" s="34"/>
    <row r="1382" customFormat="1" s="34"/>
    <row r="1383" customFormat="1" s="34"/>
    <row r="1384" customFormat="1" s="34"/>
    <row r="1385" customFormat="1" s="34"/>
    <row r="1386" customFormat="1" s="34"/>
    <row r="1387" customFormat="1" s="34"/>
    <row r="1388" customFormat="1" s="34"/>
    <row r="1389" customFormat="1" s="34"/>
    <row r="1390" customFormat="1" s="34"/>
    <row r="1391" customFormat="1" s="34"/>
    <row r="1392" customFormat="1" s="34"/>
    <row r="1393" customFormat="1" s="34"/>
    <row r="1394" customFormat="1" s="34"/>
    <row r="1395" customFormat="1" s="34"/>
    <row r="1396" customFormat="1" s="34"/>
    <row r="1397" customFormat="1" s="34"/>
    <row r="1398" customFormat="1" s="34"/>
    <row r="1399" customFormat="1" s="34"/>
    <row r="1400" customFormat="1" s="34"/>
    <row r="1401" customFormat="1" s="34"/>
    <row r="1402" customFormat="1" s="34"/>
    <row r="1403" customFormat="1" s="34"/>
    <row r="1404" customFormat="1" s="34"/>
    <row r="1405" customFormat="1" s="34"/>
    <row r="1406" customFormat="1" s="34"/>
    <row r="1407" customFormat="1" s="34"/>
    <row r="1408" customFormat="1" s="34"/>
    <row r="1409" customFormat="1" s="34"/>
    <row r="1410" customFormat="1" s="34"/>
    <row r="1411" customFormat="1" s="34"/>
    <row r="1412" customFormat="1" s="34"/>
    <row r="1413" customFormat="1" s="34"/>
    <row r="1414" customFormat="1" s="34"/>
    <row r="1415" customFormat="1" s="34"/>
    <row r="1416" customFormat="1" s="34"/>
    <row r="1417" customFormat="1" s="34"/>
    <row r="1418" customFormat="1" s="34"/>
    <row r="1419" customFormat="1" s="34"/>
    <row r="1420" customFormat="1" s="34"/>
    <row r="1421" customFormat="1" s="34"/>
    <row r="1422" customFormat="1" s="34"/>
    <row r="1423" customFormat="1" s="34"/>
    <row r="1424" customFormat="1" s="34"/>
    <row r="1425" customFormat="1" s="34"/>
    <row r="1426" customFormat="1" s="34"/>
    <row r="1427" customFormat="1" s="34"/>
    <row r="1428" customFormat="1" s="34"/>
    <row r="1429" customFormat="1" s="34"/>
    <row r="1430" customFormat="1" s="34"/>
    <row r="1431" customFormat="1" s="34"/>
    <row r="1432" customFormat="1" s="34"/>
    <row r="1433" customFormat="1" s="34"/>
    <row r="1434" customFormat="1" s="34"/>
    <row r="1435" customFormat="1" s="34"/>
    <row r="1436" customFormat="1" s="34"/>
    <row r="1437" customFormat="1" s="34"/>
    <row r="1438" customFormat="1" s="34"/>
    <row r="1439" customFormat="1" s="34"/>
    <row r="1440" customFormat="1" s="34"/>
    <row r="1441" customFormat="1" s="34"/>
    <row r="1442" customFormat="1" s="34"/>
    <row r="1443" customFormat="1" s="34"/>
    <row r="1444" customFormat="1" s="34"/>
    <row r="1445" customFormat="1" s="34"/>
    <row r="1446" customFormat="1" s="34"/>
    <row r="1447" customFormat="1" s="34"/>
    <row r="1448" customFormat="1" s="34"/>
    <row r="1449" customFormat="1" s="34"/>
    <row r="1450" customFormat="1" s="34"/>
    <row r="1451" customFormat="1" s="34"/>
    <row r="1452" customFormat="1" s="34"/>
    <row r="1453" customFormat="1" s="34"/>
    <row r="1454" customFormat="1" s="34"/>
    <row r="1455" customFormat="1" s="34"/>
    <row r="1456" customFormat="1" s="34"/>
    <row r="1457" customFormat="1" s="34"/>
    <row r="1458" customFormat="1" s="34"/>
    <row r="1459" customFormat="1" s="34"/>
    <row r="1460" customFormat="1" s="34"/>
    <row r="1461" customFormat="1" s="34"/>
    <row r="1462" customFormat="1" s="34"/>
    <row r="1463" customFormat="1" s="34"/>
    <row r="1464" customFormat="1" s="34"/>
    <row r="1465" customFormat="1" s="34"/>
    <row r="1466" customFormat="1" s="34"/>
    <row r="1467" customFormat="1" s="34"/>
    <row r="1468" customFormat="1" s="34"/>
    <row r="1469" customFormat="1" s="34"/>
    <row r="1470" customFormat="1" s="34"/>
    <row r="1471" customFormat="1" s="34"/>
    <row r="1472" customFormat="1" s="34"/>
    <row r="1473" customFormat="1" s="34"/>
    <row r="1474" customFormat="1" s="34"/>
    <row r="1475" customFormat="1" s="34"/>
    <row r="1476" customFormat="1" s="34"/>
    <row r="1477" customFormat="1" s="34"/>
    <row r="1478" customFormat="1" s="34"/>
    <row r="1479" customFormat="1" s="34"/>
    <row r="1480" customFormat="1" s="34"/>
    <row r="1481" customFormat="1" s="34"/>
    <row r="1482" customFormat="1" s="34"/>
    <row r="1483" customFormat="1" s="34"/>
    <row r="1484" customFormat="1" s="34"/>
    <row r="1485" customFormat="1" s="34"/>
    <row r="1486" customFormat="1" s="34"/>
    <row r="1487" customFormat="1" s="34"/>
    <row r="1488" customFormat="1" s="34"/>
    <row r="1489" customFormat="1" s="34"/>
    <row r="1490" customFormat="1" s="34"/>
    <row r="1491" customFormat="1" s="34"/>
    <row r="1492" customFormat="1" s="34"/>
    <row r="1493" customFormat="1" s="34"/>
    <row r="1494" customFormat="1" s="34"/>
    <row r="1495" customFormat="1" s="34"/>
    <row r="1496" customFormat="1" s="34"/>
    <row r="1497" customFormat="1" s="34"/>
    <row r="1498" customFormat="1" s="34"/>
    <row r="1499" customFormat="1" s="34"/>
    <row r="1500" customFormat="1" s="34"/>
    <row r="1501" customFormat="1" s="34"/>
    <row r="1502" customFormat="1" s="34"/>
    <row r="1503" customFormat="1" s="34"/>
    <row r="1504" customFormat="1" s="34"/>
    <row r="1505" customFormat="1" s="34"/>
    <row r="1506" customFormat="1" s="34"/>
    <row r="1507" customFormat="1" s="34"/>
    <row r="1508" customFormat="1" s="34"/>
    <row r="1509" customFormat="1" s="34"/>
    <row r="1510" customFormat="1" s="34"/>
    <row r="1511" customFormat="1" s="34"/>
    <row r="1512" customFormat="1" s="34"/>
    <row r="1513" customFormat="1" s="34"/>
    <row r="1514" customFormat="1" s="34"/>
    <row r="1515" customFormat="1" s="34"/>
    <row r="1516" customFormat="1" s="34"/>
    <row r="1517" customFormat="1" s="34"/>
    <row r="1518" customFormat="1" s="34"/>
    <row r="1519" customFormat="1" s="34"/>
    <row r="1520" customFormat="1" s="34"/>
    <row r="1521" customFormat="1" s="34"/>
    <row r="1522" customFormat="1" s="34"/>
    <row r="1523" customFormat="1" s="34"/>
    <row r="1524" customFormat="1" s="34"/>
    <row r="1525" customFormat="1" s="34"/>
    <row r="1526" customFormat="1" s="34"/>
    <row r="1527" customFormat="1" s="34"/>
    <row r="1528" customFormat="1" s="34"/>
    <row r="1529" customFormat="1" s="34"/>
    <row r="1530" customFormat="1" s="34"/>
    <row r="1531" customFormat="1" s="34"/>
    <row r="1532" customFormat="1" s="34"/>
    <row r="1533" customFormat="1" s="34"/>
    <row r="1534" customFormat="1" s="34"/>
    <row r="1535" customFormat="1" s="34"/>
    <row r="1536" customFormat="1" s="34"/>
    <row r="1537" customFormat="1" s="34"/>
    <row r="1538" customFormat="1" s="34"/>
    <row r="1539" customFormat="1" s="34"/>
    <row r="1540" customFormat="1" s="34"/>
    <row r="1541" customFormat="1" s="34"/>
    <row r="1542" customFormat="1" s="34"/>
    <row r="1543" customFormat="1" s="34"/>
    <row r="1544" customFormat="1" s="34"/>
    <row r="1545" customFormat="1" s="34"/>
    <row r="1546" customFormat="1" s="34"/>
    <row r="1547" customFormat="1" s="34"/>
    <row r="1548" customFormat="1" s="34"/>
    <row r="1549" customFormat="1" s="34"/>
    <row r="1550" customFormat="1" s="34"/>
    <row r="1551" customFormat="1" s="34"/>
    <row r="1552" customFormat="1" s="34"/>
    <row r="1553" customFormat="1" s="34"/>
    <row r="1554" customFormat="1" s="34"/>
    <row r="1555" customFormat="1" s="34"/>
    <row r="1556" customFormat="1" s="34"/>
    <row r="1557" customFormat="1" s="34"/>
    <row r="1558" customFormat="1" s="34"/>
    <row r="1559" customFormat="1" s="34"/>
    <row r="1560" customFormat="1" s="34"/>
    <row r="1561" customFormat="1" s="34"/>
    <row r="1562" customFormat="1" s="34"/>
    <row r="1563" customFormat="1" s="34"/>
    <row r="1564" customFormat="1" s="34"/>
    <row r="1565" customFormat="1" s="34"/>
    <row r="1566" customFormat="1" s="34"/>
    <row r="1567" customFormat="1" s="34"/>
    <row r="1568" customFormat="1" s="34"/>
    <row r="1569" customFormat="1" s="34"/>
    <row r="1570" customFormat="1" s="34"/>
    <row r="1571" customFormat="1" s="34"/>
    <row r="1572" customFormat="1" s="34"/>
    <row r="1573" customFormat="1" s="34"/>
    <row r="1574" customFormat="1" s="34"/>
    <row r="1575" customFormat="1" s="34"/>
    <row r="1576" customFormat="1" s="34"/>
    <row r="1577" customFormat="1" s="34"/>
    <row r="1578" customFormat="1" s="34"/>
    <row r="1579" customFormat="1" s="34"/>
    <row r="1580" customFormat="1" s="34"/>
    <row r="1581" customFormat="1" s="34"/>
    <row r="1582" customFormat="1" s="34"/>
    <row r="1583" customFormat="1" s="34"/>
    <row r="1584" customFormat="1" s="34"/>
    <row r="1585" customFormat="1" s="34"/>
    <row r="1586" customFormat="1" s="34"/>
    <row r="1587" customFormat="1" s="34"/>
    <row r="1588" customFormat="1" s="34"/>
    <row r="1589" customFormat="1" s="34"/>
    <row r="1590" customFormat="1" s="34"/>
    <row r="1591" customFormat="1" s="34"/>
    <row r="1592" customFormat="1" s="34"/>
    <row r="1593" customFormat="1" s="34"/>
    <row r="1594" customFormat="1" s="34"/>
    <row r="1595" customFormat="1" s="34"/>
    <row r="1596" customFormat="1" s="34"/>
    <row r="1597" customFormat="1" s="34"/>
    <row r="1598" customFormat="1" s="34"/>
    <row r="1599" customFormat="1" s="34"/>
    <row r="1600" customFormat="1" s="34"/>
    <row r="1601" customFormat="1" s="34"/>
    <row r="1602" customFormat="1" s="34"/>
    <row r="1603" customFormat="1" s="34"/>
    <row r="1604" customFormat="1" s="34"/>
    <row r="1605" customFormat="1" s="34"/>
    <row r="1606" customFormat="1" s="34"/>
    <row r="1607" customFormat="1" s="34"/>
    <row r="1608" customFormat="1" s="34"/>
    <row r="1609" customFormat="1" s="34"/>
    <row r="1610" customFormat="1" s="34"/>
    <row r="1611" customFormat="1" s="34"/>
    <row r="1612" customFormat="1" s="34"/>
    <row r="1613" customFormat="1" s="34"/>
    <row r="1614" customFormat="1" s="34"/>
    <row r="1615" customFormat="1" s="34"/>
    <row r="1616" customFormat="1" s="34"/>
    <row r="1617" customFormat="1" s="34"/>
    <row r="1618" customFormat="1" s="34"/>
    <row r="1619" customFormat="1" s="34"/>
    <row r="1620" customFormat="1" s="34"/>
    <row r="1621" customFormat="1" s="34"/>
    <row r="1622" customFormat="1" s="34"/>
    <row r="1623" customFormat="1" s="34"/>
    <row r="1624" customFormat="1" s="34"/>
    <row r="1625" customFormat="1" s="34"/>
    <row r="1626" customFormat="1" s="34"/>
    <row r="1627" customFormat="1" s="34"/>
    <row r="1628" customFormat="1" s="34"/>
    <row r="1629" customFormat="1" s="34"/>
    <row r="1630" customFormat="1" s="34"/>
    <row r="1631" customFormat="1" s="34"/>
    <row r="1632" customFormat="1" s="34"/>
    <row r="1633" customFormat="1" s="34"/>
    <row r="1634" customFormat="1" s="34"/>
    <row r="1635" customFormat="1" s="34"/>
    <row r="1636" customFormat="1" s="34"/>
    <row r="1637" customFormat="1" s="34"/>
    <row r="1638" customFormat="1" s="34"/>
    <row r="1639" customFormat="1" s="34"/>
    <row r="1640" customFormat="1" s="34"/>
    <row r="1641" customFormat="1" s="34"/>
    <row r="1642" customFormat="1" s="34"/>
    <row r="1643" customFormat="1" s="34"/>
    <row r="1644" customFormat="1" s="34"/>
    <row r="1645" customFormat="1" s="34"/>
    <row r="1646" customFormat="1" s="34"/>
    <row r="1647" customFormat="1" s="34"/>
    <row r="1648" customFormat="1" s="34"/>
    <row r="1649" customFormat="1" s="34"/>
    <row r="1650" customFormat="1" s="34"/>
    <row r="1651" customFormat="1" s="34"/>
    <row r="1652" customFormat="1" s="34"/>
    <row r="1653" customFormat="1" s="34"/>
    <row r="1654" customFormat="1" s="34"/>
    <row r="1655" customFormat="1" s="34"/>
    <row r="1656" customFormat="1" s="34"/>
    <row r="1657" customFormat="1" s="34"/>
    <row r="1658" customFormat="1" s="34"/>
    <row r="1659" customFormat="1" s="34"/>
    <row r="1660" customFormat="1" s="34"/>
    <row r="1661" customFormat="1" s="34"/>
    <row r="1662" customFormat="1" s="34"/>
    <row r="1663" customFormat="1" s="34"/>
    <row r="1664" customFormat="1" s="34"/>
    <row r="1665" customFormat="1" s="34"/>
    <row r="1666" customFormat="1" s="34"/>
    <row r="1667" customFormat="1" s="34"/>
    <row r="1668" customFormat="1" s="34"/>
    <row r="1669" customFormat="1" s="34"/>
    <row r="1670" customFormat="1" s="34"/>
    <row r="1671" customFormat="1" s="34"/>
    <row r="1672" customFormat="1" s="34"/>
    <row r="1673" customFormat="1" s="34"/>
    <row r="1674" customFormat="1" s="34"/>
    <row r="1675" customFormat="1" s="34"/>
    <row r="1676" customFormat="1" s="34"/>
    <row r="1677" customFormat="1" s="34"/>
    <row r="1678" customFormat="1" s="34"/>
    <row r="1679" customFormat="1" s="34"/>
    <row r="1680" customFormat="1" s="34"/>
    <row r="1681" customFormat="1" s="34"/>
    <row r="1682" customFormat="1" s="34"/>
    <row r="1683" customFormat="1" s="34"/>
    <row r="1684" customFormat="1" s="34"/>
    <row r="1685" customFormat="1" s="34"/>
    <row r="1686" customFormat="1" s="34"/>
    <row r="1687" customFormat="1" s="34"/>
    <row r="1688" customFormat="1" s="34"/>
    <row r="1689" customFormat="1" s="34"/>
    <row r="1690" customFormat="1" s="34"/>
    <row r="1691" customFormat="1" s="34"/>
    <row r="1692" customFormat="1" s="34"/>
    <row r="1693" customFormat="1" s="34"/>
    <row r="1694" customFormat="1" s="34"/>
    <row r="1695" customFormat="1" s="34"/>
    <row r="1696" customFormat="1" s="34"/>
    <row r="1697" customFormat="1" s="34"/>
    <row r="1698" customFormat="1" s="34"/>
    <row r="1699" customFormat="1" s="34"/>
    <row r="1700" customFormat="1" s="34"/>
    <row r="1701" customFormat="1" s="34"/>
    <row r="1702" customFormat="1" s="34"/>
    <row r="1703" customFormat="1" s="34"/>
    <row r="1704" customFormat="1" s="34"/>
    <row r="1705" customFormat="1" s="34"/>
    <row r="1706" customFormat="1" s="34"/>
    <row r="1707" customFormat="1" s="34"/>
    <row r="1708" customFormat="1" s="34"/>
    <row r="1709" customFormat="1" s="34"/>
    <row r="1710" customFormat="1" s="34"/>
    <row r="1711" customFormat="1" s="34"/>
    <row r="1712" customFormat="1" s="34"/>
    <row r="1713" customFormat="1" s="34"/>
    <row r="1714" customFormat="1" s="34"/>
    <row r="1715" customFormat="1" s="34"/>
    <row r="1716" customFormat="1" s="34"/>
    <row r="1717" customFormat="1" s="34"/>
    <row r="1718" customFormat="1" s="34"/>
    <row r="1719" customFormat="1" s="34"/>
    <row r="1720" customFormat="1" s="34"/>
    <row r="1721" customFormat="1" s="34"/>
    <row r="1722" customFormat="1" s="34"/>
    <row r="1723" customFormat="1" s="34"/>
    <row r="1724" customFormat="1" s="34"/>
    <row r="1725" customFormat="1" s="34"/>
    <row r="1726" customFormat="1" s="34"/>
    <row r="1727" customFormat="1" s="34"/>
    <row r="1728" customFormat="1" s="34"/>
    <row r="1729" customFormat="1" s="34"/>
    <row r="1730" customFormat="1" s="34"/>
    <row r="1731" customFormat="1" s="34"/>
    <row r="1732" customFormat="1" s="34"/>
    <row r="1733" customFormat="1" s="34"/>
    <row r="1734" customFormat="1" s="34"/>
    <row r="1735" customFormat="1" s="34"/>
    <row r="1736" customFormat="1" s="34"/>
    <row r="1737" customFormat="1" s="34"/>
    <row r="1738" customFormat="1" s="34"/>
    <row r="1739" customFormat="1" s="34"/>
    <row r="1740" customFormat="1" s="34"/>
    <row r="1741" customFormat="1" s="34"/>
    <row r="1742" customFormat="1" s="34"/>
    <row r="1743" customFormat="1" s="34"/>
    <row r="1744" customFormat="1" s="34"/>
    <row r="1745" customFormat="1" s="34"/>
    <row r="1746" customFormat="1" s="34"/>
    <row r="1747" customFormat="1" s="34"/>
    <row r="1748" customFormat="1" s="34"/>
    <row r="1749" customFormat="1" s="34"/>
    <row r="1750" customFormat="1" s="34"/>
    <row r="1751" customFormat="1" s="34"/>
    <row r="1752" customFormat="1" s="34"/>
    <row r="1753" customFormat="1" s="34"/>
    <row r="1754" customFormat="1" s="34"/>
    <row r="1755" customFormat="1" s="34"/>
    <row r="1756" customFormat="1" s="34"/>
    <row r="1757" customFormat="1" s="34"/>
    <row r="1758" customFormat="1" s="34"/>
    <row r="1759" customFormat="1" s="34"/>
    <row r="1760" customFormat="1" s="34"/>
    <row r="1761" customFormat="1" s="34"/>
    <row r="1762" customFormat="1" s="34"/>
    <row r="1763" customFormat="1" s="34"/>
    <row r="1764" customFormat="1" s="34"/>
    <row r="1765" customFormat="1" s="34"/>
    <row r="1766" customFormat="1" s="34"/>
    <row r="1767" customFormat="1" s="34"/>
    <row r="1768" customFormat="1" s="34"/>
    <row r="1769" customFormat="1" s="34"/>
    <row r="1770" customFormat="1" s="34"/>
    <row r="1771" customFormat="1" s="34"/>
    <row r="1772" customFormat="1" s="34"/>
    <row r="1773" customFormat="1" s="34"/>
    <row r="1774" customFormat="1" s="34"/>
    <row r="1775" customFormat="1" s="34"/>
    <row r="1776" customFormat="1" s="34"/>
    <row r="1777" customFormat="1" s="34"/>
    <row r="1778" customFormat="1" s="34"/>
    <row r="1779" customFormat="1" s="34"/>
    <row r="1780" customFormat="1" s="34"/>
    <row r="1781" customFormat="1" s="34"/>
    <row r="1782" customFormat="1" s="34"/>
    <row r="1783" customFormat="1" s="34"/>
    <row r="1784" customFormat="1" s="34"/>
    <row r="1785" customFormat="1" s="34"/>
    <row r="1786" customFormat="1" s="34"/>
    <row r="1787" customFormat="1" s="34"/>
    <row r="1788" customFormat="1" s="34"/>
    <row r="1789" customFormat="1" s="34"/>
    <row r="1790" customFormat="1" s="34"/>
    <row r="1791" customFormat="1" s="34"/>
    <row r="1792" customFormat="1" s="34"/>
    <row r="1793" customFormat="1" s="34"/>
    <row r="1794" customFormat="1" s="34"/>
    <row r="1795" customFormat="1" s="34"/>
    <row r="1796" customFormat="1" s="34"/>
    <row r="1797" customFormat="1" s="34"/>
    <row r="1798" customFormat="1" s="34"/>
    <row r="1799" customFormat="1" s="34"/>
    <row r="1800" customFormat="1" s="34"/>
    <row r="1801" customFormat="1" s="34"/>
    <row r="1802" customFormat="1" s="34"/>
    <row r="1803" customFormat="1" s="34"/>
    <row r="1804" customFormat="1" s="34"/>
    <row r="1805" customFormat="1" s="34"/>
    <row r="1806" customFormat="1" s="34"/>
    <row r="1807" customFormat="1" s="34"/>
    <row r="1808" customFormat="1" s="34"/>
    <row r="1809" customFormat="1" s="34"/>
    <row r="1810" customFormat="1" s="34"/>
    <row r="1811" customFormat="1" s="34"/>
    <row r="1812" customFormat="1" s="34"/>
    <row r="1813" customFormat="1" s="34"/>
    <row r="1814" customFormat="1" s="34"/>
    <row r="1815" customFormat="1" s="34"/>
    <row r="1816" customFormat="1" s="34"/>
    <row r="1817" customFormat="1" s="34"/>
    <row r="1818" customFormat="1" s="34"/>
    <row r="1819" customFormat="1" s="34"/>
    <row r="1820" customFormat="1" s="34"/>
    <row r="1821" customFormat="1" s="34"/>
    <row r="1822" customFormat="1" s="34"/>
    <row r="1823" customFormat="1" s="34"/>
    <row r="1824" customFormat="1" s="34"/>
    <row r="1825" customFormat="1" s="34"/>
    <row r="1826" customFormat="1" s="34"/>
    <row r="1827" customFormat="1" s="34"/>
    <row r="1828" customFormat="1" s="34"/>
    <row r="1829" customFormat="1" s="34"/>
    <row r="1830" customFormat="1" s="34"/>
    <row r="1831" customFormat="1" s="34"/>
    <row r="1832" customFormat="1" s="34"/>
    <row r="1833" customFormat="1" s="34"/>
    <row r="1834" customFormat="1" s="34"/>
    <row r="1835" customFormat="1" s="34"/>
    <row r="1836" customFormat="1" s="34"/>
    <row r="1837" customFormat="1" s="34"/>
    <row r="1838" customFormat="1" s="34"/>
    <row r="1839" customFormat="1" s="34"/>
    <row r="1840" customFormat="1" s="34"/>
    <row r="1841" customFormat="1" s="34"/>
    <row r="1842" customFormat="1" s="34"/>
    <row r="1843" customFormat="1" s="34"/>
    <row r="1844" customFormat="1" s="34"/>
    <row r="1845" customFormat="1" s="34"/>
    <row r="1846" customFormat="1" s="34"/>
    <row r="1847" customFormat="1" s="34"/>
    <row r="1848" customFormat="1" s="34"/>
    <row r="1849" customFormat="1" s="34"/>
    <row r="1850" customFormat="1" s="34"/>
    <row r="1851" customFormat="1" s="34"/>
    <row r="1852" customFormat="1" s="34"/>
    <row r="1853" customFormat="1" s="34"/>
    <row r="1854" customFormat="1" s="34"/>
    <row r="1855" customFormat="1" s="34"/>
    <row r="1856" customFormat="1" s="34"/>
    <row r="1857" customFormat="1" s="34"/>
    <row r="1858" customFormat="1" s="34"/>
    <row r="1859" customFormat="1" s="34"/>
    <row r="1860" customFormat="1" s="34"/>
    <row r="1861" customFormat="1" s="34"/>
    <row r="1862" customFormat="1" s="34"/>
    <row r="1863" customFormat="1" s="34"/>
    <row r="1864" customFormat="1" s="34"/>
    <row r="1865" customFormat="1" s="34"/>
    <row r="1866" customFormat="1" s="34"/>
    <row r="1867" customFormat="1" s="34"/>
    <row r="1868" customFormat="1" s="34"/>
    <row r="1869" customFormat="1" s="34"/>
    <row r="1870" customFormat="1" s="34"/>
    <row r="1871" customFormat="1" s="34"/>
    <row r="1872" customFormat="1" s="34"/>
    <row r="1873" customFormat="1" s="34"/>
    <row r="1874" customFormat="1" s="34"/>
    <row r="1875" customFormat="1" s="34"/>
    <row r="1876" customFormat="1" s="34"/>
    <row r="1877" customFormat="1" s="34"/>
    <row r="1878" customFormat="1" s="34"/>
    <row r="1879" customFormat="1" s="34"/>
    <row r="1880" customFormat="1" s="34"/>
    <row r="1881" customFormat="1" s="34"/>
    <row r="1882" customFormat="1" s="34"/>
    <row r="1883" customFormat="1" s="34"/>
    <row r="1884" customFormat="1" s="34"/>
    <row r="1885" customFormat="1" s="34"/>
    <row r="1886" customFormat="1" s="34"/>
    <row r="1887" customFormat="1" s="34"/>
    <row r="1888" customFormat="1" s="34"/>
    <row r="1889" customFormat="1" s="34"/>
    <row r="1890" customFormat="1" s="34"/>
    <row r="1891" customFormat="1" s="34"/>
    <row r="1892" customFormat="1" s="34"/>
    <row r="1893" customFormat="1" s="34"/>
    <row r="1894" customFormat="1" s="34"/>
    <row r="1895" customFormat="1" s="34"/>
    <row r="1896" customFormat="1" s="34"/>
    <row r="1897" customFormat="1" s="34"/>
    <row r="1898" customFormat="1" s="34"/>
    <row r="1899" customFormat="1" s="34"/>
    <row r="1900" customFormat="1" s="34"/>
    <row r="1901" customFormat="1" s="34"/>
    <row r="1902" customFormat="1" s="34"/>
    <row r="1903" customFormat="1" s="34"/>
    <row r="1904" customFormat="1" s="34"/>
    <row r="1905" customFormat="1" s="34"/>
    <row r="1906" customFormat="1" s="34"/>
    <row r="1907" customFormat="1" s="34"/>
    <row r="1908" customFormat="1" s="34"/>
    <row r="1909" customFormat="1" s="34"/>
    <row r="1910" customFormat="1" s="34"/>
    <row r="1911" customFormat="1" s="34"/>
    <row r="1912" customFormat="1" s="34"/>
    <row r="1913" customFormat="1" s="34"/>
    <row r="1914" customFormat="1" s="34"/>
    <row r="1915" customFormat="1" s="34"/>
    <row r="1916" customFormat="1" s="34"/>
    <row r="1917" customFormat="1" s="34"/>
    <row r="1918" customFormat="1" s="34"/>
    <row r="1919" customFormat="1" s="34"/>
    <row r="1920" customFormat="1" s="34"/>
    <row r="1921" customFormat="1" s="34"/>
    <row r="1922" customFormat="1" s="34"/>
    <row r="1923" customFormat="1" s="34"/>
    <row r="1924" customFormat="1" s="34"/>
    <row r="1925" customFormat="1" s="34"/>
    <row r="1926" customFormat="1" s="34"/>
    <row r="1927" customFormat="1" s="34"/>
    <row r="1928" customFormat="1" s="34"/>
    <row r="1929" customFormat="1" s="34"/>
    <row r="1930" customFormat="1" s="34"/>
    <row r="1931" customFormat="1" s="34"/>
    <row r="1932" customFormat="1" s="34"/>
    <row r="1933" customFormat="1" s="34"/>
    <row r="1934" customFormat="1" s="34"/>
    <row r="1935" customFormat="1" s="34"/>
    <row r="1936" customFormat="1" s="34"/>
    <row r="1937" customFormat="1" s="34"/>
    <row r="1938" customFormat="1" s="34"/>
    <row r="1939" customFormat="1" s="34"/>
    <row r="1940" customFormat="1" s="34"/>
    <row r="1941" customFormat="1" s="34"/>
    <row r="1942" customFormat="1" s="34"/>
    <row r="1943" customFormat="1" s="34"/>
    <row r="1944" customFormat="1" s="34"/>
    <row r="1945" customFormat="1" s="34"/>
    <row r="1946" customFormat="1" s="34"/>
    <row r="1947" customFormat="1" s="34"/>
    <row r="1948" customFormat="1" s="34"/>
    <row r="1949" customFormat="1" s="34"/>
    <row r="1950" customFormat="1" s="34"/>
    <row r="1951" customFormat="1" s="34"/>
    <row r="1952" customFormat="1" s="34"/>
    <row r="1953" customFormat="1" s="34"/>
    <row r="1954" customFormat="1" s="34"/>
    <row r="1955" customFormat="1" s="34"/>
    <row r="1956" customFormat="1" s="34"/>
    <row r="1957" customFormat="1" s="34"/>
    <row r="1958" customFormat="1" s="34"/>
    <row r="1959" customFormat="1" s="34"/>
    <row r="1960" customFormat="1" s="34"/>
    <row r="1961" customFormat="1" s="34"/>
    <row r="1962" customFormat="1" s="34"/>
    <row r="1963" customFormat="1" s="34"/>
    <row r="1964" customFormat="1" s="34"/>
    <row r="1965" customFormat="1" s="34"/>
    <row r="1966" customFormat="1" s="34"/>
    <row r="1967" customFormat="1" s="34"/>
    <row r="1968" customFormat="1" s="34"/>
    <row r="1969" customFormat="1" s="34"/>
    <row r="1970" customFormat="1" s="34"/>
    <row r="1971" customFormat="1" s="34"/>
    <row r="1972" customFormat="1" s="34"/>
    <row r="1973" customFormat="1" s="34"/>
    <row r="1974" customFormat="1" s="34"/>
    <row r="1975" customFormat="1" s="34"/>
    <row r="1976" customFormat="1" s="34"/>
    <row r="1977" customFormat="1" s="34"/>
    <row r="1978" customFormat="1" s="34"/>
    <row r="1979" customFormat="1" s="34"/>
    <row r="1980" customFormat="1" s="34"/>
    <row r="1981" customFormat="1" s="34"/>
    <row r="1982" customFormat="1" s="34"/>
    <row r="1983" customFormat="1" s="34"/>
    <row r="1984" customFormat="1" s="34"/>
    <row r="1985" customFormat="1" s="34"/>
    <row r="1986" customFormat="1" s="34"/>
    <row r="1987" customFormat="1" s="34"/>
    <row r="1988" customFormat="1" s="34"/>
    <row r="1989" customFormat="1" s="34"/>
    <row r="1990" customFormat="1" s="34"/>
    <row r="1991" customFormat="1" s="34"/>
    <row r="1992" customFormat="1" s="34"/>
    <row r="1993" customFormat="1" s="34"/>
    <row r="1994" customFormat="1" s="34"/>
    <row r="1995" customFormat="1" s="34"/>
    <row r="1996" customFormat="1" s="34"/>
    <row r="1997" customFormat="1" s="34"/>
    <row r="1998" customFormat="1" s="34"/>
    <row r="1999" customFormat="1" s="34"/>
    <row r="2000" customFormat="1" s="34"/>
    <row r="262083">
      <c r="B262083" s="66"/>
      <c r="G262083" s="66"/>
    </row>
    <row r="262084">
      <c r="B262084" s="66"/>
      <c r="G262084" s="66"/>
    </row>
  </sheetData>
  <autoFilter ref="A1:W87"/>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X1"/>
  <sheetViews>
    <sheetView workbookViewId="0"/>
  </sheetViews>
  <sheetFormatPr defaultRowHeight="14.0" customHeight="1"/>
  <cols>
    <col min="1" max="1" style="34" width="10.2"/>
    <col min="2" max="2" style="34" width="9.0"/>
    <col min="3" max="3" style="34" width="12.18"/>
    <col min="4" max="4" style="34" width="38.82"/>
    <col min="5" max="6" style="34" width="13.24"/>
    <col min="7" max="7" style="34" width="62.14"/>
    <col min="8" max="8" style="34" width="53.92"/>
    <col min="9" max="10" style="34" width="13.24"/>
    <col min="11" max="11" style="34" width="16.42"/>
    <col min="12" max="12" style="34" width="13.64"/>
    <col min="13" max="13" style="34" width="27.82"/>
    <col min="14" max="14" style="34" width="21.33"/>
    <col min="15" max="15" style="34" width="16.69"/>
    <col min="16" max="19" style="34" width="13.24"/>
    <col min="20" max="20" style="34" width="49.42"/>
    <col min="21" max="21" style="34" width="51.8"/>
    <col min="22" max="22" style="34" width="36.3"/>
    <col min="23" max="23" style="34" width="51.8"/>
    <col min="24" max="24" style="34" width="37.09"/>
    <col min="25" max="2048" style="34" width="13.24"/>
  </cols>
  <sheetData>
    <row r="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52</v>
      </c>
      <c r="X1" s="78" t="s">
        <v>62</v>
      </c>
    </row>
    <row r="2">
      <c r="A2" s="36"/>
      <c r="B2" s="34"/>
      <c r="C2" s="34"/>
      <c r="D2" s="37"/>
      <c r="K2" s="34"/>
      <c r="M2" s="34"/>
      <c r="N2" s="34"/>
      <c r="O2" s="34"/>
      <c r="P2" s="34"/>
      <c r="S2" s="40"/>
      <c r="X2" s="79"/>
    </row>
    <row r="3">
      <c r="A3" s="36"/>
      <c r="B3" s="34"/>
      <c r="C3" s="34"/>
      <c r="D3" s="37"/>
      <c r="K3" s="34"/>
      <c r="M3" s="34"/>
      <c r="N3" s="34"/>
      <c r="O3" s="34"/>
      <c r="P3" s="34"/>
      <c r="S3" s="40"/>
    </row>
    <row r="4">
      <c r="A4" s="36"/>
      <c r="B4" s="34"/>
      <c r="C4" s="34"/>
      <c r="D4" s="37"/>
      <c r="K4" s="34"/>
      <c r="M4" s="34"/>
      <c r="N4" s="34"/>
      <c r="O4" s="34"/>
      <c r="P4" s="34"/>
      <c r="S4" s="40"/>
    </row>
    <row r="5">
      <c r="A5" s="36"/>
      <c r="B5" s="34"/>
      <c r="C5" s="34"/>
      <c r="D5" s="37"/>
      <c r="K5" s="34"/>
      <c r="M5" s="34"/>
      <c r="N5" s="34"/>
      <c r="O5" s="34"/>
      <c r="P5" s="34"/>
      <c r="S5" s="40"/>
    </row>
    <row r="6">
      <c r="A6" s="36"/>
      <c r="B6" s="34"/>
      <c r="C6" s="34"/>
      <c r="D6" s="37"/>
      <c r="K6" s="34"/>
      <c r="M6" s="34"/>
      <c r="N6" s="34"/>
      <c r="O6" s="34"/>
      <c r="P6" s="34"/>
      <c r="S6" s="40"/>
    </row>
    <row r="7">
      <c r="A7" s="36"/>
      <c r="B7" s="34"/>
      <c r="C7" s="34"/>
      <c r="D7" s="37"/>
      <c r="G7" s="42"/>
      <c r="K7" s="34"/>
      <c r="M7" s="34"/>
      <c r="N7" s="34"/>
      <c r="O7" s="34"/>
      <c r="P7" s="34"/>
      <c r="S7" s="40"/>
    </row>
    <row r="8">
      <c r="A8" s="36"/>
      <c r="B8" s="34"/>
      <c r="C8" s="34"/>
      <c r="D8" s="37"/>
      <c r="G8" s="42"/>
      <c r="K8" s="34"/>
      <c r="M8" s="34"/>
      <c r="N8" s="34"/>
      <c r="O8" s="34"/>
      <c r="P8" s="34"/>
      <c r="Q8" s="54"/>
      <c r="S8" s="40"/>
    </row>
    <row r="9">
      <c r="A9" s="36"/>
      <c r="B9" s="34"/>
      <c r="C9" s="34"/>
      <c r="D9" s="37"/>
      <c r="G9" s="42"/>
      <c r="K9" s="34"/>
      <c r="M9" s="34"/>
      <c r="N9" s="34"/>
      <c r="O9" s="34"/>
      <c r="P9" s="34"/>
      <c r="Q9" s="54"/>
      <c r="S9" s="40"/>
    </row>
    <row r="10">
      <c r="A10" s="36"/>
      <c r="B10" s="34"/>
      <c r="C10" s="34"/>
      <c r="D10" s="37"/>
      <c r="K10" s="34"/>
      <c r="M10" s="34"/>
      <c r="N10" s="34"/>
      <c r="O10" s="34"/>
      <c r="P10" s="34"/>
      <c r="Q10" s="43"/>
      <c r="S10" s="40"/>
    </row>
    <row r="11">
      <c r="A11" s="36"/>
      <c r="B11" s="34"/>
      <c r="C11" s="34"/>
      <c r="D11" s="37"/>
      <c r="G11" s="42"/>
      <c r="K11" s="34"/>
      <c r="M11" s="34"/>
      <c r="N11" s="34"/>
      <c r="O11" s="34"/>
      <c r="P11" s="34"/>
      <c r="S11" s="40"/>
    </row>
    <row r="12" customFormat="1" s="34">
      <c r="A12" s="36"/>
      <c r="B12" s="34"/>
      <c r="C12" s="34"/>
      <c r="D12" s="37"/>
      <c r="K12" s="34"/>
      <c r="M12" s="34"/>
      <c r="N12" s="34"/>
      <c r="O12" s="34"/>
      <c r="P12" s="34"/>
      <c r="S12" s="40"/>
    </row>
    <row r="13" customFormat="1" s="34">
      <c r="A13" s="36"/>
      <c r="B13" s="34"/>
      <c r="C13" s="34"/>
      <c r="D13" s="37"/>
      <c r="K13" s="34"/>
      <c r="M13" s="34"/>
      <c r="N13" s="34"/>
      <c r="O13" s="34"/>
      <c r="P13" s="34"/>
      <c r="S13" s="40"/>
    </row>
    <row r="14" customFormat="1" s="34">
      <c r="A14" s="36"/>
      <c r="B14" s="34"/>
      <c r="C14" s="34"/>
      <c r="K14" s="34"/>
      <c r="M14" s="34"/>
      <c r="N14" s="34"/>
      <c r="O14" s="34"/>
      <c r="P14" s="34"/>
      <c r="S14" s="40"/>
    </row>
    <row r="15" customFormat="1" s="34">
      <c r="A15" s="36"/>
      <c r="B15" s="34"/>
      <c r="C15" s="34"/>
      <c r="D15" s="37"/>
      <c r="K15" s="34"/>
      <c r="M15" s="34"/>
      <c r="N15" s="34"/>
      <c r="O15" s="34"/>
      <c r="P15" s="34"/>
      <c r="S15" s="40"/>
    </row>
    <row r="16" customFormat="1" s="34">
      <c r="A16" s="36"/>
      <c r="B16" s="34"/>
      <c r="C16" s="34"/>
      <c r="D16" s="37"/>
      <c r="K16" s="34"/>
      <c r="M16" s="34"/>
      <c r="N16" s="34"/>
      <c r="O16" s="34"/>
      <c r="P16" s="34"/>
      <c r="S16" s="40"/>
    </row>
    <row r="17" customFormat="1" s="34">
      <c r="A17" s="36"/>
      <c r="B17" s="34"/>
      <c r="C17" s="34"/>
      <c r="D17" s="37"/>
      <c r="K17" s="34"/>
      <c r="M17" s="34"/>
      <c r="N17" s="34"/>
      <c r="O17" s="34"/>
      <c r="P17" s="34"/>
      <c r="S17" s="40"/>
    </row>
    <row r="18" customFormat="1" s="34">
      <c r="A18" s="36"/>
      <c r="B18" s="34"/>
      <c r="C18" s="34"/>
      <c r="D18" s="37"/>
      <c r="K18" s="34"/>
      <c r="M18" s="34"/>
      <c r="N18" s="34"/>
      <c r="O18" s="34"/>
      <c r="P18" s="34"/>
      <c r="S18" s="40"/>
    </row>
    <row r="19">
      <c r="A19" s="36"/>
      <c r="B19" s="34"/>
      <c r="C19" s="34"/>
      <c r="D19" s="37"/>
      <c r="K19" s="34"/>
      <c r="M19" s="34"/>
      <c r="N19" s="34"/>
      <c r="O19" s="34"/>
      <c r="P19" s="34"/>
      <c r="Q19" s="43"/>
      <c r="S19" s="40"/>
    </row>
    <row r="20" customFormat="1" s="34">
      <c r="A20" s="36"/>
      <c r="B20" s="34"/>
      <c r="C20" s="34"/>
      <c r="D20" s="37"/>
      <c r="K20" s="34"/>
      <c r="M20" s="34"/>
      <c r="N20" s="34"/>
      <c r="O20" s="34"/>
      <c r="P20" s="34"/>
      <c r="S20" s="40"/>
    </row>
    <row r="21" customFormat="1" s="34">
      <c r="A21" s="36"/>
      <c r="B21" s="34"/>
      <c r="C21" s="34"/>
      <c r="D21" s="37"/>
      <c r="K21" s="34"/>
      <c r="M21" s="34"/>
      <c r="N21" s="34"/>
      <c r="O21" s="34"/>
      <c r="P21" s="34"/>
      <c r="S21" s="40"/>
    </row>
    <row r="22" customFormat="1" s="34">
      <c r="A22" s="36"/>
      <c r="B22" s="34"/>
      <c r="C22" s="34"/>
      <c r="D22" s="37"/>
      <c r="K22" s="34"/>
      <c r="M22" s="34"/>
      <c r="N22" s="34"/>
      <c r="O22" s="34"/>
      <c r="P22" s="34"/>
      <c r="S22" s="40"/>
    </row>
    <row r="23" customFormat="1" s="34">
      <c r="A23" s="36"/>
      <c r="B23" s="34"/>
      <c r="C23" s="34"/>
      <c r="D23" s="59"/>
      <c r="K23" s="34"/>
      <c r="M23" s="34"/>
      <c r="N23" s="34"/>
      <c r="O23" s="34"/>
      <c r="P23" s="34"/>
      <c r="S23" s="40"/>
    </row>
    <row r="24" customFormat="1" s="34">
      <c r="A24" s="36"/>
      <c r="B24" s="34"/>
      <c r="C24" s="34"/>
      <c r="D24" s="37"/>
      <c r="K24" s="34"/>
      <c r="M24" s="34"/>
      <c r="N24" s="34"/>
      <c r="O24" s="34"/>
      <c r="P24" s="34"/>
      <c r="S24" s="40"/>
    </row>
    <row r="25" customFormat="1" s="34">
      <c r="A25" s="36"/>
      <c r="B25" s="34"/>
      <c r="C25" s="34"/>
      <c r="D25" s="37"/>
      <c r="K25" s="34"/>
      <c r="M25" s="34"/>
      <c r="N25" s="34"/>
      <c r="O25" s="34"/>
      <c r="P25" s="34"/>
      <c r="S25" s="40"/>
    </row>
    <row r="26" customFormat="1" s="34">
      <c r="A26" s="36"/>
      <c r="B26" s="34"/>
      <c r="C26" s="34"/>
      <c r="D26" s="37"/>
      <c r="K26" s="34"/>
      <c r="M26" s="34"/>
      <c r="N26" s="34"/>
      <c r="O26" s="34"/>
      <c r="P26" s="34"/>
      <c r="S26" s="40"/>
    </row>
    <row r="27" customFormat="1" s="34">
      <c r="A27" s="36"/>
      <c r="B27" s="34"/>
      <c r="C27" s="34"/>
      <c r="D27" s="37"/>
      <c r="K27" s="34"/>
      <c r="M27" s="34"/>
      <c r="N27" s="34"/>
      <c r="O27" s="34"/>
      <c r="P27" s="34"/>
      <c r="S27" s="40"/>
    </row>
    <row r="28" customFormat="1" s="34">
      <c r="A28" s="36"/>
      <c r="B28" s="34"/>
      <c r="C28" s="34"/>
      <c r="D28" s="37"/>
      <c r="K28" s="34"/>
      <c r="M28" s="34"/>
      <c r="N28" s="34"/>
      <c r="O28" s="34"/>
      <c r="P28" s="34"/>
      <c r="S28" s="40"/>
    </row>
    <row r="29" customFormat="1" s="34">
      <c r="A29" s="36"/>
      <c r="B29" s="34"/>
      <c r="C29" s="34"/>
      <c r="D29" s="37"/>
      <c r="K29" s="34"/>
      <c r="M29" s="34"/>
      <c r="N29" s="34"/>
      <c r="O29" s="34"/>
      <c r="P29" s="34"/>
      <c r="S29" s="40"/>
    </row>
    <row r="30" customFormat="1" s="34">
      <c r="A30" s="36"/>
      <c r="B30" s="34"/>
      <c r="C30" s="34"/>
      <c r="D30" s="37"/>
      <c r="K30" s="34"/>
      <c r="M30" s="34"/>
      <c r="N30" s="34"/>
      <c r="O30" s="34"/>
      <c r="P30" s="34"/>
      <c r="S30" s="40"/>
    </row>
    <row r="31" customFormat="1" s="34">
      <c r="A31" s="36"/>
      <c r="B31" s="34"/>
      <c r="C31" s="34"/>
      <c r="D31" s="37"/>
      <c r="K31" s="34"/>
      <c r="M31" s="34"/>
      <c r="N31" s="34"/>
      <c r="O31" s="34"/>
      <c r="P31" s="34"/>
      <c r="S31" s="40"/>
    </row>
    <row r="32" customFormat="1" s="34">
      <c r="A32" s="36"/>
      <c r="B32" s="34"/>
      <c r="C32" s="34"/>
      <c r="D32" s="37"/>
      <c r="K32" s="34"/>
      <c r="M32" s="34"/>
      <c r="N32" s="34"/>
      <c r="O32" s="34"/>
      <c r="P32" s="34"/>
      <c r="S32" s="40"/>
    </row>
    <row r="33" customFormat="1" s="34">
      <c r="A33" s="36"/>
      <c r="B33" s="34"/>
      <c r="C33" s="34"/>
      <c r="D33" s="37"/>
      <c r="K33" s="34"/>
      <c r="M33" s="34"/>
      <c r="N33" s="34"/>
      <c r="O33" s="34"/>
      <c r="P33" s="34"/>
      <c r="S33" s="40"/>
    </row>
    <row r="34" customFormat="1" s="34">
      <c r="A34" s="36"/>
      <c r="B34" s="34"/>
      <c r="C34" s="34"/>
      <c r="D34" s="37"/>
      <c r="K34" s="34"/>
      <c r="M34" s="34"/>
      <c r="N34" s="34"/>
      <c r="O34" s="34"/>
      <c r="P34" s="34"/>
      <c r="S34" s="40"/>
    </row>
    <row r="35" customFormat="1" s="34">
      <c r="A35" s="36"/>
      <c r="B35" s="34"/>
      <c r="C35" s="34"/>
      <c r="D35" s="37"/>
      <c r="K35" s="34"/>
      <c r="M35" s="34"/>
      <c r="N35" s="34"/>
      <c r="O35" s="34"/>
      <c r="P35" s="34"/>
      <c r="S35" s="40"/>
    </row>
    <row r="36" customFormat="1" s="34">
      <c r="A36" s="36"/>
      <c r="B36" s="34"/>
      <c r="C36" s="34"/>
      <c r="D36" s="37"/>
      <c r="K36" s="34"/>
      <c r="M36" s="34"/>
      <c r="N36" s="34"/>
      <c r="O36" s="34"/>
      <c r="P36" s="34"/>
      <c r="S36" s="40"/>
    </row>
    <row r="37" customFormat="1" s="34">
      <c r="A37" s="36"/>
      <c r="B37" s="34"/>
      <c r="C37" s="34"/>
      <c r="D37" s="37"/>
      <c r="K37" s="34"/>
      <c r="M37" s="34"/>
      <c r="N37" s="34"/>
      <c r="O37" s="34"/>
      <c r="P37" s="34"/>
      <c r="S37" s="40"/>
    </row>
    <row r="38" customFormat="1" s="34">
      <c r="A38" s="36"/>
      <c r="B38" s="34"/>
      <c r="C38" s="34"/>
      <c r="D38" s="37"/>
      <c r="K38" s="34"/>
      <c r="M38" s="34"/>
      <c r="N38" s="34"/>
      <c r="O38" s="34"/>
      <c r="P38" s="34"/>
      <c r="S38" s="40"/>
    </row>
    <row r="39" customFormat="1" s="34">
      <c r="A39" s="36"/>
      <c r="B39" s="34"/>
      <c r="C39" s="34"/>
      <c r="D39" s="37"/>
      <c r="K39" s="34"/>
      <c r="M39" s="34"/>
      <c r="N39" s="34"/>
      <c r="O39" s="34"/>
      <c r="P39" s="34"/>
      <c r="S39" s="40"/>
    </row>
    <row r="40" customFormat="1" s="34">
      <c r="A40" s="36"/>
      <c r="B40" s="34"/>
      <c r="C40" s="34"/>
      <c r="D40" s="37"/>
      <c r="K40" s="34"/>
      <c r="M40" s="34"/>
      <c r="N40" s="34"/>
      <c r="O40" s="34"/>
      <c r="P40" s="34"/>
      <c r="S40" s="40"/>
    </row>
    <row r="41" customFormat="1" s="34">
      <c r="A41" s="36"/>
      <c r="B41" s="34"/>
      <c r="C41" s="34"/>
      <c r="D41" s="37"/>
      <c r="K41" s="34"/>
      <c r="M41" s="34"/>
      <c r="N41" s="34"/>
      <c r="O41" s="34"/>
      <c r="P41" s="34"/>
      <c r="S41" s="40"/>
    </row>
    <row r="42" customFormat="1" s="34">
      <c r="A42" s="36"/>
      <c r="B42" s="34"/>
      <c r="C42" s="34"/>
      <c r="D42" s="37"/>
      <c r="K42" s="34"/>
      <c r="M42" s="34"/>
      <c r="N42" s="34"/>
      <c r="O42" s="34"/>
      <c r="P42" s="34"/>
      <c r="S42" s="40"/>
    </row>
    <row r="43" customFormat="1" s="34">
      <c r="A43" s="36"/>
      <c r="B43" s="34"/>
      <c r="C43" s="34"/>
      <c r="D43" s="37"/>
      <c r="K43" s="34"/>
      <c r="M43" s="34"/>
      <c r="N43" s="34"/>
      <c r="O43" s="34"/>
      <c r="P43" s="34"/>
      <c r="S43" s="40"/>
    </row>
    <row r="44" customFormat="1" s="34">
      <c r="A44" s="36"/>
      <c r="B44" s="34"/>
      <c r="C44" s="34"/>
      <c r="D44" s="37"/>
      <c r="K44" s="34"/>
      <c r="M44" s="34"/>
      <c r="N44" s="34"/>
      <c r="O44" s="34"/>
      <c r="P44" s="34"/>
      <c r="S44" s="40"/>
    </row>
    <row r="45" customFormat="1" s="34">
      <c r="A45" s="36"/>
      <c r="B45" s="34"/>
      <c r="C45" s="34"/>
      <c r="D45" s="37"/>
      <c r="K45" s="34"/>
      <c r="M45" s="34"/>
      <c r="N45" s="34"/>
      <c r="O45" s="34"/>
      <c r="P45" s="34"/>
      <c r="S45" s="40"/>
    </row>
    <row r="46" customFormat="1" s="34">
      <c r="A46" s="36"/>
      <c r="B46" s="34"/>
      <c r="C46" s="34"/>
      <c r="D46" s="37"/>
      <c r="K46" s="34"/>
      <c r="M46" s="34"/>
      <c r="N46" s="34"/>
      <c r="O46" s="34"/>
      <c r="P46" s="34"/>
      <c r="S46" s="40"/>
    </row>
    <row r="47" customFormat="1" s="34">
      <c r="A47" s="36"/>
      <c r="B47" s="34"/>
      <c r="C47" s="34"/>
      <c r="D47" s="37"/>
      <c r="K47" s="34"/>
      <c r="M47" s="34"/>
      <c r="N47" s="34"/>
      <c r="O47" s="34"/>
      <c r="P47" s="34"/>
      <c r="S47" s="40"/>
    </row>
    <row r="48" customFormat="1" s="34">
      <c r="A48" s="36"/>
      <c r="B48" s="34"/>
      <c r="C48" s="34"/>
      <c r="D48" s="37"/>
      <c r="K48" s="34"/>
      <c r="M48" s="34"/>
      <c r="N48" s="34"/>
      <c r="O48" s="34"/>
      <c r="P48" s="34"/>
      <c r="S48" s="40"/>
    </row>
    <row r="49" customFormat="1" s="34">
      <c r="A49" s="36"/>
      <c r="B49" s="34"/>
      <c r="C49" s="34"/>
      <c r="D49" s="37"/>
      <c r="K49" s="34"/>
      <c r="M49" s="34"/>
      <c r="N49" s="34"/>
      <c r="O49" s="34"/>
      <c r="P49" s="34"/>
      <c r="S49" s="40"/>
    </row>
    <row r="50" customFormat="1" s="34">
      <c r="A50" s="36"/>
      <c r="B50" s="34"/>
      <c r="C50" s="34"/>
      <c r="D50" s="37"/>
      <c r="K50" s="34"/>
      <c r="M50" s="34"/>
      <c r="N50" s="34"/>
      <c r="O50" s="34"/>
      <c r="P50" s="34"/>
      <c r="S50" s="40"/>
    </row>
    <row r="51" customFormat="1" s="34">
      <c r="A51" s="36"/>
      <c r="B51" s="34"/>
      <c r="C51" s="34"/>
      <c r="D51" s="37"/>
      <c r="K51" s="34"/>
      <c r="M51" s="34"/>
      <c r="N51" s="34"/>
      <c r="O51" s="34"/>
      <c r="P51" s="34"/>
      <c r="S51" s="40"/>
    </row>
    <row r="52" customFormat="1" s="34">
      <c r="A52" s="36"/>
      <c r="B52" s="34"/>
      <c r="C52" s="34"/>
      <c r="D52" s="37"/>
      <c r="K52" s="34"/>
      <c r="M52" s="34"/>
      <c r="N52" s="34"/>
      <c r="O52" s="34"/>
      <c r="P52" s="34"/>
      <c r="S52" s="40"/>
    </row>
    <row r="53" customFormat="1" s="34">
      <c r="A53" s="36"/>
      <c r="B53" s="34"/>
      <c r="C53" s="34"/>
      <c r="D53" s="37"/>
      <c r="K53" s="34"/>
      <c r="M53" s="34"/>
      <c r="N53" s="34"/>
      <c r="O53" s="34"/>
      <c r="P53" s="34"/>
      <c r="S53" s="40"/>
    </row>
    <row r="54" customFormat="1" s="34">
      <c r="A54" s="36"/>
      <c r="B54" s="34"/>
      <c r="C54" s="34"/>
      <c r="D54" s="37"/>
      <c r="K54" s="34"/>
      <c r="M54" s="34"/>
      <c r="N54" s="34"/>
      <c r="O54" s="34"/>
      <c r="P54" s="34"/>
      <c r="S54" s="40"/>
    </row>
    <row r="55" customFormat="1" s="34">
      <c r="A55" s="36"/>
      <c r="B55" s="34"/>
      <c r="C55" s="34"/>
      <c r="D55" s="37"/>
      <c r="K55" s="34"/>
      <c r="M55" s="34"/>
      <c r="N55" s="34"/>
      <c r="O55" s="34"/>
      <c r="P55" s="34"/>
      <c r="S55" s="40"/>
    </row>
    <row r="56" customFormat="1" s="34">
      <c r="A56" s="36"/>
      <c r="B56" s="34"/>
      <c r="C56" s="34"/>
      <c r="D56" s="37"/>
      <c r="K56" s="34"/>
      <c r="M56" s="34"/>
      <c r="N56" s="34"/>
      <c r="O56" s="34"/>
      <c r="P56" s="34"/>
      <c r="S56" s="40"/>
    </row>
    <row r="57" customFormat="1" s="34">
      <c r="A57" s="36"/>
      <c r="B57" s="34"/>
      <c r="C57" s="34"/>
      <c r="D57" s="37"/>
      <c r="K57" s="34"/>
      <c r="M57" s="34"/>
      <c r="N57" s="34"/>
      <c r="O57" s="34"/>
      <c r="P57" s="34"/>
      <c r="S57" s="40"/>
    </row>
    <row r="58" customFormat="1" s="34">
      <c r="A58" s="36"/>
      <c r="B58" s="34"/>
      <c r="C58" s="34"/>
      <c r="D58" s="37"/>
      <c r="K58" s="34"/>
      <c r="M58" s="34"/>
      <c r="N58" s="34"/>
      <c r="O58" s="34"/>
      <c r="P58" s="34"/>
      <c r="S58" s="40"/>
    </row>
    <row r="59" customFormat="1" s="34">
      <c r="A59" s="36"/>
      <c r="B59" s="34"/>
      <c r="C59" s="34"/>
      <c r="D59" s="37"/>
      <c r="K59" s="34"/>
      <c r="M59" s="34"/>
      <c r="N59" s="34"/>
      <c r="O59" s="34"/>
      <c r="P59" s="34"/>
      <c r="S59" s="40"/>
    </row>
    <row r="60" customFormat="1" s="34">
      <c r="A60" s="36"/>
      <c r="B60" s="34"/>
      <c r="C60" s="34"/>
      <c r="D60" s="37"/>
      <c r="K60" s="34"/>
      <c r="M60" s="34"/>
      <c r="N60" s="34"/>
      <c r="O60" s="34"/>
      <c r="P60" s="34"/>
      <c r="S60" s="40"/>
    </row>
    <row r="61" customFormat="1" s="34">
      <c r="A61" s="36"/>
      <c r="B61" s="34"/>
      <c r="C61" s="34"/>
      <c r="D61" s="37"/>
      <c r="K61" s="34"/>
      <c r="M61" s="34"/>
      <c r="N61" s="34"/>
      <c r="O61" s="34"/>
      <c r="P61" s="34"/>
      <c r="S61" s="40"/>
    </row>
    <row r="62" customFormat="1" s="34">
      <c r="A62" s="36"/>
      <c r="B62" s="34"/>
      <c r="C62" s="34"/>
      <c r="D62" s="37"/>
      <c r="K62" s="34"/>
      <c r="M62" s="34"/>
      <c r="N62" s="34"/>
      <c r="O62" s="34"/>
      <c r="P62" s="34"/>
      <c r="S62" s="40"/>
    </row>
    <row r="63" customFormat="1" s="34">
      <c r="A63" s="36"/>
      <c r="B63" s="34"/>
      <c r="C63" s="34"/>
      <c r="D63" s="37"/>
      <c r="K63" s="34"/>
      <c r="M63" s="34"/>
      <c r="N63" s="34"/>
      <c r="O63" s="34"/>
      <c r="P63" s="34"/>
      <c r="S63" s="40"/>
    </row>
    <row r="64" customFormat="1" s="34">
      <c r="A64" s="36"/>
      <c r="B64" s="34"/>
      <c r="C64" s="34"/>
      <c r="D64" s="37"/>
      <c r="K64" s="34"/>
      <c r="M64" s="34"/>
      <c r="N64" s="34"/>
      <c r="O64" s="34"/>
      <c r="P64" s="34"/>
      <c r="S64" s="40"/>
    </row>
    <row r="65" customFormat="1" s="34">
      <c r="A65" s="36"/>
      <c r="B65" s="34"/>
      <c r="C65" s="34"/>
      <c r="D65" s="37"/>
      <c r="K65" s="34"/>
      <c r="M65" s="34"/>
      <c r="N65" s="34"/>
      <c r="O65" s="34"/>
      <c r="P65" s="34"/>
      <c r="S65" s="40"/>
    </row>
    <row r="66" customFormat="1" s="34">
      <c r="A66" s="36"/>
      <c r="B66" s="34"/>
      <c r="C66" s="34"/>
      <c r="D66" s="37"/>
      <c r="K66" s="34"/>
      <c r="M66" s="34"/>
      <c r="N66" s="34"/>
      <c r="O66" s="34"/>
      <c r="P66" s="34"/>
      <c r="S66" s="40"/>
    </row>
    <row r="67" customFormat="1" s="34">
      <c r="A67" s="36"/>
      <c r="B67" s="34"/>
      <c r="C67" s="34"/>
      <c r="D67" s="37"/>
      <c r="K67" s="34"/>
      <c r="M67" s="34"/>
      <c r="N67" s="34"/>
      <c r="O67" s="34"/>
      <c r="P67" s="34"/>
      <c r="S67" s="40"/>
    </row>
    <row r="68" customFormat="1" s="34">
      <c r="A68" s="36"/>
      <c r="B68" s="34"/>
      <c r="C68" s="34"/>
      <c r="D68" s="37"/>
      <c r="K68" s="34"/>
      <c r="M68" s="34"/>
      <c r="N68" s="34"/>
      <c r="O68" s="34"/>
      <c r="P68" s="34"/>
      <c r="S68" s="40"/>
    </row>
    <row r="69" customFormat="1" s="34">
      <c r="A69" s="36"/>
      <c r="B69" s="34"/>
      <c r="C69" s="34"/>
      <c r="D69" s="37"/>
      <c r="K69" s="34"/>
      <c r="M69" s="34"/>
      <c r="N69" s="34"/>
      <c r="O69" s="34"/>
      <c r="P69" s="34"/>
      <c r="S69" s="40"/>
    </row>
    <row r="70" customFormat="1" s="34">
      <c r="A70" s="36"/>
      <c r="B70" s="34"/>
      <c r="C70" s="34"/>
      <c r="D70" s="37"/>
      <c r="K70" s="34"/>
      <c r="M70" s="34"/>
      <c r="N70" s="34"/>
      <c r="O70" s="34"/>
      <c r="P70" s="34"/>
      <c r="S70" s="40"/>
    </row>
    <row r="71" customFormat="1" s="34">
      <c r="A71" s="36"/>
      <c r="B71" s="34"/>
      <c r="C71" s="34"/>
      <c r="D71" s="37"/>
      <c r="K71" s="34"/>
      <c r="M71" s="34"/>
      <c r="N71" s="34"/>
      <c r="O71" s="34"/>
      <c r="P71" s="34"/>
      <c r="S71" s="40"/>
    </row>
    <row r="72" customFormat="1" s="34">
      <c r="A72" s="36"/>
      <c r="B72" s="34"/>
      <c r="C72" s="34"/>
      <c r="D72" s="37"/>
      <c r="K72" s="34"/>
      <c r="M72" s="34"/>
      <c r="N72" s="34"/>
      <c r="O72" s="34"/>
      <c r="P72" s="34"/>
      <c r="S72" s="40"/>
    </row>
    <row r="73" customFormat="1" s="34">
      <c r="A73" s="36"/>
      <c r="B73" s="34"/>
      <c r="C73" s="34"/>
      <c r="D73" s="37"/>
      <c r="K73" s="34"/>
      <c r="M73" s="34"/>
      <c r="N73" s="34"/>
      <c r="O73" s="34"/>
      <c r="P73" s="34"/>
      <c r="S73" s="40"/>
    </row>
    <row r="74" customFormat="1" s="34">
      <c r="A74" s="36"/>
      <c r="B74" s="34"/>
      <c r="C74" s="34"/>
      <c r="D74" s="37"/>
      <c r="K74" s="34"/>
      <c r="M74" s="34"/>
      <c r="N74" s="34"/>
      <c r="O74" s="34"/>
      <c r="P74" s="34"/>
      <c r="S74" s="40"/>
    </row>
    <row r="75" customFormat="1" s="34">
      <c r="A75" s="36"/>
      <c r="B75" s="34"/>
      <c r="C75" s="34"/>
      <c r="D75" s="37"/>
      <c r="K75" s="34"/>
      <c r="M75" s="34"/>
      <c r="N75" s="34"/>
      <c r="O75" s="34"/>
      <c r="P75" s="34"/>
      <c r="S75" s="40"/>
    </row>
    <row r="76" customFormat="1" s="34">
      <c r="A76" s="36"/>
      <c r="B76" s="34"/>
      <c r="C76" s="34"/>
      <c r="D76" s="37"/>
      <c r="K76" s="34"/>
      <c r="M76" s="34"/>
      <c r="N76" s="34"/>
      <c r="O76" s="34"/>
      <c r="P76" s="34"/>
      <c r="S76" s="40"/>
    </row>
    <row r="77" customFormat="1" s="34">
      <c r="A77" s="36"/>
      <c r="B77" s="34"/>
      <c r="C77" s="34"/>
      <c r="D77" s="37"/>
      <c r="K77" s="34"/>
      <c r="M77" s="34"/>
      <c r="N77" s="34"/>
      <c r="O77" s="34"/>
      <c r="P77" s="34"/>
      <c r="S77" s="40"/>
    </row>
    <row r="78" customFormat="1" s="34">
      <c r="A78" s="36"/>
      <c r="B78" s="34"/>
      <c r="C78" s="34"/>
      <c r="D78" s="37"/>
      <c r="K78" s="34"/>
      <c r="M78" s="34"/>
      <c r="N78" s="34"/>
      <c r="O78" s="34"/>
      <c r="P78" s="34"/>
      <c r="S78" s="40"/>
    </row>
    <row r="79" customFormat="1" s="34">
      <c r="A79" s="36"/>
      <c r="B79" s="34"/>
      <c r="C79" s="34"/>
      <c r="D79" s="37"/>
      <c r="K79" s="34"/>
      <c r="M79" s="34"/>
      <c r="N79" s="34"/>
      <c r="O79" s="34"/>
      <c r="P79" s="34"/>
      <c r="S79" s="40"/>
    </row>
    <row r="80" customFormat="1" s="34">
      <c r="A80" s="36"/>
      <c r="B80" s="34"/>
      <c r="C80" s="34"/>
      <c r="D80" s="37"/>
      <c r="K80" s="34"/>
      <c r="M80" s="34"/>
      <c r="N80" s="34"/>
      <c r="O80" s="34"/>
      <c r="P80" s="34"/>
      <c r="S80" s="40"/>
    </row>
    <row r="81" customFormat="1" s="34">
      <c r="A81" s="36"/>
      <c r="B81" s="34"/>
      <c r="C81" s="34"/>
      <c r="D81" s="37"/>
      <c r="K81" s="34"/>
      <c r="M81" s="34"/>
      <c r="N81" s="34"/>
      <c r="O81" s="34"/>
      <c r="P81" s="34"/>
      <c r="S81" s="40"/>
    </row>
    <row r="82" customFormat="1" s="34">
      <c r="A82" s="36"/>
      <c r="B82" s="34"/>
      <c r="C82" s="34"/>
      <c r="D82" s="37"/>
      <c r="K82" s="34"/>
      <c r="M82" s="34"/>
      <c r="N82" s="34"/>
      <c r="O82" s="34"/>
      <c r="P82" s="34"/>
      <c r="S82" s="40"/>
    </row>
    <row r="83" customFormat="1" s="34">
      <c r="A83" s="36"/>
      <c r="B83" s="34"/>
      <c r="C83" s="34"/>
      <c r="D83" s="37"/>
      <c r="K83" s="34"/>
      <c r="M83" s="34"/>
      <c r="N83" s="34"/>
      <c r="O83" s="34"/>
      <c r="P83" s="34"/>
      <c r="S83" s="40"/>
    </row>
    <row r="84" customFormat="1" s="34">
      <c r="A84" s="36"/>
      <c r="B84" s="34"/>
      <c r="C84" s="34"/>
      <c r="D84" s="37"/>
      <c r="K84" s="34"/>
      <c r="M84" s="34"/>
      <c r="N84" s="34"/>
      <c r="O84" s="34"/>
      <c r="P84" s="34"/>
      <c r="S84" s="40"/>
    </row>
    <row r="85" customFormat="1" s="34">
      <c r="A85" s="36"/>
      <c r="B85" s="34"/>
      <c r="C85" s="34"/>
      <c r="D85" s="37"/>
      <c r="K85" s="34"/>
      <c r="M85" s="34"/>
      <c r="N85" s="34"/>
      <c r="O85" s="34"/>
      <c r="P85" s="34"/>
      <c r="S85" s="40"/>
    </row>
    <row r="86" customFormat="1" s="34">
      <c r="A86" s="36"/>
      <c r="B86" s="34"/>
      <c r="C86" s="34"/>
      <c r="D86" s="37"/>
      <c r="K86" s="34"/>
      <c r="M86" s="34"/>
      <c r="N86" s="34"/>
      <c r="O86" s="34"/>
      <c r="P86" s="34"/>
      <c r="S86" s="40"/>
    </row>
    <row r="87" customFormat="1" s="34">
      <c r="A87" s="36"/>
      <c r="B87" s="34"/>
      <c r="C87" s="34"/>
      <c r="D87" s="37"/>
      <c r="K87" s="34"/>
      <c r="M87" s="34"/>
      <c r="N87" s="34"/>
      <c r="O87" s="34"/>
      <c r="P87" s="34"/>
      <c r="S87" s="40"/>
    </row>
    <row r="88" customFormat="1" s="34"/>
    <row r="89" customFormat="1" s="34"/>
    <row r="90" customFormat="1" s="34"/>
    <row r="91" customFormat="1" s="34"/>
    <row r="92" customFormat="1" s="34"/>
    <row r="93" customFormat="1" s="34"/>
    <row r="94" customFormat="1" s="34"/>
    <row r="95" customFormat="1" s="34"/>
    <row r="96" customFormat="1" s="34"/>
    <row r="97" customFormat="1" s="34"/>
    <row r="98" customFormat="1" s="34"/>
    <row r="99" customFormat="1" s="34"/>
    <row r="100" customFormat="1" s="34"/>
    <row r="101" customFormat="1" s="34"/>
    <row r="102" customFormat="1" s="34"/>
    <row r="103" customFormat="1" s="34"/>
    <row r="104" customFormat="1" s="34"/>
    <row r="105" customFormat="1" s="34"/>
    <row r="106" customFormat="1" s="34"/>
    <row r="107" customFormat="1" s="34"/>
    <row r="108" customFormat="1" s="34"/>
    <row r="109" customFormat="1" s="34"/>
    <row r="110" customFormat="1" s="34"/>
    <row r="111" customFormat="1" s="34"/>
    <row r="112" customFormat="1" s="34"/>
    <row r="113" customFormat="1" s="34"/>
    <row r="114" customFormat="1" s="34"/>
    <row r="115" customFormat="1" s="34"/>
    <row r="116" customFormat="1" s="34"/>
    <row r="117" customFormat="1" s="34"/>
    <row r="118" customFormat="1" s="34"/>
    <row r="119" customFormat="1" s="34"/>
    <row r="120" customFormat="1" s="34"/>
    <row r="121" customFormat="1" s="34"/>
    <row r="122" customFormat="1" s="34"/>
    <row r="123" customFormat="1" s="34"/>
    <row r="124" customFormat="1" s="34"/>
    <row r="125" customFormat="1" s="34"/>
    <row r="126" customFormat="1" s="34"/>
    <row r="127" customFormat="1" s="34"/>
    <row r="128" customFormat="1" s="34"/>
    <row r="129" customFormat="1" s="34"/>
    <row r="130" customFormat="1" s="34"/>
    <row r="131" customFormat="1" s="34"/>
    <row r="132" customFormat="1" s="34"/>
    <row r="133" customFormat="1" s="34"/>
    <row r="134" customFormat="1" s="34"/>
    <row r="135" customFormat="1" s="34"/>
    <row r="136" customFormat="1" s="34"/>
    <row r="137" customFormat="1" s="34"/>
    <row r="138" customFormat="1" s="34"/>
    <row r="139" customFormat="1" s="34"/>
    <row r="140" customFormat="1" s="34"/>
    <row r="141" customFormat="1" s="34"/>
    <row r="142" customFormat="1" s="34"/>
    <row r="143" customFormat="1" s="34"/>
    <row r="144" customFormat="1" s="34"/>
    <row r="145" customFormat="1" s="34"/>
    <row r="146" customFormat="1" s="34"/>
    <row r="147" customFormat="1" s="34"/>
    <row r="148" customFormat="1" s="34"/>
    <row r="149" customFormat="1" s="34"/>
    <row r="150" customFormat="1" s="34"/>
    <row r="151" customFormat="1" s="34"/>
    <row r="152" customFormat="1" s="34"/>
    <row r="153" customFormat="1" s="34"/>
    <row r="154" customFormat="1" s="34"/>
    <row r="155" customFormat="1" s="34"/>
    <row r="156" customFormat="1" s="34"/>
    <row r="157" customFormat="1" s="34"/>
    <row r="158" customFormat="1" s="34"/>
    <row r="159" customFormat="1" s="34"/>
    <row r="160" customFormat="1" s="34"/>
    <row r="161" customFormat="1" s="34"/>
    <row r="162" customFormat="1" s="34"/>
    <row r="163" customFormat="1" s="34"/>
    <row r="164" customFormat="1" s="34"/>
    <row r="165" customFormat="1" s="34"/>
    <row r="166" customFormat="1" s="34"/>
    <row r="167" customFormat="1" s="34"/>
    <row r="168" customFormat="1" s="34"/>
    <row r="169" customFormat="1" s="34"/>
    <row r="170" customFormat="1" s="34"/>
    <row r="171" customFormat="1" s="34"/>
    <row r="172" customFormat="1" s="34"/>
    <row r="173" customFormat="1" s="34"/>
    <row r="174" customFormat="1" s="34"/>
    <row r="175" customFormat="1" s="34"/>
    <row r="176" customFormat="1" s="34"/>
    <row r="177" customFormat="1" s="34"/>
    <row r="178" customFormat="1" s="34"/>
    <row r="179" customFormat="1" s="34"/>
    <row r="180" customFormat="1" s="34"/>
    <row r="181" customFormat="1" s="34"/>
    <row r="182" customFormat="1" s="34"/>
    <row r="183" customFormat="1" s="34"/>
    <row r="184" customFormat="1" s="34"/>
    <row r="185" customFormat="1" s="34"/>
    <row r="186" customFormat="1" s="34"/>
    <row r="187" customFormat="1" s="34"/>
    <row r="188" customFormat="1" s="34"/>
    <row r="189" customFormat="1" s="34"/>
    <row r="190" customFormat="1" s="34"/>
    <row r="191" customFormat="1" s="34"/>
    <row r="192" customFormat="1" s="34"/>
    <row r="193" customFormat="1" s="34"/>
    <row r="194" customFormat="1" s="34"/>
    <row r="195" customFormat="1" s="34"/>
    <row r="196" customFormat="1" s="34"/>
    <row r="197" customFormat="1" s="34"/>
    <row r="198" customFormat="1" s="34"/>
    <row r="199" customFormat="1" s="34"/>
    <row r="200" customFormat="1" s="34"/>
    <row r="201" customFormat="1" s="34"/>
    <row r="202" customFormat="1" s="34"/>
    <row r="203" customFormat="1" s="34"/>
    <row r="204" customFormat="1" s="34"/>
    <row r="205" customFormat="1" s="34"/>
    <row r="206" customFormat="1" s="34"/>
    <row r="207" customFormat="1" s="34"/>
    <row r="208" customFormat="1" s="34"/>
    <row r="209" customFormat="1" s="34"/>
    <row r="210" customFormat="1" s="34"/>
    <row r="211" customFormat="1" s="34"/>
    <row r="212" customFormat="1" s="34"/>
    <row r="213" customFormat="1" s="34"/>
    <row r="214" customFormat="1" s="34"/>
    <row r="215" customFormat="1" s="34"/>
    <row r="216" customFormat="1" s="34"/>
    <row r="217" customFormat="1" s="34"/>
    <row r="218" customFormat="1" s="34"/>
    <row r="219" customFormat="1" s="34"/>
    <row r="220" customFormat="1" s="34"/>
    <row r="221" customFormat="1" s="34"/>
    <row r="222" customFormat="1" s="34"/>
    <row r="223" customFormat="1" s="34"/>
    <row r="224" customFormat="1" s="34"/>
    <row r="225" customFormat="1" s="34"/>
    <row r="226" customFormat="1" s="34"/>
    <row r="227" customFormat="1" s="34"/>
    <row r="228" customFormat="1" s="34"/>
    <row r="229" customFormat="1" s="34"/>
    <row r="230" customFormat="1" s="34"/>
    <row r="231" customFormat="1" s="34"/>
    <row r="232" customFormat="1" s="34"/>
    <row r="233" customFormat="1" s="34"/>
    <row r="234" customFormat="1" s="34"/>
    <row r="235" customFormat="1" s="34"/>
    <row r="236" customFormat="1" s="34"/>
    <row r="237" customFormat="1" s="34"/>
    <row r="238" customFormat="1" s="34"/>
    <row r="239" customFormat="1" s="34"/>
    <row r="240" customFormat="1" s="34"/>
    <row r="241" customFormat="1" s="34"/>
    <row r="242" customFormat="1" s="34"/>
    <row r="243" customFormat="1" s="34"/>
    <row r="244" customFormat="1" s="34"/>
    <row r="245" customFormat="1" s="34"/>
    <row r="246" customFormat="1" s="34"/>
    <row r="247" customFormat="1" s="34"/>
    <row r="248" customFormat="1" s="34"/>
    <row r="249" customFormat="1" s="34"/>
    <row r="250" customFormat="1" s="34"/>
    <row r="251" customFormat="1" s="34"/>
    <row r="252" customFormat="1" s="34"/>
    <row r="253" customFormat="1" s="34"/>
    <row r="254" customFormat="1" s="34"/>
    <row r="255" customFormat="1" s="34"/>
    <row r="256" customFormat="1" s="34"/>
    <row r="257" customFormat="1" s="34"/>
    <row r="258" customFormat="1" s="34"/>
    <row r="259" customFormat="1" s="34"/>
    <row r="260" customFormat="1" s="34"/>
    <row r="261" customFormat="1" s="34"/>
    <row r="262" customFormat="1" s="34"/>
    <row r="263" customFormat="1" s="34"/>
    <row r="264" customFormat="1" s="34"/>
    <row r="265" customFormat="1" s="34"/>
    <row r="266" customFormat="1" s="34"/>
    <row r="267" customFormat="1" s="34"/>
    <row r="268" customFormat="1" s="34"/>
    <row r="269" customFormat="1" s="34"/>
    <row r="270" customFormat="1" s="34"/>
    <row r="271" customFormat="1" s="34"/>
    <row r="272" customFormat="1" s="34"/>
    <row r="273" customFormat="1" s="34"/>
    <row r="274" customFormat="1" s="34"/>
    <row r="275" customFormat="1" s="34"/>
    <row r="276" customFormat="1" s="34"/>
    <row r="277" customFormat="1" s="34"/>
    <row r="278" customFormat="1" s="34"/>
    <row r="279" customFormat="1" s="34"/>
    <row r="280" customFormat="1" s="34"/>
    <row r="281" customFormat="1" s="34"/>
    <row r="282" customFormat="1" s="34"/>
    <row r="283" customFormat="1" s="34"/>
    <row r="284" customFormat="1" s="34"/>
    <row r="285" customFormat="1" s="34"/>
    <row r="286" customFormat="1" s="34"/>
    <row r="287" customFormat="1" s="34"/>
    <row r="288" customFormat="1" s="34"/>
    <row r="289" customFormat="1" s="34"/>
    <row r="290" customFormat="1" s="34"/>
    <row r="291" customFormat="1" s="34"/>
    <row r="292" customFormat="1" s="34"/>
    <row r="293" customFormat="1" s="34"/>
    <row r="294" customFormat="1" s="34"/>
    <row r="295" customFormat="1" s="34"/>
    <row r="296" customFormat="1" s="34"/>
    <row r="297" customFormat="1" s="34"/>
    <row r="298" customFormat="1" s="34"/>
    <row r="299" customFormat="1" s="34"/>
    <row r="300" customFormat="1" s="34"/>
    <row r="301" customFormat="1" s="34"/>
    <row r="302" customFormat="1" s="34"/>
    <row r="303" customFormat="1" s="34"/>
    <row r="304" customFormat="1" s="34"/>
    <row r="305" customFormat="1" s="34"/>
    <row r="306" customFormat="1" s="34"/>
    <row r="307" customFormat="1" s="34"/>
    <row r="308" customFormat="1" s="34"/>
    <row r="309" customFormat="1" s="34"/>
    <row r="310" customFormat="1" s="34"/>
    <row r="311" customFormat="1" s="34"/>
    <row r="312" customFormat="1" s="34"/>
    <row r="313" customFormat="1" s="34"/>
    <row r="314" customFormat="1" s="34"/>
    <row r="315" customFormat="1" s="34"/>
    <row r="316" customFormat="1" s="34"/>
    <row r="317" customFormat="1" s="34"/>
    <row r="318" customFormat="1" s="34"/>
    <row r="319" customFormat="1" s="34"/>
    <row r="320" customFormat="1" s="34"/>
    <row r="321" customFormat="1" s="34"/>
    <row r="322" customFormat="1" s="34"/>
    <row r="323" customFormat="1" s="34"/>
    <row r="324" customFormat="1" s="34"/>
    <row r="325" customFormat="1" s="34"/>
    <row r="326" customFormat="1" s="34"/>
    <row r="327" customFormat="1" s="34"/>
    <row r="328" customFormat="1" s="34"/>
    <row r="329" customFormat="1" s="34"/>
    <row r="330" customFormat="1" s="34"/>
    <row r="331" customFormat="1" s="34"/>
    <row r="332" customFormat="1" s="34"/>
    <row r="333" customFormat="1" s="34"/>
    <row r="334" customFormat="1" s="34"/>
    <row r="335" customFormat="1" s="34"/>
    <row r="336" customFormat="1" s="34"/>
    <row r="337" customFormat="1" s="34"/>
    <row r="338" customFormat="1" s="34"/>
    <row r="339" customFormat="1" s="34"/>
    <row r="340" customFormat="1" s="34"/>
    <row r="341" customFormat="1" s="34"/>
    <row r="342" customFormat="1" s="34"/>
    <row r="343" customFormat="1" s="34"/>
    <row r="344" customFormat="1" s="34"/>
    <row r="345" customFormat="1" s="34"/>
    <row r="346" customFormat="1" s="34"/>
    <row r="347" customFormat="1" s="34"/>
    <row r="348" customFormat="1" s="34"/>
    <row r="349" customFormat="1" s="34"/>
    <row r="350" customFormat="1" s="34"/>
    <row r="351" customFormat="1" s="34"/>
    <row r="352" customFormat="1" s="34"/>
    <row r="353" customFormat="1" s="34"/>
    <row r="354" customFormat="1" s="34"/>
    <row r="355" customFormat="1" s="34"/>
    <row r="356" customFormat="1" s="34"/>
    <row r="357" customFormat="1" s="34"/>
    <row r="358" customFormat="1" s="34"/>
    <row r="359" customFormat="1" s="34"/>
    <row r="360" customFormat="1" s="34"/>
    <row r="361" customFormat="1" s="34"/>
    <row r="362" customFormat="1" s="34"/>
    <row r="363" customFormat="1" s="34"/>
    <row r="364" customFormat="1" s="34"/>
    <row r="365" customFormat="1" s="34"/>
    <row r="366" customFormat="1" s="34"/>
    <row r="367" customFormat="1" s="34"/>
    <row r="368" customFormat="1" s="34"/>
    <row r="369" customFormat="1" s="34"/>
    <row r="370" customFormat="1" s="34"/>
    <row r="371" customFormat="1" s="34"/>
    <row r="372" customFormat="1" s="34"/>
    <row r="373" customFormat="1" s="34"/>
    <row r="374" customFormat="1" s="34"/>
    <row r="375" customFormat="1" s="34"/>
    <row r="376" customFormat="1" s="34"/>
    <row r="377" customFormat="1" s="34"/>
    <row r="378" customFormat="1" s="34"/>
    <row r="379" customFormat="1" s="34"/>
    <row r="380" customFormat="1" s="34"/>
    <row r="381" customFormat="1" s="34"/>
    <row r="382" customFormat="1" s="34"/>
    <row r="383" customFormat="1" s="34"/>
    <row r="384" customFormat="1" s="34"/>
    <row r="385" customFormat="1" s="34"/>
    <row r="386" customFormat="1" s="34"/>
    <row r="387" customFormat="1" s="34"/>
    <row r="388" customFormat="1" s="34"/>
    <row r="389" customFormat="1" s="34"/>
    <row r="390" customFormat="1" s="34"/>
    <row r="391" customFormat="1" s="34"/>
    <row r="392" customFormat="1" s="34"/>
    <row r="393" customFormat="1" s="34"/>
    <row r="394" customFormat="1" s="34"/>
    <row r="395" customFormat="1" s="34"/>
    <row r="396" customFormat="1" s="34"/>
    <row r="397" customFormat="1" s="34"/>
    <row r="398" customFormat="1" s="34"/>
    <row r="399" customFormat="1" s="34"/>
    <row r="400" customFormat="1" s="34"/>
    <row r="401" customFormat="1" s="34"/>
    <row r="402" customFormat="1" s="34"/>
    <row r="403" customFormat="1" s="34"/>
    <row r="404" customFormat="1" s="34"/>
    <row r="405" customFormat="1" s="34"/>
    <row r="406" customFormat="1" s="34"/>
    <row r="407" customFormat="1" s="34"/>
    <row r="408" customFormat="1" s="34"/>
    <row r="409" customFormat="1" s="34"/>
    <row r="410" customFormat="1" s="34"/>
    <row r="411" customFormat="1" s="34"/>
    <row r="412" customFormat="1" s="34"/>
    <row r="413" customFormat="1" s="34"/>
    <row r="414" customFormat="1" s="34"/>
    <row r="415" customFormat="1" s="34"/>
    <row r="416" customFormat="1" s="34"/>
    <row r="417" customFormat="1" s="34"/>
    <row r="418" customFormat="1" s="34"/>
    <row r="419" customFormat="1" s="34"/>
    <row r="420" customFormat="1" s="34"/>
    <row r="421" customFormat="1" s="34"/>
    <row r="422" customFormat="1" s="34"/>
    <row r="423" customFormat="1" s="34"/>
    <row r="424" customFormat="1" s="34"/>
    <row r="425" customFormat="1" s="34"/>
    <row r="426" customFormat="1" s="34"/>
    <row r="427" customFormat="1" s="34"/>
    <row r="428" customFormat="1" s="34"/>
    <row r="429" customFormat="1" s="34"/>
    <row r="430" customFormat="1" s="34"/>
    <row r="431" customFormat="1" s="34"/>
    <row r="432" customFormat="1" s="34"/>
    <row r="433" customFormat="1" s="34"/>
    <row r="434" customFormat="1" s="34"/>
    <row r="435" customFormat="1" s="34"/>
    <row r="436" customFormat="1" s="34"/>
    <row r="437" customFormat="1" s="34"/>
    <row r="438" customFormat="1" s="34"/>
    <row r="439" customFormat="1" s="34"/>
    <row r="440" customFormat="1" s="34"/>
    <row r="441" customFormat="1" s="34"/>
    <row r="442" customFormat="1" s="34"/>
    <row r="443" customFormat="1" s="34"/>
    <row r="444" customFormat="1" s="34"/>
    <row r="445" customFormat="1" s="34"/>
    <row r="446" customFormat="1" s="34"/>
    <row r="447" customFormat="1" s="34"/>
    <row r="448" customFormat="1" s="34"/>
    <row r="449" customFormat="1" s="34"/>
    <row r="450" customFormat="1" s="34"/>
    <row r="451" customFormat="1" s="34"/>
    <row r="452" customFormat="1" s="34"/>
    <row r="453" customFormat="1" s="34"/>
    <row r="454" customFormat="1" s="34"/>
    <row r="455" customFormat="1" s="34"/>
    <row r="456" customFormat="1" s="34"/>
    <row r="457" customFormat="1" s="34"/>
    <row r="458" customFormat="1" s="34"/>
    <row r="459" customFormat="1" s="34"/>
    <row r="460" customFormat="1" s="34"/>
    <row r="461" customFormat="1" s="34"/>
    <row r="462" customFormat="1" s="34"/>
    <row r="463" customFormat="1" s="34"/>
    <row r="464" customFormat="1" s="34"/>
    <row r="465" customFormat="1" s="34"/>
    <row r="466" customFormat="1" s="34"/>
    <row r="467" customFormat="1" s="34"/>
    <row r="468" customFormat="1" s="34"/>
    <row r="469" customFormat="1" s="34"/>
    <row r="470" customFormat="1" s="34"/>
    <row r="471" customFormat="1" s="34"/>
    <row r="472" customFormat="1" s="34"/>
    <row r="473" customFormat="1" s="34"/>
    <row r="474" customFormat="1" s="34"/>
    <row r="475" customFormat="1" s="34"/>
    <row r="476" customFormat="1" s="34"/>
    <row r="477" customFormat="1" s="34"/>
    <row r="478" customFormat="1" s="34"/>
    <row r="479" customFormat="1" s="34"/>
    <row r="480" customFormat="1" s="34"/>
    <row r="481" customFormat="1" s="34"/>
    <row r="482" customFormat="1" s="34"/>
    <row r="483" customFormat="1" s="34"/>
    <row r="484" customFormat="1" s="34"/>
    <row r="485" customFormat="1" s="34"/>
    <row r="486" customFormat="1" s="34"/>
    <row r="487" customFormat="1" s="34"/>
    <row r="488" customFormat="1" s="34"/>
    <row r="489" customFormat="1" s="34"/>
    <row r="490" customFormat="1" s="34"/>
    <row r="491" customFormat="1" s="34"/>
    <row r="492" customFormat="1" s="34"/>
    <row r="493" customFormat="1" s="34"/>
    <row r="494" customFormat="1" s="34"/>
    <row r="495" customFormat="1" s="34"/>
    <row r="496" customFormat="1" s="34"/>
    <row r="497" customFormat="1" s="34"/>
    <row r="498" customFormat="1" s="34"/>
    <row r="499" customFormat="1" s="34"/>
    <row r="500" customFormat="1" s="34"/>
    <row r="501" customFormat="1" s="34"/>
    <row r="502" customFormat="1" s="34"/>
    <row r="503" customFormat="1" s="34"/>
    <row r="504" customFormat="1" s="34"/>
    <row r="505" customFormat="1" s="34"/>
    <row r="506" customFormat="1" s="34"/>
    <row r="507" customFormat="1" s="34"/>
    <row r="508" customFormat="1" s="34"/>
    <row r="509" customFormat="1" s="34"/>
    <row r="510" customFormat="1" s="34"/>
    <row r="511" customFormat="1" s="34"/>
    <row r="512" customFormat="1" s="34"/>
    <row r="513" customFormat="1" s="34"/>
    <row r="514" customFormat="1" s="34"/>
    <row r="515" customFormat="1" s="34"/>
    <row r="516" customFormat="1" s="34"/>
    <row r="517" customFormat="1" s="34"/>
    <row r="518" customFormat="1" s="34"/>
    <row r="519" customFormat="1" s="34"/>
    <row r="520" customFormat="1" s="34"/>
    <row r="521" customFormat="1" s="34"/>
    <row r="522" customFormat="1" s="34"/>
    <row r="523" customFormat="1" s="34"/>
    <row r="524" customFormat="1" s="34"/>
    <row r="525" customFormat="1" s="34"/>
    <row r="526" customFormat="1" s="34"/>
    <row r="527" customFormat="1" s="34"/>
    <row r="528" customFormat="1" s="34"/>
    <row r="529" customFormat="1" s="34"/>
    <row r="530" customFormat="1" s="34"/>
    <row r="531" customFormat="1" s="34"/>
    <row r="532" customFormat="1" s="34"/>
    <row r="533" customFormat="1" s="34"/>
    <row r="534" customFormat="1" s="34"/>
    <row r="535" customFormat="1" s="34"/>
    <row r="536" customFormat="1" s="34"/>
    <row r="537" customFormat="1" s="34"/>
    <row r="538" customFormat="1" s="34"/>
    <row r="539" customFormat="1" s="34"/>
    <row r="540" customFormat="1" s="34"/>
    <row r="541" customFormat="1" s="34"/>
    <row r="542" customFormat="1" s="34"/>
    <row r="543" customFormat="1" s="34"/>
    <row r="544" customFormat="1" s="34"/>
    <row r="545" customFormat="1" s="34"/>
    <row r="546" customFormat="1" s="34"/>
    <row r="547" customFormat="1" s="34"/>
    <row r="548" customFormat="1" s="34"/>
    <row r="549" customFormat="1" s="34"/>
    <row r="550" customFormat="1" s="34"/>
    <row r="551" customFormat="1" s="34"/>
    <row r="552" customFormat="1" s="34"/>
    <row r="553" customFormat="1" s="34"/>
    <row r="554" customFormat="1" s="34"/>
    <row r="555" customFormat="1" s="34"/>
    <row r="556" customFormat="1" s="34"/>
    <row r="557" customFormat="1" s="34"/>
    <row r="558" customFormat="1" s="34"/>
    <row r="559" customFormat="1" s="34"/>
    <row r="560" customFormat="1" s="34"/>
    <row r="561" customFormat="1" s="34"/>
    <row r="562" customFormat="1" s="34"/>
    <row r="563" customFormat="1" s="34"/>
    <row r="564" customFormat="1" s="34"/>
    <row r="565" customFormat="1" s="34"/>
    <row r="566" customFormat="1" s="34"/>
    <row r="567" customFormat="1" s="34"/>
    <row r="568" customFormat="1" s="34"/>
    <row r="569" customFormat="1" s="34"/>
    <row r="570" customFormat="1" s="34"/>
    <row r="571" customFormat="1" s="34"/>
    <row r="572" customFormat="1" s="34"/>
    <row r="573" customFormat="1" s="34"/>
    <row r="574" customFormat="1" s="34"/>
    <row r="575" customFormat="1" s="34"/>
    <row r="576" customFormat="1" s="34"/>
    <row r="577" customFormat="1" s="34"/>
    <row r="578" customFormat="1" s="34"/>
    <row r="579" customFormat="1" s="34"/>
    <row r="580" customFormat="1" s="34"/>
    <row r="581" customFormat="1" s="34"/>
    <row r="582" customFormat="1" s="34"/>
    <row r="583" customFormat="1" s="34"/>
    <row r="584" customFormat="1" s="34"/>
    <row r="585" customFormat="1" s="34"/>
    <row r="586" customFormat="1" s="34"/>
    <row r="587" customFormat="1" s="34"/>
    <row r="588" customFormat="1" s="34"/>
    <row r="589" customFormat="1" s="34"/>
    <row r="590" customFormat="1" s="34"/>
    <row r="591" customFormat="1" s="34"/>
    <row r="592" customFormat="1" s="34"/>
    <row r="593" customFormat="1" s="34"/>
    <row r="594" customFormat="1" s="34"/>
    <row r="595" customFormat="1" s="34"/>
    <row r="596" customFormat="1" s="34"/>
    <row r="597" customFormat="1" s="34"/>
    <row r="598" customFormat="1" s="34"/>
    <row r="599" customFormat="1" s="34"/>
    <row r="600" customFormat="1" s="34"/>
    <row r="601" customFormat="1" s="34"/>
    <row r="602" customFormat="1" s="34"/>
    <row r="603" customFormat="1" s="34"/>
    <row r="604" customFormat="1" s="34"/>
    <row r="605" customFormat="1" s="34"/>
    <row r="606" customFormat="1" s="34"/>
    <row r="607" customFormat="1" s="34"/>
    <row r="608" customFormat="1" s="34"/>
    <row r="609" customFormat="1" s="34"/>
    <row r="610" customFormat="1" s="34"/>
    <row r="611" customFormat="1" s="34"/>
    <row r="612" customFormat="1" s="34"/>
    <row r="613" customFormat="1" s="34"/>
    <row r="614" customFormat="1" s="34"/>
    <row r="615" customFormat="1" s="34"/>
    <row r="616" customFormat="1" s="34"/>
    <row r="617" customFormat="1" s="34"/>
    <row r="618" customFormat="1" s="34"/>
    <row r="619" customFormat="1" s="34"/>
    <row r="620" customFormat="1" s="34"/>
    <row r="621" customFormat="1" s="34"/>
    <row r="622" customFormat="1" s="34"/>
    <row r="623" customFormat="1" s="34"/>
    <row r="624" customFormat="1" s="34"/>
    <row r="625" customFormat="1" s="34"/>
    <row r="626" customFormat="1" s="34"/>
    <row r="627" customFormat="1" s="34"/>
    <row r="628" customFormat="1" s="34"/>
    <row r="629" customFormat="1" s="34"/>
    <row r="630" customFormat="1" s="34"/>
    <row r="631" customFormat="1" s="34"/>
    <row r="632" customFormat="1" s="34"/>
    <row r="633" customFormat="1" s="34"/>
    <row r="634" customFormat="1" s="34"/>
    <row r="635" customFormat="1" s="34"/>
    <row r="636" customFormat="1" s="34"/>
    <row r="637" customFormat="1" s="34"/>
    <row r="638" customFormat="1" s="34"/>
    <row r="639" customFormat="1" s="34"/>
    <row r="640" customFormat="1" s="34"/>
    <row r="641" customFormat="1" s="34"/>
    <row r="642" customFormat="1" s="34"/>
    <row r="643" customFormat="1" s="34"/>
    <row r="644" customFormat="1" s="34"/>
    <row r="645" customFormat="1" s="34"/>
    <row r="646" customFormat="1" s="34"/>
    <row r="647" customFormat="1" s="34"/>
    <row r="648" customFormat="1" s="34"/>
    <row r="649" customFormat="1" s="34"/>
    <row r="650" customFormat="1" s="34"/>
    <row r="651" customFormat="1" s="34"/>
    <row r="652" customFormat="1" s="34"/>
    <row r="653" customFormat="1" s="34"/>
    <row r="654" customFormat="1" s="34"/>
    <row r="655" customFormat="1" s="34"/>
    <row r="656" customFormat="1" s="34"/>
    <row r="657" customFormat="1" s="34"/>
    <row r="658" customFormat="1" s="34"/>
    <row r="659" customFormat="1" s="34"/>
    <row r="660" customFormat="1" s="34"/>
    <row r="661" customFormat="1" s="34"/>
    <row r="662" customFormat="1" s="34"/>
    <row r="663" customFormat="1" s="34"/>
    <row r="664" customFormat="1" s="34"/>
    <row r="665" customFormat="1" s="34"/>
    <row r="666" customFormat="1" s="34"/>
    <row r="667" customFormat="1" s="34"/>
    <row r="668" customFormat="1" s="34"/>
    <row r="669" customFormat="1" s="34"/>
    <row r="670" customFormat="1" s="34"/>
    <row r="671" customFormat="1" s="34"/>
    <row r="672" customFormat="1" s="34"/>
    <row r="673" customFormat="1" s="34"/>
    <row r="674" customFormat="1" s="34"/>
    <row r="675" customFormat="1" s="34"/>
    <row r="676" customFormat="1" s="34"/>
    <row r="677" customFormat="1" s="34"/>
    <row r="678" customFormat="1" s="34"/>
    <row r="679" customFormat="1" s="34"/>
    <row r="680" customFormat="1" s="34"/>
    <row r="681" customFormat="1" s="34"/>
    <row r="682" customFormat="1" s="34"/>
    <row r="683" customFormat="1" s="34"/>
    <row r="684" customFormat="1" s="34"/>
    <row r="685" customFormat="1" s="34"/>
    <row r="686" customFormat="1" s="34"/>
    <row r="687" customFormat="1" s="34"/>
    <row r="688" customFormat="1" s="34"/>
    <row r="689" customFormat="1" s="34"/>
    <row r="690" customFormat="1" s="34"/>
    <row r="691" customFormat="1" s="34"/>
    <row r="692" customFormat="1" s="34"/>
    <row r="693" customFormat="1" s="34"/>
    <row r="694" customFormat="1" s="34"/>
    <row r="695" customFormat="1" s="34"/>
    <row r="696" customFormat="1" s="34"/>
    <row r="697" customFormat="1" s="34"/>
    <row r="698" customFormat="1" s="34"/>
    <row r="699" customFormat="1" s="34"/>
    <row r="700" customFormat="1" s="34"/>
    <row r="701" customFormat="1" s="34"/>
    <row r="702" customFormat="1" s="34"/>
    <row r="703" customFormat="1" s="34"/>
    <row r="704" customFormat="1" s="34"/>
    <row r="705" customFormat="1" s="34"/>
    <row r="706" customFormat="1" s="34"/>
    <row r="707" customFormat="1" s="34"/>
    <row r="708" customFormat="1" s="34"/>
    <row r="709" customFormat="1" s="34"/>
    <row r="710" customFormat="1" s="34"/>
    <row r="711" customFormat="1" s="34"/>
    <row r="712" customFormat="1" s="34"/>
    <row r="713" customFormat="1" s="34"/>
    <row r="714" customFormat="1" s="34"/>
    <row r="715" customFormat="1" s="34"/>
    <row r="716" customFormat="1" s="34"/>
    <row r="717" customFormat="1" s="34"/>
    <row r="718" customFormat="1" s="34"/>
    <row r="719" customFormat="1" s="34"/>
    <row r="720" customFormat="1" s="34"/>
    <row r="721" customFormat="1" s="34"/>
    <row r="722" customFormat="1" s="34"/>
    <row r="723" customFormat="1" s="34"/>
    <row r="724" customFormat="1" s="34"/>
    <row r="725" customFormat="1" s="34"/>
    <row r="726" customFormat="1" s="34"/>
    <row r="727" customFormat="1" s="34"/>
    <row r="728" customFormat="1" s="34"/>
    <row r="729" customFormat="1" s="34"/>
    <row r="730" customFormat="1" s="34"/>
    <row r="731" customFormat="1" s="34"/>
    <row r="732" customFormat="1" s="34"/>
    <row r="733" customFormat="1" s="34"/>
    <row r="734" customFormat="1" s="34"/>
    <row r="735" customFormat="1" s="34"/>
    <row r="736" customFormat="1" s="34"/>
    <row r="737" customFormat="1" s="34"/>
    <row r="738" customFormat="1" s="34"/>
    <row r="739" customFormat="1" s="34"/>
    <row r="740" customFormat="1" s="34"/>
    <row r="741" customFormat="1" s="34"/>
    <row r="742" customFormat="1" s="34"/>
    <row r="743" customFormat="1" s="34"/>
    <row r="744" customFormat="1" s="34"/>
    <row r="745" customFormat="1" s="34"/>
    <row r="746" customFormat="1" s="34"/>
    <row r="747" customFormat="1" s="34"/>
    <row r="748" customFormat="1" s="34"/>
    <row r="749" customFormat="1" s="34"/>
    <row r="750" customFormat="1" s="34"/>
    <row r="751" customFormat="1" s="34"/>
    <row r="752" customFormat="1" s="34"/>
    <row r="753" customFormat="1" s="34"/>
    <row r="754" customFormat="1" s="34"/>
    <row r="755" customFormat="1" s="34"/>
    <row r="756" customFormat="1" s="34"/>
    <row r="757" customFormat="1" s="34"/>
    <row r="758" customFormat="1" s="34"/>
    <row r="759" customFormat="1" s="34"/>
    <row r="760" customFormat="1" s="34"/>
    <row r="761" customFormat="1" s="34"/>
    <row r="762" customFormat="1" s="34"/>
    <row r="763" customFormat="1" s="34"/>
    <row r="764" customFormat="1" s="34"/>
    <row r="765" customFormat="1" s="34"/>
    <row r="766" customFormat="1" s="34"/>
    <row r="767" customFormat="1" s="34"/>
    <row r="768" customFormat="1" s="34"/>
    <row r="769" customFormat="1" s="34"/>
    <row r="770" customFormat="1" s="34"/>
    <row r="771" customFormat="1" s="34"/>
    <row r="772" customFormat="1" s="34"/>
    <row r="773" customFormat="1" s="34"/>
    <row r="774" customFormat="1" s="34"/>
    <row r="775" customFormat="1" s="34"/>
    <row r="776" customFormat="1" s="34"/>
    <row r="777" customFormat="1" s="34"/>
    <row r="778" customFormat="1" s="34"/>
    <row r="779" customFormat="1" s="34"/>
    <row r="780" customFormat="1" s="34"/>
    <row r="781" customFormat="1" s="34"/>
    <row r="782" customFormat="1" s="34"/>
    <row r="783" customFormat="1" s="34"/>
    <row r="784" customFormat="1" s="34"/>
    <row r="785" customFormat="1" s="34"/>
    <row r="786" customFormat="1" s="34"/>
    <row r="787" customFormat="1" s="34"/>
    <row r="788" customFormat="1" s="34"/>
    <row r="789" customFormat="1" s="34"/>
    <row r="790" customFormat="1" s="34"/>
    <row r="791" customFormat="1" s="34"/>
    <row r="792" customFormat="1" s="34"/>
    <row r="793" customFormat="1" s="34"/>
    <row r="794" customFormat="1" s="34"/>
    <row r="795" customFormat="1" s="34"/>
    <row r="796" customFormat="1" s="34"/>
    <row r="797" customFormat="1" s="34"/>
    <row r="798" customFormat="1" s="34"/>
    <row r="799" customFormat="1" s="34"/>
    <row r="800" customFormat="1" s="34"/>
    <row r="801" customFormat="1" s="34"/>
    <row r="802" customFormat="1" s="34"/>
    <row r="803" customFormat="1" s="34"/>
    <row r="804" customFormat="1" s="34"/>
    <row r="805" customFormat="1" s="34"/>
    <row r="806" customFormat="1" s="34"/>
    <row r="807" customFormat="1" s="34"/>
    <row r="808" customFormat="1" s="34"/>
    <row r="809" customFormat="1" s="34"/>
    <row r="810" customFormat="1" s="34"/>
    <row r="811" customFormat="1" s="34"/>
    <row r="812" customFormat="1" s="34"/>
    <row r="813" customFormat="1" s="34"/>
    <row r="814" customFormat="1" s="34"/>
    <row r="815" customFormat="1" s="34"/>
    <row r="816" customFormat="1" s="34"/>
    <row r="817" customFormat="1" s="34"/>
    <row r="818" customFormat="1" s="34"/>
    <row r="819" customFormat="1" s="34"/>
    <row r="820" customFormat="1" s="34"/>
    <row r="821" customFormat="1" s="34"/>
    <row r="822" customFormat="1" s="34"/>
    <row r="823" customFormat="1" s="34"/>
    <row r="824" customFormat="1" s="34"/>
    <row r="825" customFormat="1" s="34"/>
    <row r="826" customFormat="1" s="34"/>
    <row r="827" customFormat="1" s="34"/>
    <row r="828" customFormat="1" s="34"/>
    <row r="829" customFormat="1" s="34"/>
    <row r="830" customFormat="1" s="34"/>
    <row r="831" customFormat="1" s="34"/>
    <row r="832" customFormat="1" s="34"/>
    <row r="833" customFormat="1" s="34"/>
    <row r="834" customFormat="1" s="34"/>
    <row r="835" customFormat="1" s="34"/>
    <row r="836" customFormat="1" s="34"/>
    <row r="837" customFormat="1" s="34"/>
    <row r="838" customFormat="1" s="34"/>
    <row r="839" customFormat="1" s="34"/>
    <row r="840" customFormat="1" s="34"/>
    <row r="841" customFormat="1" s="34"/>
    <row r="842" customFormat="1" s="34"/>
    <row r="843" customFormat="1" s="34"/>
    <row r="844" customFormat="1" s="34"/>
    <row r="845" customFormat="1" s="34"/>
    <row r="846" customFormat="1" s="34"/>
    <row r="847" customFormat="1" s="34"/>
    <row r="848" customFormat="1" s="34"/>
    <row r="849" customFormat="1" s="34"/>
    <row r="850" customFormat="1" s="34"/>
    <row r="851" customFormat="1" s="34"/>
    <row r="852" customFormat="1" s="34"/>
    <row r="853" customFormat="1" s="34"/>
    <row r="854" customFormat="1" s="34"/>
    <row r="855" customFormat="1" s="34"/>
    <row r="856" customFormat="1" s="34"/>
    <row r="857" customFormat="1" s="34"/>
    <row r="858" customFormat="1" s="34"/>
    <row r="859" customFormat="1" s="34"/>
    <row r="860" customFormat="1" s="34"/>
    <row r="861" customFormat="1" s="34"/>
    <row r="862" customFormat="1" s="34"/>
    <row r="863" customFormat="1" s="34"/>
    <row r="864" customFormat="1" s="34"/>
    <row r="865" customFormat="1" s="34"/>
    <row r="866" customFormat="1" s="34"/>
    <row r="867" customFormat="1" s="34"/>
    <row r="868" customFormat="1" s="34"/>
    <row r="869" customFormat="1" s="34"/>
    <row r="870" customFormat="1" s="34"/>
    <row r="871" customFormat="1" s="34"/>
    <row r="872" customFormat="1" s="34"/>
    <row r="873" customFormat="1" s="34"/>
    <row r="874" customFormat="1" s="34"/>
    <row r="875" customFormat="1" s="34"/>
    <row r="876" customFormat="1" s="34"/>
    <row r="877" customFormat="1" s="34"/>
    <row r="878" customFormat="1" s="34"/>
    <row r="879" customFormat="1" s="34"/>
    <row r="880" customFormat="1" s="34"/>
    <row r="881" customFormat="1" s="34"/>
    <row r="882" customFormat="1" s="34"/>
    <row r="883" customFormat="1" s="34"/>
    <row r="884" customFormat="1" s="34"/>
    <row r="885" customFormat="1" s="34"/>
    <row r="886" customFormat="1" s="34"/>
    <row r="887" customFormat="1" s="34"/>
    <row r="888" customFormat="1" s="34"/>
    <row r="889" customFormat="1" s="34"/>
    <row r="890" customFormat="1" s="34"/>
    <row r="891" customFormat="1" s="34"/>
    <row r="892" customFormat="1" s="34"/>
    <row r="893" customFormat="1" s="34"/>
    <row r="894" customFormat="1" s="34"/>
    <row r="895" customFormat="1" s="34"/>
    <row r="896" customFormat="1" s="34"/>
    <row r="897" customFormat="1" s="34"/>
    <row r="898" customFormat="1" s="34"/>
    <row r="899" customFormat="1" s="34"/>
    <row r="900" customFormat="1" s="34"/>
    <row r="901" customFormat="1" s="34"/>
    <row r="902" customFormat="1" s="34"/>
    <row r="903" customFormat="1" s="34"/>
    <row r="904" customFormat="1" s="34"/>
    <row r="905" customFormat="1" s="34"/>
    <row r="906" customFormat="1" s="34"/>
    <row r="907" customFormat="1" s="34"/>
    <row r="908" customFormat="1" s="34"/>
    <row r="909" customFormat="1" s="34"/>
    <row r="910" customFormat="1" s="34"/>
    <row r="911" customFormat="1" s="34"/>
    <row r="912" customFormat="1" s="34"/>
    <row r="913" customFormat="1" s="34"/>
    <row r="914" customFormat="1" s="34"/>
    <row r="915" customFormat="1" s="34"/>
    <row r="916" customFormat="1" s="34"/>
    <row r="917" customFormat="1" s="34"/>
    <row r="918" customFormat="1" s="34"/>
    <row r="919" customFormat="1" s="34"/>
    <row r="920" customFormat="1" s="34"/>
    <row r="921" customFormat="1" s="34"/>
    <row r="922" customFormat="1" s="34"/>
    <row r="923" customFormat="1" s="34"/>
    <row r="924" customFormat="1" s="34"/>
    <row r="925" customFormat="1" s="34"/>
    <row r="926" customFormat="1" s="34"/>
    <row r="927" customFormat="1" s="34"/>
    <row r="928" customFormat="1" s="34"/>
    <row r="929" customFormat="1" s="34"/>
    <row r="930" customFormat="1" s="34"/>
    <row r="931" customFormat="1" s="34"/>
    <row r="932" customFormat="1" s="34"/>
    <row r="933" customFormat="1" s="34"/>
    <row r="934" customFormat="1" s="34"/>
    <row r="935" customFormat="1" s="34"/>
    <row r="936" customFormat="1" s="34"/>
    <row r="937" customFormat="1" s="34"/>
    <row r="938" customFormat="1" s="34"/>
    <row r="939" customFormat="1" s="34"/>
    <row r="940" customFormat="1" s="34"/>
    <row r="941" customFormat="1" s="34"/>
    <row r="942" customFormat="1" s="34"/>
    <row r="943" customFormat="1" s="34"/>
    <row r="944" customFormat="1" s="34"/>
    <row r="945" customFormat="1" s="34"/>
    <row r="946" customFormat="1" s="34"/>
    <row r="947" customFormat="1" s="34"/>
    <row r="948" customFormat="1" s="34"/>
    <row r="949" customFormat="1" s="34"/>
    <row r="950" customFormat="1" s="34"/>
    <row r="951" customFormat="1" s="34"/>
    <row r="952" customFormat="1" s="34"/>
    <row r="953" customFormat="1" s="34"/>
    <row r="954" customFormat="1" s="34"/>
    <row r="955" customFormat="1" s="34"/>
    <row r="956" customFormat="1" s="34"/>
    <row r="957" customFormat="1" s="34"/>
    <row r="958" customFormat="1" s="34"/>
    <row r="959" customFormat="1" s="34"/>
    <row r="960" customFormat="1" s="34"/>
    <row r="961" customFormat="1" s="34"/>
    <row r="962" customFormat="1" s="34"/>
    <row r="963" customFormat="1" s="34"/>
    <row r="964" customFormat="1" s="34"/>
    <row r="965" customFormat="1" s="34"/>
    <row r="966" customFormat="1" s="34"/>
    <row r="967" customFormat="1" s="34"/>
    <row r="968" customFormat="1" s="34"/>
    <row r="969" customFormat="1" s="34"/>
    <row r="970" customFormat="1" s="34"/>
    <row r="971" customFormat="1" s="34"/>
    <row r="972" customFormat="1" s="34"/>
    <row r="973" customFormat="1" s="34"/>
    <row r="974" customFormat="1" s="34"/>
    <row r="975" customFormat="1" s="34"/>
    <row r="976" customFormat="1" s="34"/>
    <row r="977" customFormat="1" s="34"/>
    <row r="978" customFormat="1" s="34"/>
    <row r="979" customFormat="1" s="34"/>
    <row r="980" customFormat="1" s="34"/>
    <row r="981" customFormat="1" s="34"/>
    <row r="982" customFormat="1" s="34"/>
    <row r="983" customFormat="1" s="34"/>
    <row r="984" customFormat="1" s="34"/>
    <row r="985" customFormat="1" s="34"/>
    <row r="986" customFormat="1" s="34"/>
    <row r="987" customFormat="1" s="34"/>
    <row r="988" customFormat="1" s="34"/>
    <row r="989" customFormat="1" s="34"/>
    <row r="990" customFormat="1" s="34"/>
    <row r="991" customFormat="1" s="34"/>
    <row r="992" customFormat="1" s="34"/>
    <row r="993" customFormat="1" s="34"/>
    <row r="994" customFormat="1" s="34"/>
    <row r="995" customFormat="1" s="34"/>
    <row r="996" customFormat="1" s="34"/>
    <row r="997" customFormat="1" s="34"/>
    <row r="998" customFormat="1" s="34"/>
    <row r="999" customFormat="1" s="34"/>
    <row r="1000" customFormat="1" s="34"/>
    <row r="1001" customFormat="1" s="34"/>
    <row r="1002" customFormat="1" s="34"/>
    <row r="1003" customFormat="1" s="34"/>
    <row r="1004" customFormat="1" s="34"/>
    <row r="1005" customFormat="1" s="34"/>
    <row r="1006" customFormat="1" s="34"/>
    <row r="1007" customFormat="1" s="34"/>
    <row r="1008" customFormat="1" s="34"/>
    <row r="1009" customFormat="1" s="34"/>
    <row r="1010" customFormat="1" s="34"/>
    <row r="1011" customFormat="1" s="34"/>
    <row r="1012" customFormat="1" s="34"/>
    <row r="1013" customFormat="1" s="34"/>
    <row r="1014" customFormat="1" s="34"/>
    <row r="1015" customFormat="1" s="34"/>
    <row r="1016" customFormat="1" s="34"/>
    <row r="1017" customFormat="1" s="34"/>
    <row r="1018" customFormat="1" s="34"/>
    <row r="1019" customFormat="1" s="34"/>
    <row r="1020" customFormat="1" s="34"/>
    <row r="1021" customFormat="1" s="34"/>
    <row r="1022" customFormat="1" s="34"/>
    <row r="1023" customFormat="1" s="34"/>
    <row r="1024" customFormat="1" s="34"/>
    <row r="1025" customFormat="1" s="34"/>
    <row r="1026" customFormat="1" s="34"/>
    <row r="1027" customFormat="1" s="34"/>
    <row r="1028" customFormat="1" s="34"/>
    <row r="1029" customFormat="1" s="34"/>
    <row r="1030" customFormat="1" s="34"/>
    <row r="1031" customFormat="1" s="34"/>
    <row r="1032" customFormat="1" s="34"/>
    <row r="1033" customFormat="1" s="34"/>
    <row r="1034" customFormat="1" s="34"/>
    <row r="1035" customFormat="1" s="34"/>
    <row r="1036" customFormat="1" s="34"/>
    <row r="1037" customFormat="1" s="34"/>
    <row r="1038" customFormat="1" s="34"/>
    <row r="1039" customFormat="1" s="34"/>
    <row r="1040" customFormat="1" s="34"/>
    <row r="1041" customFormat="1" s="34"/>
    <row r="1042" customFormat="1" s="34"/>
    <row r="1043" customFormat="1" s="34"/>
    <row r="1044" customFormat="1" s="34"/>
    <row r="1045" customFormat="1" s="34"/>
    <row r="1046" customFormat="1" s="34"/>
    <row r="1047" customFormat="1" s="34"/>
    <row r="1048" customFormat="1" s="34"/>
    <row r="1049" customFormat="1" s="34"/>
    <row r="1050" customFormat="1" s="34"/>
    <row r="1051" customFormat="1" s="34"/>
    <row r="1052" customFormat="1" s="34"/>
    <row r="1053" customFormat="1" s="34"/>
    <row r="1054" customFormat="1" s="34"/>
    <row r="1055" customFormat="1" s="34"/>
    <row r="1056" customFormat="1" s="34"/>
    <row r="1057" customFormat="1" s="34"/>
    <row r="1058" customFormat="1" s="34"/>
    <row r="1059" customFormat="1" s="34"/>
    <row r="1060" customFormat="1" s="34"/>
    <row r="1061" customFormat="1" s="34"/>
    <row r="1062" customFormat="1" s="34"/>
    <row r="1063" customFormat="1" s="34"/>
    <row r="1064" customFormat="1" s="34"/>
    <row r="1065" customFormat="1" s="34"/>
    <row r="1066" customFormat="1" s="34"/>
    <row r="1067" customFormat="1" s="34"/>
    <row r="1068" customFormat="1" s="34"/>
    <row r="1069" customFormat="1" s="34"/>
    <row r="1070" customFormat="1" s="34"/>
    <row r="1071" customFormat="1" s="34"/>
    <row r="1072" customFormat="1" s="34"/>
    <row r="1073" customFormat="1" s="34"/>
    <row r="1074" customFormat="1" s="34"/>
    <row r="1075" customFormat="1" s="34"/>
    <row r="1076" customFormat="1" s="34"/>
    <row r="1077" customFormat="1" s="34"/>
    <row r="1078" customFormat="1" s="34"/>
    <row r="1079" customFormat="1" s="34"/>
    <row r="1080" customFormat="1" s="34"/>
    <row r="1081" customFormat="1" s="34"/>
    <row r="1082" customFormat="1" s="34"/>
    <row r="1083" customFormat="1" s="34"/>
    <row r="1084" customFormat="1" s="34"/>
    <row r="1085" customFormat="1" s="34"/>
    <row r="1086" customFormat="1" s="34"/>
    <row r="1087" customFormat="1" s="34"/>
    <row r="1088" customFormat="1" s="34"/>
    <row r="1089" customFormat="1" s="34"/>
    <row r="1090" customFormat="1" s="34"/>
    <row r="1091" customFormat="1" s="34"/>
    <row r="1092" customFormat="1" s="34"/>
    <row r="1093" customFormat="1" s="34"/>
    <row r="1094" customFormat="1" s="34"/>
    <row r="1095" customFormat="1" s="34"/>
    <row r="1096" customFormat="1" s="34"/>
    <row r="1097" customFormat="1" s="34"/>
    <row r="1098" customFormat="1" s="34"/>
    <row r="1099" customFormat="1" s="34"/>
    <row r="1100" customFormat="1" s="34"/>
    <row r="1101" customFormat="1" s="34"/>
    <row r="1102" customFormat="1" s="34"/>
    <row r="1103" customFormat="1" s="34"/>
    <row r="1104" customFormat="1" s="34"/>
    <row r="1105" customFormat="1" s="34"/>
    <row r="1106" customFormat="1" s="34"/>
    <row r="1107" customFormat="1" s="34"/>
    <row r="1108" customFormat="1" s="34"/>
    <row r="1109" customFormat="1" s="34"/>
    <row r="1110" customFormat="1" s="34"/>
    <row r="1111" customFormat="1" s="34"/>
    <row r="1112" customFormat="1" s="34"/>
    <row r="1113" customFormat="1" s="34"/>
    <row r="1114" customFormat="1" s="34"/>
    <row r="1115" customFormat="1" s="34"/>
    <row r="1116" customFormat="1" s="34"/>
    <row r="1117" customFormat="1" s="34"/>
    <row r="1118" customFormat="1" s="34"/>
    <row r="1119" customFormat="1" s="34"/>
    <row r="1120" customFormat="1" s="34"/>
    <row r="1121" customFormat="1" s="34"/>
    <row r="1122" customFormat="1" s="34"/>
    <row r="1123" customFormat="1" s="34"/>
    <row r="1124" customFormat="1" s="34"/>
    <row r="1125" customFormat="1" s="34"/>
    <row r="1126" customFormat="1" s="34"/>
    <row r="1127" customFormat="1" s="34"/>
    <row r="1128" customFormat="1" s="34"/>
    <row r="1129" customFormat="1" s="34"/>
    <row r="1130" customFormat="1" s="34"/>
    <row r="1131" customFormat="1" s="34"/>
    <row r="1132" customFormat="1" s="34"/>
    <row r="1133" customFormat="1" s="34"/>
    <row r="1134" customFormat="1" s="34"/>
    <row r="1135" customFormat="1" s="34"/>
    <row r="1136" customFormat="1" s="34"/>
    <row r="1137" customFormat="1" s="34"/>
    <row r="1138" customFormat="1" s="34"/>
    <row r="1139" customFormat="1" s="34"/>
    <row r="1140" customFormat="1" s="34"/>
    <row r="1141" customFormat="1" s="34"/>
    <row r="1142" customFormat="1" s="34"/>
    <row r="1143" customFormat="1" s="34"/>
    <row r="1144" customFormat="1" s="34"/>
    <row r="1145" customFormat="1" s="34"/>
    <row r="1146" customFormat="1" s="34"/>
    <row r="1147" customFormat="1" s="34"/>
    <row r="1148" customFormat="1" s="34"/>
    <row r="1149" customFormat="1" s="34"/>
    <row r="1150" customFormat="1" s="34"/>
    <row r="1151" customFormat="1" s="34"/>
    <row r="1152" customFormat="1" s="34"/>
    <row r="1153" customFormat="1" s="34"/>
    <row r="1154" customFormat="1" s="34"/>
    <row r="1155" customFormat="1" s="34"/>
    <row r="1156" customFormat="1" s="34"/>
    <row r="1157" customFormat="1" s="34"/>
    <row r="1158" customFormat="1" s="34"/>
    <row r="1159" customFormat="1" s="34"/>
    <row r="1160" customFormat="1" s="34"/>
    <row r="1161" customFormat="1" s="34"/>
    <row r="1162" customFormat="1" s="34"/>
    <row r="1163" customFormat="1" s="34"/>
    <row r="1164" customFormat="1" s="34"/>
    <row r="1165" customFormat="1" s="34"/>
    <row r="1166" customFormat="1" s="34"/>
    <row r="1167" customFormat="1" s="34"/>
    <row r="1168" customFormat="1" s="34"/>
    <row r="1169" customFormat="1" s="34"/>
    <row r="1170" customFormat="1" s="34"/>
    <row r="1171" customFormat="1" s="34"/>
    <row r="1172" customFormat="1" s="34"/>
    <row r="1173" customFormat="1" s="34"/>
    <row r="1174" customFormat="1" s="34"/>
    <row r="1175" customFormat="1" s="34"/>
    <row r="1176" customFormat="1" s="34"/>
    <row r="1177" customFormat="1" s="34"/>
    <row r="1178" customFormat="1" s="34"/>
    <row r="1179" customFormat="1" s="34"/>
    <row r="1180" customFormat="1" s="34"/>
    <row r="1181" customFormat="1" s="34"/>
    <row r="1182" customFormat="1" s="34"/>
    <row r="1183" customFormat="1" s="34"/>
    <row r="1184" customFormat="1" s="34"/>
    <row r="1185" customFormat="1" s="34"/>
    <row r="1186" customFormat="1" s="34"/>
    <row r="1187" customFormat="1" s="34"/>
    <row r="1188" customFormat="1" s="34"/>
    <row r="1189" customFormat="1" s="34"/>
    <row r="1190" customFormat="1" s="34"/>
    <row r="1191" customFormat="1" s="34"/>
    <row r="1192" customFormat="1" s="34"/>
    <row r="1193" customFormat="1" s="34"/>
    <row r="1194" customFormat="1" s="34"/>
    <row r="1195" customFormat="1" s="34"/>
    <row r="1196" customFormat="1" s="34"/>
    <row r="1197" customFormat="1" s="34"/>
    <row r="1198" customFormat="1" s="34"/>
    <row r="1199" customFormat="1" s="34"/>
    <row r="1200" customFormat="1" s="34"/>
    <row r="1201" customFormat="1" s="34"/>
    <row r="1202" customFormat="1" s="34"/>
    <row r="1203" customFormat="1" s="34"/>
    <row r="1204" customFormat="1" s="34"/>
    <row r="1205" customFormat="1" s="34"/>
    <row r="1206" customFormat="1" s="34"/>
    <row r="1207" customFormat="1" s="34"/>
    <row r="1208" customFormat="1" s="34"/>
    <row r="1209" customFormat="1" s="34"/>
    <row r="1210" customFormat="1" s="34"/>
    <row r="1211" customFormat="1" s="34"/>
    <row r="1212" customFormat="1" s="34"/>
    <row r="1213" customFormat="1" s="34"/>
    <row r="1214" customFormat="1" s="34"/>
    <row r="1215" customFormat="1" s="34"/>
    <row r="1216" customFormat="1" s="34"/>
    <row r="1217" customFormat="1" s="34"/>
    <row r="1218" customFormat="1" s="34"/>
    <row r="1219" customFormat="1" s="34"/>
    <row r="1220" customFormat="1" s="34"/>
    <row r="1221" customFormat="1" s="34"/>
    <row r="1222" customFormat="1" s="34"/>
    <row r="1223" customFormat="1" s="34"/>
    <row r="1224" customFormat="1" s="34"/>
    <row r="1225" customFormat="1" s="34"/>
    <row r="1226" customFormat="1" s="34"/>
    <row r="1227" customFormat="1" s="34"/>
    <row r="1228" customFormat="1" s="34"/>
    <row r="1229" customFormat="1" s="34"/>
    <row r="1230" customFormat="1" s="34"/>
    <row r="1231" customFormat="1" s="34"/>
    <row r="1232" customFormat="1" s="34"/>
    <row r="1233" customFormat="1" s="34"/>
    <row r="1234" customFormat="1" s="34"/>
    <row r="1235" customFormat="1" s="34"/>
    <row r="1236" customFormat="1" s="34"/>
    <row r="1237" customFormat="1" s="34"/>
    <row r="1238" customFormat="1" s="34"/>
    <row r="1239" customFormat="1" s="34"/>
    <row r="1240" customFormat="1" s="34"/>
    <row r="1241" customFormat="1" s="34"/>
    <row r="1242" customFormat="1" s="34"/>
    <row r="1243" customFormat="1" s="34"/>
    <row r="1244" customFormat="1" s="34"/>
    <row r="1245" customFormat="1" s="34"/>
    <row r="1246" customFormat="1" s="34"/>
    <row r="1247" customFormat="1" s="34"/>
    <row r="1248" customFormat="1" s="34"/>
    <row r="1249" customFormat="1" s="34"/>
    <row r="1250" customFormat="1" s="34"/>
    <row r="1251" customFormat="1" s="34"/>
    <row r="1252" customFormat="1" s="34"/>
    <row r="1253" customFormat="1" s="34"/>
    <row r="1254" customFormat="1" s="34"/>
    <row r="1255" customFormat="1" s="34"/>
    <row r="1256" customFormat="1" s="34"/>
    <row r="1257" customFormat="1" s="34"/>
    <row r="1258" customFormat="1" s="34"/>
    <row r="1259" customFormat="1" s="34"/>
    <row r="1260" customFormat="1" s="34"/>
    <row r="1261" customFormat="1" s="34"/>
    <row r="1262" customFormat="1" s="34"/>
    <row r="1263" customFormat="1" s="34"/>
    <row r="1264" customFormat="1" s="34"/>
    <row r="1265" customFormat="1" s="34"/>
    <row r="1266" customFormat="1" s="34"/>
    <row r="1267" customFormat="1" s="34"/>
    <row r="1268" customFormat="1" s="34"/>
    <row r="1269" customFormat="1" s="34"/>
    <row r="1270" customFormat="1" s="34"/>
    <row r="1271" customFormat="1" s="34"/>
    <row r="1272" customFormat="1" s="34"/>
    <row r="1273" customFormat="1" s="34"/>
    <row r="1274" customFormat="1" s="34"/>
    <row r="1275" customFormat="1" s="34"/>
    <row r="1276" customFormat="1" s="34"/>
    <row r="1277" customFormat="1" s="34"/>
    <row r="1278" customFormat="1" s="34"/>
    <row r="1279" customFormat="1" s="34"/>
    <row r="1280" customFormat="1" s="34"/>
    <row r="1281" customFormat="1" s="34"/>
    <row r="1282" customFormat="1" s="34"/>
    <row r="1283" customFormat="1" s="34"/>
    <row r="1284" customFormat="1" s="34"/>
    <row r="1285" customFormat="1" s="34"/>
    <row r="1286" customFormat="1" s="34"/>
    <row r="1287" customFormat="1" s="34"/>
    <row r="1288" customFormat="1" s="34"/>
    <row r="1289" customFormat="1" s="34"/>
    <row r="1290" customFormat="1" s="34"/>
    <row r="1291" customFormat="1" s="34"/>
    <row r="1292" customFormat="1" s="34"/>
    <row r="1293" customFormat="1" s="34"/>
    <row r="1294" customFormat="1" s="34"/>
    <row r="1295" customFormat="1" s="34"/>
    <row r="1296" customFormat="1" s="34"/>
    <row r="1297" customFormat="1" s="34"/>
    <row r="1298" customFormat="1" s="34"/>
    <row r="1299" customFormat="1" s="34"/>
    <row r="1300" customFormat="1" s="34"/>
    <row r="1301" customFormat="1" s="34"/>
    <row r="1302" customFormat="1" s="34"/>
    <row r="1303" customFormat="1" s="34"/>
    <row r="1304" customFormat="1" s="34"/>
    <row r="1305" customFormat="1" s="34"/>
    <row r="1306" customFormat="1" s="34"/>
    <row r="1307" customFormat="1" s="34"/>
    <row r="1308" customFormat="1" s="34"/>
    <row r="1309" customFormat="1" s="34"/>
    <row r="1310" customFormat="1" s="34"/>
    <row r="1311" customFormat="1" s="34"/>
    <row r="1312" customFormat="1" s="34"/>
    <row r="1313" customFormat="1" s="34"/>
    <row r="1314" customFormat="1" s="34"/>
    <row r="1315" customFormat="1" s="34"/>
    <row r="1316" customFormat="1" s="34"/>
    <row r="1317" customFormat="1" s="34"/>
    <row r="1318" customFormat="1" s="34"/>
    <row r="1319" customFormat="1" s="34"/>
    <row r="1320" customFormat="1" s="34"/>
    <row r="1321" customFormat="1" s="34"/>
    <row r="1322" customFormat="1" s="34"/>
    <row r="1323" customFormat="1" s="34"/>
    <row r="1324" customFormat="1" s="34"/>
    <row r="1325" customFormat="1" s="34"/>
    <row r="1326" customFormat="1" s="34"/>
    <row r="1327" customFormat="1" s="34"/>
    <row r="1328" customFormat="1" s="34"/>
    <row r="1329" customFormat="1" s="34"/>
    <row r="1330" customFormat="1" s="34"/>
    <row r="1331" customFormat="1" s="34"/>
    <row r="1332" customFormat="1" s="34"/>
    <row r="1333" customFormat="1" s="34"/>
    <row r="1334" customFormat="1" s="34"/>
    <row r="1335" customFormat="1" s="34"/>
    <row r="1336" customFormat="1" s="34"/>
    <row r="1337" customFormat="1" s="34"/>
    <row r="1338" customFormat="1" s="34"/>
    <row r="1339" customFormat="1" s="34"/>
    <row r="1340" customFormat="1" s="34"/>
    <row r="1341" customFormat="1" s="34"/>
    <row r="1342" customFormat="1" s="34"/>
    <row r="1343" customFormat="1" s="34"/>
    <row r="1344" customFormat="1" s="34"/>
    <row r="1345" customFormat="1" s="34"/>
    <row r="1346" customFormat="1" s="34"/>
    <row r="1347" customFormat="1" s="34"/>
    <row r="1348" customFormat="1" s="34"/>
    <row r="1349" customFormat="1" s="34"/>
    <row r="1350" customFormat="1" s="34"/>
    <row r="1351" customFormat="1" s="34"/>
    <row r="1352" customFormat="1" s="34"/>
    <row r="1353" customFormat="1" s="34"/>
    <row r="1354" customFormat="1" s="34"/>
    <row r="1355" customFormat="1" s="34"/>
    <row r="1356" customFormat="1" s="34"/>
    <row r="1357" customFormat="1" s="34"/>
    <row r="1358" customFormat="1" s="34"/>
    <row r="1359" customFormat="1" s="34"/>
    <row r="1360" customFormat="1" s="34"/>
    <row r="1361" customFormat="1" s="34"/>
    <row r="1362" customFormat="1" s="34"/>
    <row r="1363" customFormat="1" s="34"/>
    <row r="1364" customFormat="1" s="34"/>
    <row r="1365" customFormat="1" s="34"/>
    <row r="1366" customFormat="1" s="34"/>
    <row r="1367" customFormat="1" s="34"/>
    <row r="1368" customFormat="1" s="34"/>
    <row r="1369" customFormat="1" s="34"/>
    <row r="1370" customFormat="1" s="34"/>
    <row r="1371" customFormat="1" s="34"/>
    <row r="1372" customFormat="1" s="34"/>
    <row r="1373" customFormat="1" s="34"/>
    <row r="1374" customFormat="1" s="34"/>
    <row r="1375" customFormat="1" s="34"/>
    <row r="1376" customFormat="1" s="34"/>
    <row r="1377" customFormat="1" s="34"/>
    <row r="1378" customFormat="1" s="34"/>
    <row r="1379" customFormat="1" s="34"/>
    <row r="1380" customFormat="1" s="34"/>
    <row r="1381" customFormat="1" s="34"/>
    <row r="1382" customFormat="1" s="34"/>
    <row r="1383" customFormat="1" s="34"/>
    <row r="1384" customFormat="1" s="34"/>
    <row r="1385" customFormat="1" s="34"/>
    <row r="1386" customFormat="1" s="34"/>
    <row r="1387" customFormat="1" s="34"/>
    <row r="1388" customFormat="1" s="34"/>
    <row r="1389" customFormat="1" s="34"/>
    <row r="1390" customFormat="1" s="34"/>
    <row r="1391" customFormat="1" s="34"/>
    <row r="1392" customFormat="1" s="34"/>
    <row r="1393" customFormat="1" s="34"/>
    <row r="1394" customFormat="1" s="34"/>
    <row r="1395" customFormat="1" s="34"/>
    <row r="1396" customFormat="1" s="34"/>
    <row r="1397" customFormat="1" s="34"/>
    <row r="1398" customFormat="1" s="34"/>
    <row r="1399" customFormat="1" s="34"/>
    <row r="1400" customFormat="1" s="34"/>
    <row r="1401" customFormat="1" s="34"/>
    <row r="1402" customFormat="1" s="34"/>
    <row r="1403" customFormat="1" s="34"/>
    <row r="1404" customFormat="1" s="34"/>
    <row r="1405" customFormat="1" s="34"/>
    <row r="1406" customFormat="1" s="34"/>
    <row r="1407" customFormat="1" s="34"/>
    <row r="1408" customFormat="1" s="34"/>
    <row r="1409" customFormat="1" s="34"/>
    <row r="1410" customFormat="1" s="34"/>
    <row r="1411" customFormat="1" s="34"/>
    <row r="1412" customFormat="1" s="34"/>
    <row r="1413" customFormat="1" s="34"/>
    <row r="1414" customFormat="1" s="34"/>
    <row r="1415" customFormat="1" s="34"/>
    <row r="1416" customFormat="1" s="34"/>
    <row r="1417" customFormat="1" s="34"/>
    <row r="1418" customFormat="1" s="34"/>
    <row r="1419" customFormat="1" s="34"/>
    <row r="1420" customFormat="1" s="34"/>
    <row r="1421" customFormat="1" s="34"/>
    <row r="1422" customFormat="1" s="34"/>
    <row r="1423" customFormat="1" s="34"/>
    <row r="1424" customFormat="1" s="34"/>
    <row r="1425" customFormat="1" s="34"/>
    <row r="1426" customFormat="1" s="34"/>
    <row r="1427" customFormat="1" s="34"/>
    <row r="1428" customFormat="1" s="34"/>
    <row r="1429" customFormat="1" s="34"/>
    <row r="1430" customFormat="1" s="34"/>
    <row r="1431" customFormat="1" s="34"/>
    <row r="1432" customFormat="1" s="34"/>
    <row r="1433" customFormat="1" s="34"/>
    <row r="1434" customFormat="1" s="34"/>
    <row r="1435" customFormat="1" s="34"/>
    <row r="1436" customFormat="1" s="34"/>
    <row r="1437" customFormat="1" s="34"/>
    <row r="1438" customFormat="1" s="34"/>
    <row r="1439" customFormat="1" s="34"/>
    <row r="1440" customFormat="1" s="34"/>
    <row r="1441" customFormat="1" s="34"/>
    <row r="1442" customFormat="1" s="34"/>
    <row r="1443" customFormat="1" s="34"/>
    <row r="1444" customFormat="1" s="34"/>
    <row r="1445" customFormat="1" s="34"/>
    <row r="1446" customFormat="1" s="34"/>
    <row r="1447" customFormat="1" s="34"/>
    <row r="1448" customFormat="1" s="34"/>
    <row r="1449" customFormat="1" s="34"/>
    <row r="1450" customFormat="1" s="34"/>
    <row r="1451" customFormat="1" s="34"/>
    <row r="1452" customFormat="1" s="34"/>
    <row r="1453" customFormat="1" s="34"/>
    <row r="1454" customFormat="1" s="34"/>
    <row r="1455" customFormat="1" s="34"/>
    <row r="1456" customFormat="1" s="34"/>
    <row r="1457" customFormat="1" s="34"/>
    <row r="1458" customFormat="1" s="34"/>
    <row r="1459" customFormat="1" s="34"/>
    <row r="1460" customFormat="1" s="34"/>
    <row r="1461" customFormat="1" s="34"/>
    <row r="1462" customFormat="1" s="34"/>
    <row r="1463" customFormat="1" s="34"/>
    <row r="1464" customFormat="1" s="34"/>
    <row r="1465" customFormat="1" s="34"/>
    <row r="1466" customFormat="1" s="34"/>
    <row r="1467" customFormat="1" s="34"/>
    <row r="1468" customFormat="1" s="34"/>
    <row r="1469" customFormat="1" s="34"/>
    <row r="1470" customFormat="1" s="34"/>
    <row r="1471" customFormat="1" s="34"/>
    <row r="1472" customFormat="1" s="34"/>
    <row r="1473" customFormat="1" s="34"/>
    <row r="1474" customFormat="1" s="34"/>
    <row r="1475" customFormat="1" s="34"/>
    <row r="1476" customFormat="1" s="34"/>
    <row r="1477" customFormat="1" s="34"/>
    <row r="1478" customFormat="1" s="34"/>
    <row r="1479" customFormat="1" s="34"/>
    <row r="1480" customFormat="1" s="34"/>
    <row r="1481" customFormat="1" s="34"/>
    <row r="1482" customFormat="1" s="34"/>
    <row r="1483" customFormat="1" s="34"/>
    <row r="1484" customFormat="1" s="34"/>
    <row r="1485" customFormat="1" s="34"/>
    <row r="1486" customFormat="1" s="34"/>
    <row r="1487" customFormat="1" s="34"/>
    <row r="1488" customFormat="1" s="34"/>
    <row r="1489" customFormat="1" s="34"/>
    <row r="1490" customFormat="1" s="34"/>
    <row r="1491" customFormat="1" s="34"/>
    <row r="1492" customFormat="1" s="34"/>
    <row r="1493" customFormat="1" s="34"/>
    <row r="1494" customFormat="1" s="34"/>
    <row r="1495" customFormat="1" s="34"/>
    <row r="1496" customFormat="1" s="34"/>
    <row r="1497" customFormat="1" s="34"/>
    <row r="1498" customFormat="1" s="34"/>
    <row r="1499" customFormat="1" s="34"/>
    <row r="1500" customFormat="1" s="34"/>
    <row r="1501" customFormat="1" s="34"/>
    <row r="1502" customFormat="1" s="34"/>
    <row r="1503" customFormat="1" s="34"/>
    <row r="1504" customFormat="1" s="34"/>
    <row r="1505" customFormat="1" s="34"/>
    <row r="1506" customFormat="1" s="34"/>
    <row r="1507" customFormat="1" s="34"/>
    <row r="1508" customFormat="1" s="34"/>
    <row r="1509" customFormat="1" s="34"/>
    <row r="1510" customFormat="1" s="34"/>
    <row r="1511" customFormat="1" s="34"/>
    <row r="1512" customFormat="1" s="34"/>
    <row r="1513" customFormat="1" s="34"/>
    <row r="1514" customFormat="1" s="34"/>
    <row r="1515" customFormat="1" s="34"/>
    <row r="1516" customFormat="1" s="34"/>
    <row r="1517" customFormat="1" s="34"/>
    <row r="1518" customFormat="1" s="34"/>
    <row r="1519" customFormat="1" s="34"/>
    <row r="1520" customFormat="1" s="34"/>
    <row r="1521" customFormat="1" s="34"/>
    <row r="1522" customFormat="1" s="34"/>
    <row r="1523" customFormat="1" s="34"/>
    <row r="1524" customFormat="1" s="34"/>
    <row r="1525" customFormat="1" s="34"/>
    <row r="1526" customFormat="1" s="34"/>
    <row r="1527" customFormat="1" s="34"/>
    <row r="1528" customFormat="1" s="34"/>
    <row r="1529" customFormat="1" s="34"/>
    <row r="1530" customFormat="1" s="34"/>
    <row r="1531" customFormat="1" s="34"/>
    <row r="1532" customFormat="1" s="34"/>
    <row r="1533" customFormat="1" s="34"/>
    <row r="1534" customFormat="1" s="34"/>
    <row r="1535" customFormat="1" s="34"/>
    <row r="1536" customFormat="1" s="34"/>
    <row r="1537" customFormat="1" s="34"/>
    <row r="1538" customFormat="1" s="34"/>
    <row r="1539" customFormat="1" s="34"/>
    <row r="1540" customFormat="1" s="34"/>
    <row r="1541" customFormat="1" s="34"/>
    <row r="1542" customFormat="1" s="34"/>
    <row r="1543" customFormat="1" s="34"/>
    <row r="1544" customFormat="1" s="34"/>
    <row r="1545" customFormat="1" s="34"/>
    <row r="1546" customFormat="1" s="34"/>
    <row r="1547" customFormat="1" s="34"/>
    <row r="1548" customFormat="1" s="34"/>
    <row r="1549" customFormat="1" s="34"/>
    <row r="1550" customFormat="1" s="34"/>
    <row r="1551" customFormat="1" s="34"/>
    <row r="1552" customFormat="1" s="34"/>
    <row r="1553" customFormat="1" s="34"/>
    <row r="1554" customFormat="1" s="34"/>
    <row r="1555" customFormat="1" s="34"/>
    <row r="1556" customFormat="1" s="34"/>
    <row r="1557" customFormat="1" s="34"/>
    <row r="1558" customFormat="1" s="34"/>
    <row r="1559" customFormat="1" s="34"/>
    <row r="1560" customFormat="1" s="34"/>
    <row r="1561" customFormat="1" s="34"/>
    <row r="1562" customFormat="1" s="34"/>
    <row r="1563" customFormat="1" s="34"/>
    <row r="1564" customFormat="1" s="34"/>
    <row r="1565" customFormat="1" s="34"/>
    <row r="1566" customFormat="1" s="34"/>
    <row r="1567" customFormat="1" s="34"/>
    <row r="1568" customFormat="1" s="34"/>
    <row r="1569" customFormat="1" s="34"/>
    <row r="1570" customFormat="1" s="34"/>
    <row r="1571" customFormat="1" s="34"/>
    <row r="1572" customFormat="1" s="34"/>
    <row r="1573" customFormat="1" s="34"/>
    <row r="1574" customFormat="1" s="34"/>
    <row r="1575" customFormat="1" s="34"/>
    <row r="1576" customFormat="1" s="34"/>
    <row r="1577" customFormat="1" s="34"/>
    <row r="1578" customFormat="1" s="34"/>
    <row r="1579" customFormat="1" s="34"/>
    <row r="1580" customFormat="1" s="34"/>
    <row r="1581" customFormat="1" s="34"/>
    <row r="1582" customFormat="1" s="34"/>
    <row r="1583" customFormat="1" s="34"/>
    <row r="1584" customFormat="1" s="34"/>
    <row r="1585" customFormat="1" s="34"/>
    <row r="1586" customFormat="1" s="34"/>
    <row r="1587" customFormat="1" s="34"/>
    <row r="1588" customFormat="1" s="34"/>
    <row r="1589" customFormat="1" s="34"/>
    <row r="1590" customFormat="1" s="34"/>
    <row r="1591" customFormat="1" s="34"/>
    <row r="1592" customFormat="1" s="34"/>
    <row r="1593" customFormat="1" s="34"/>
    <row r="1594" customFormat="1" s="34"/>
    <row r="1595" customFormat="1" s="34"/>
    <row r="1596" customFormat="1" s="34"/>
    <row r="1597" customFormat="1" s="34"/>
    <row r="1598" customFormat="1" s="34"/>
    <row r="1599" customFormat="1" s="34"/>
    <row r="1600" customFormat="1" s="34"/>
    <row r="1601" customFormat="1" s="34"/>
    <row r="1602" customFormat="1" s="34"/>
    <row r="1603" customFormat="1" s="34"/>
    <row r="1604" customFormat="1" s="34"/>
    <row r="1605" customFormat="1" s="34"/>
    <row r="1606" customFormat="1" s="34"/>
    <row r="1607" customFormat="1" s="34"/>
    <row r="1608" customFormat="1" s="34"/>
    <row r="1609" customFormat="1" s="34"/>
    <row r="1610" customFormat="1" s="34"/>
    <row r="1611" customFormat="1" s="34"/>
    <row r="1612" customFormat="1" s="34"/>
    <row r="1613" customFormat="1" s="34"/>
    <row r="1614" customFormat="1" s="34"/>
    <row r="1615" customFormat="1" s="34"/>
    <row r="1616" customFormat="1" s="34"/>
    <row r="1617" customFormat="1" s="34"/>
    <row r="1618" customFormat="1" s="34"/>
    <row r="1619" customFormat="1" s="34"/>
    <row r="1620" customFormat="1" s="34"/>
    <row r="1621" customFormat="1" s="34"/>
    <row r="1622" customFormat="1" s="34"/>
    <row r="1623" customFormat="1" s="34"/>
    <row r="1624" customFormat="1" s="34"/>
    <row r="1625" customFormat="1" s="34"/>
    <row r="1626" customFormat="1" s="34"/>
    <row r="1627" customFormat="1" s="34"/>
    <row r="1628" customFormat="1" s="34"/>
    <row r="1629" customFormat="1" s="34"/>
    <row r="1630" customFormat="1" s="34"/>
    <row r="1631" customFormat="1" s="34"/>
    <row r="1632" customFormat="1" s="34"/>
    <row r="1633" customFormat="1" s="34"/>
    <row r="1634" customFormat="1" s="34"/>
    <row r="1635" customFormat="1" s="34"/>
    <row r="1636" customFormat="1" s="34"/>
    <row r="1637" customFormat="1" s="34"/>
    <row r="1638" customFormat="1" s="34"/>
    <row r="1639" customFormat="1" s="34"/>
    <row r="1640" customFormat="1" s="34"/>
    <row r="1641" customFormat="1" s="34"/>
    <row r="1642" customFormat="1" s="34"/>
    <row r="1643" customFormat="1" s="34"/>
    <row r="1644" customFormat="1" s="34"/>
    <row r="1645" customFormat="1" s="34"/>
    <row r="1646" customFormat="1" s="34"/>
    <row r="1647" customFormat="1" s="34"/>
    <row r="1648" customFormat="1" s="34"/>
    <row r="1649" customFormat="1" s="34"/>
    <row r="1650" customFormat="1" s="34"/>
    <row r="1651" customFormat="1" s="34"/>
    <row r="1652" customFormat="1" s="34"/>
    <row r="1653" customFormat="1" s="34"/>
    <row r="1654" customFormat="1" s="34"/>
    <row r="1655" customFormat="1" s="34"/>
    <row r="1656" customFormat="1" s="34"/>
    <row r="1657" customFormat="1" s="34"/>
    <row r="1658" customFormat="1" s="34"/>
    <row r="1659" customFormat="1" s="34"/>
    <row r="1660" customFormat="1" s="34"/>
    <row r="1661" customFormat="1" s="34"/>
    <row r="1662" customFormat="1" s="34"/>
    <row r="1663" customFormat="1" s="34"/>
    <row r="1664" customFormat="1" s="34"/>
    <row r="1665" customFormat="1" s="34"/>
    <row r="1666" customFormat="1" s="34"/>
    <row r="1667" customFormat="1" s="34"/>
    <row r="1668" customFormat="1" s="34"/>
    <row r="1669" customFormat="1" s="34"/>
    <row r="1670" customFormat="1" s="34"/>
    <row r="1671" customFormat="1" s="34"/>
    <row r="1672" customFormat="1" s="34"/>
    <row r="1673" customFormat="1" s="34"/>
    <row r="1674" customFormat="1" s="34"/>
    <row r="1675" customFormat="1" s="34"/>
    <row r="1676" customFormat="1" s="34"/>
    <row r="1677" customFormat="1" s="34"/>
    <row r="1678" customFormat="1" s="34"/>
    <row r="1679" customFormat="1" s="34"/>
    <row r="1680" customFormat="1" s="34"/>
    <row r="1681" customFormat="1" s="34"/>
    <row r="1682" customFormat="1" s="34"/>
    <row r="1683" customFormat="1" s="34"/>
    <row r="1684" customFormat="1" s="34"/>
    <row r="1685" customFormat="1" s="34"/>
    <row r="1686" customFormat="1" s="34"/>
    <row r="1687" customFormat="1" s="34"/>
    <row r="1688" customFormat="1" s="34"/>
    <row r="1689" customFormat="1" s="34"/>
    <row r="1690" customFormat="1" s="34"/>
    <row r="1691" customFormat="1" s="34"/>
    <row r="1692" customFormat="1" s="34"/>
    <row r="1693" customFormat="1" s="34"/>
    <row r="1694" customFormat="1" s="34"/>
    <row r="1695" customFormat="1" s="34"/>
    <row r="1696" customFormat="1" s="34"/>
    <row r="1697" customFormat="1" s="34"/>
    <row r="1698" customFormat="1" s="34"/>
    <row r="1699" customFormat="1" s="34"/>
    <row r="1700" customFormat="1" s="34"/>
    <row r="1701" customFormat="1" s="34"/>
    <row r="1702" customFormat="1" s="34"/>
    <row r="1703" customFormat="1" s="34"/>
    <row r="1704" customFormat="1" s="34"/>
    <row r="1705" customFormat="1" s="34"/>
    <row r="1706" customFormat="1" s="34"/>
    <row r="1707" customFormat="1" s="34"/>
    <row r="1708" customFormat="1" s="34"/>
    <row r="1709" customFormat="1" s="34"/>
    <row r="1710" customFormat="1" s="34"/>
    <row r="1711" customFormat="1" s="34"/>
    <row r="1712" customFormat="1" s="34"/>
    <row r="1713" customFormat="1" s="34"/>
    <row r="1714" customFormat="1" s="34"/>
    <row r="1715" customFormat="1" s="34"/>
    <row r="1716" customFormat="1" s="34"/>
    <row r="1717" customFormat="1" s="34"/>
    <row r="1718" customFormat="1" s="34"/>
    <row r="1719" customFormat="1" s="34"/>
    <row r="1720" customFormat="1" s="34"/>
    <row r="1721" customFormat="1" s="34"/>
    <row r="1722" customFormat="1" s="34"/>
    <row r="1723" customFormat="1" s="34"/>
    <row r="1724" customFormat="1" s="34"/>
    <row r="1725" customFormat="1" s="34"/>
    <row r="1726" customFormat="1" s="34"/>
    <row r="1727" customFormat="1" s="34"/>
    <row r="1728" customFormat="1" s="34"/>
    <row r="1729" customFormat="1" s="34"/>
    <row r="1730" customFormat="1" s="34"/>
    <row r="1731" customFormat="1" s="34"/>
    <row r="1732" customFormat="1" s="34"/>
    <row r="1733" customFormat="1" s="34"/>
    <row r="1734" customFormat="1" s="34"/>
    <row r="1735" customFormat="1" s="34"/>
    <row r="1736" customFormat="1" s="34"/>
    <row r="1737" customFormat="1" s="34"/>
    <row r="1738" customFormat="1" s="34"/>
    <row r="1739" customFormat="1" s="34"/>
    <row r="1740" customFormat="1" s="34"/>
    <row r="1741" customFormat="1" s="34"/>
    <row r="1742" customFormat="1" s="34"/>
    <row r="1743" customFormat="1" s="34"/>
    <row r="1744" customFormat="1" s="34"/>
    <row r="1745" customFormat="1" s="34"/>
    <row r="1746" customFormat="1" s="34"/>
    <row r="1747" customFormat="1" s="34"/>
    <row r="1748" customFormat="1" s="34"/>
    <row r="1749" customFormat="1" s="34"/>
    <row r="1750" customFormat="1" s="34"/>
    <row r="1751" customFormat="1" s="34"/>
    <row r="1752" customFormat="1" s="34"/>
    <row r="1753" customFormat="1" s="34"/>
    <row r="1754" customFormat="1" s="34"/>
    <row r="1755" customFormat="1" s="34"/>
    <row r="1756" customFormat="1" s="34"/>
    <row r="1757" customFormat="1" s="34"/>
    <row r="1758" customFormat="1" s="34"/>
    <row r="1759" customFormat="1" s="34"/>
    <row r="1760" customFormat="1" s="34"/>
    <row r="1761" customFormat="1" s="34"/>
    <row r="1762" customFormat="1" s="34"/>
    <row r="1763" customFormat="1" s="34"/>
    <row r="1764" customFormat="1" s="34"/>
    <row r="1765" customFormat="1" s="34"/>
    <row r="1766" customFormat="1" s="34"/>
    <row r="1767" customFormat="1" s="34"/>
    <row r="1768" customFormat="1" s="34"/>
    <row r="1769" customFormat="1" s="34"/>
    <row r="1770" customFormat="1" s="34"/>
    <row r="1771" customFormat="1" s="34"/>
    <row r="1772" customFormat="1" s="34"/>
    <row r="1773" customFormat="1" s="34"/>
    <row r="1774" customFormat="1" s="34"/>
    <row r="1775" customFormat="1" s="34"/>
    <row r="1776" customFormat="1" s="34"/>
    <row r="1777" customFormat="1" s="34"/>
    <row r="1778" customFormat="1" s="34"/>
    <row r="1779" customFormat="1" s="34"/>
    <row r="1780" customFormat="1" s="34"/>
    <row r="1781" customFormat="1" s="34"/>
    <row r="1782" customFormat="1" s="34"/>
    <row r="1783" customFormat="1" s="34"/>
    <row r="1784" customFormat="1" s="34"/>
    <row r="1785" customFormat="1" s="34"/>
    <row r="1786" customFormat="1" s="34"/>
    <row r="1787" customFormat="1" s="34"/>
    <row r="1788" customFormat="1" s="34"/>
    <row r="1789" customFormat="1" s="34"/>
    <row r="1790" customFormat="1" s="34"/>
    <row r="1791" customFormat="1" s="34"/>
    <row r="1792" customFormat="1" s="34"/>
    <row r="1793" customFormat="1" s="34"/>
    <row r="1794" customFormat="1" s="34"/>
    <row r="1795" customFormat="1" s="34"/>
    <row r="1796" customFormat="1" s="34"/>
    <row r="1797" customFormat="1" s="34"/>
    <row r="1798" customFormat="1" s="34"/>
    <row r="1799" customFormat="1" s="34"/>
    <row r="1800" customFormat="1" s="34"/>
    <row r="1801" customFormat="1" s="34"/>
    <row r="1802" customFormat="1" s="34"/>
    <row r="1803" customFormat="1" s="34"/>
    <row r="1804" customFormat="1" s="34"/>
    <row r="1805" customFormat="1" s="34"/>
    <row r="1806" customFormat="1" s="34"/>
    <row r="1807" customFormat="1" s="34"/>
    <row r="1808" customFormat="1" s="34"/>
    <row r="1809" customFormat="1" s="34"/>
    <row r="1810" customFormat="1" s="34"/>
    <row r="1811" customFormat="1" s="34"/>
    <row r="1812" customFormat="1" s="34"/>
    <row r="1813" customFormat="1" s="34"/>
    <row r="1814" customFormat="1" s="34"/>
    <row r="1815" customFormat="1" s="34"/>
    <row r="1816" customFormat="1" s="34"/>
    <row r="1817" customFormat="1" s="34"/>
    <row r="1818" customFormat="1" s="34"/>
    <row r="1819" customFormat="1" s="34"/>
    <row r="1820" customFormat="1" s="34"/>
    <row r="1821" customFormat="1" s="34"/>
    <row r="1822" customFormat="1" s="34"/>
    <row r="1823" customFormat="1" s="34"/>
    <row r="1824" customFormat="1" s="34"/>
    <row r="1825" customFormat="1" s="34"/>
    <row r="1826" customFormat="1" s="34"/>
    <row r="1827" customFormat="1" s="34"/>
    <row r="1828" customFormat="1" s="34"/>
    <row r="1829" customFormat="1" s="34"/>
    <row r="1830" customFormat="1" s="34"/>
    <row r="1831" customFormat="1" s="34"/>
    <row r="1832" customFormat="1" s="34"/>
    <row r="1833" customFormat="1" s="34"/>
    <row r="1834" customFormat="1" s="34"/>
    <row r="1835" customFormat="1" s="34"/>
    <row r="1836" customFormat="1" s="34"/>
    <row r="1837" customFormat="1" s="34"/>
    <row r="1838" customFormat="1" s="34"/>
    <row r="1839" customFormat="1" s="34"/>
    <row r="1840" customFormat="1" s="34"/>
    <row r="1841" customFormat="1" s="34"/>
    <row r="1842" customFormat="1" s="34"/>
    <row r="1843" customFormat="1" s="34"/>
    <row r="1844" customFormat="1" s="34"/>
    <row r="1845" customFormat="1" s="34"/>
    <row r="1846" customFormat="1" s="34"/>
    <row r="1847" customFormat="1" s="34"/>
    <row r="1848" customFormat="1" s="34"/>
    <row r="1849" customFormat="1" s="34"/>
    <row r="1850" customFormat="1" s="34"/>
    <row r="1851" customFormat="1" s="34"/>
    <row r="1852" customFormat="1" s="34"/>
    <row r="1853" customFormat="1" s="34"/>
    <row r="1854" customFormat="1" s="34"/>
    <row r="1855" customFormat="1" s="34"/>
    <row r="1856" customFormat="1" s="34"/>
    <row r="1857" customFormat="1" s="34"/>
    <row r="1858" customFormat="1" s="34"/>
    <row r="1859" customFormat="1" s="34"/>
    <row r="1860" customFormat="1" s="34"/>
    <row r="1861" customFormat="1" s="34"/>
    <row r="1862" customFormat="1" s="34"/>
    <row r="1863" customFormat="1" s="34"/>
    <row r="1864" customFormat="1" s="34"/>
    <row r="1865" customFormat="1" s="34"/>
    <row r="1866" customFormat="1" s="34"/>
    <row r="1867" customFormat="1" s="34"/>
    <row r="1868" customFormat="1" s="34"/>
    <row r="1869" customFormat="1" s="34"/>
    <row r="1870" customFormat="1" s="34"/>
    <row r="1871" customFormat="1" s="34"/>
    <row r="1872" customFormat="1" s="34"/>
    <row r="1873" customFormat="1" s="34"/>
    <row r="1874" customFormat="1" s="34"/>
    <row r="1875" customFormat="1" s="34"/>
    <row r="1876" customFormat="1" s="34"/>
    <row r="1877" customFormat="1" s="34"/>
    <row r="1878" customFormat="1" s="34"/>
    <row r="1879" customFormat="1" s="34"/>
    <row r="1880" customFormat="1" s="34"/>
    <row r="1881" customFormat="1" s="34"/>
    <row r="1882" customFormat="1" s="34"/>
    <row r="1883" customFormat="1" s="34"/>
    <row r="1884" customFormat="1" s="34"/>
    <row r="1885" customFormat="1" s="34"/>
    <row r="1886" customFormat="1" s="34"/>
    <row r="1887" customFormat="1" s="34"/>
    <row r="1888" customFormat="1" s="34"/>
    <row r="1889" customFormat="1" s="34"/>
    <row r="1890" customFormat="1" s="34"/>
    <row r="1891" customFormat="1" s="34"/>
    <row r="1892" customFormat="1" s="34"/>
    <row r="1893" customFormat="1" s="34"/>
    <row r="1894" customFormat="1" s="34"/>
    <row r="1895" customFormat="1" s="34"/>
    <row r="1896" customFormat="1" s="34"/>
    <row r="1897" customFormat="1" s="34"/>
    <row r="1898" customFormat="1" s="34"/>
    <row r="1899" customFormat="1" s="34"/>
    <row r="1900" customFormat="1" s="34"/>
    <row r="1901" customFormat="1" s="34"/>
    <row r="1902" customFormat="1" s="34"/>
    <row r="1903" customFormat="1" s="34"/>
    <row r="1904" customFormat="1" s="34"/>
    <row r="1905" customFormat="1" s="34"/>
    <row r="1906" customFormat="1" s="34"/>
    <row r="1907" customFormat="1" s="34"/>
    <row r="1908" customFormat="1" s="34"/>
    <row r="1909" customFormat="1" s="34"/>
    <row r="1910" customFormat="1" s="34"/>
    <row r="1911" customFormat="1" s="34"/>
    <row r="1912" customFormat="1" s="34"/>
    <row r="1913" customFormat="1" s="34"/>
    <row r="1914" customFormat="1" s="34"/>
    <row r="1915" customFormat="1" s="34"/>
    <row r="1916" customFormat="1" s="34"/>
    <row r="1917" customFormat="1" s="34"/>
    <row r="1918" customFormat="1" s="34"/>
    <row r="1919" customFormat="1" s="34"/>
    <row r="1920" customFormat="1" s="34"/>
    <row r="1921" customFormat="1" s="34"/>
    <row r="1922" customFormat="1" s="34"/>
    <row r="1923" customFormat="1" s="34"/>
    <row r="1924" customFormat="1" s="34"/>
    <row r="1925" customFormat="1" s="34"/>
    <row r="1926" customFormat="1" s="34"/>
    <row r="1927" customFormat="1" s="34"/>
    <row r="1928" customFormat="1" s="34"/>
    <row r="1929" customFormat="1" s="34"/>
    <row r="1930" customFormat="1" s="34"/>
    <row r="1931" customFormat="1" s="34"/>
    <row r="1932" customFormat="1" s="34"/>
    <row r="1933" customFormat="1" s="34"/>
    <row r="1934" customFormat="1" s="34"/>
    <row r="1935" customFormat="1" s="34"/>
    <row r="1936" customFormat="1" s="34"/>
    <row r="1937" customFormat="1" s="34"/>
    <row r="1938" customFormat="1" s="34"/>
    <row r="1939" customFormat="1" s="34"/>
    <row r="1940" customFormat="1" s="34"/>
    <row r="1941" customFormat="1" s="34"/>
    <row r="1942" customFormat="1" s="34"/>
    <row r="1943" customFormat="1" s="34"/>
    <row r="1944" customFormat="1" s="34"/>
    <row r="1945" customFormat="1" s="34"/>
    <row r="1946" customFormat="1" s="34"/>
    <row r="1947" customFormat="1" s="34"/>
    <row r="1948" customFormat="1" s="34"/>
    <row r="1949" customFormat="1" s="34"/>
    <row r="1950" customFormat="1" s="34"/>
    <row r="1951" customFormat="1" s="34"/>
    <row r="1952" customFormat="1" s="34"/>
    <row r="1953" customFormat="1" s="34"/>
    <row r="1954" customFormat="1" s="34"/>
    <row r="1955" customFormat="1" s="34"/>
    <row r="1956" customFormat="1" s="34"/>
    <row r="1957" customFormat="1" s="34"/>
    <row r="1958" customFormat="1" s="34"/>
    <row r="1959" customFormat="1" s="34"/>
    <row r="1960" customFormat="1" s="34"/>
    <row r="1961" customFormat="1" s="34"/>
    <row r="1962" customFormat="1" s="34"/>
    <row r="1963" customFormat="1" s="34"/>
    <row r="1964" customFormat="1" s="34"/>
    <row r="1965" customFormat="1" s="34"/>
    <row r="1966" customFormat="1" s="34"/>
    <row r="1967" customFormat="1" s="34"/>
    <row r="1968" customFormat="1" s="34"/>
    <row r="1969" customFormat="1" s="34"/>
    <row r="1970" customFormat="1" s="34"/>
    <row r="1971" customFormat="1" s="34"/>
    <row r="1972" customFormat="1" s="34"/>
    <row r="1973" customFormat="1" s="34"/>
    <row r="1974" customFormat="1" s="34"/>
    <row r="1975" customFormat="1" s="34"/>
    <row r="1976" customFormat="1" s="34"/>
    <row r="1977" customFormat="1" s="34"/>
    <row r="1978" customFormat="1" s="34"/>
    <row r="1979" customFormat="1" s="34"/>
    <row r="1980" customFormat="1" s="34"/>
    <row r="1981" customFormat="1" s="34"/>
    <row r="1982" customFormat="1" s="34"/>
    <row r="1983" customFormat="1" s="34"/>
    <row r="1984" customFormat="1" s="34"/>
    <row r="1985" customFormat="1" s="34"/>
    <row r="1986" customFormat="1" s="34"/>
    <row r="1987" customFormat="1" s="34"/>
    <row r="1988" customFormat="1" s="34"/>
    <row r="1989" customFormat="1" s="34"/>
    <row r="1990" customFormat="1" s="34"/>
    <row r="1991" customFormat="1" s="34"/>
    <row r="1992" customFormat="1" s="34"/>
    <row r="1993" customFormat="1" s="34"/>
    <row r="1994" customFormat="1" s="34"/>
    <row r="1995" customFormat="1" s="34"/>
    <row r="1996" customFormat="1" s="34"/>
    <row r="1997" customFormat="1" s="34"/>
    <row r="1998" customFormat="1" s="34"/>
    <row r="1999" customFormat="1" s="34"/>
    <row r="2000" customFormat="1" s="34"/>
    <row r="262083">
      <c r="B262083" s="66"/>
      <c r="G262083" s="66"/>
    </row>
    <row r="262084">
      <c r="B262084" s="66"/>
      <c r="G262084" s="66"/>
    </row>
  </sheetData>
  <autoFilter ref="A1:W87"/>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X1"/>
  <sheetViews>
    <sheetView workbookViewId="0"/>
  </sheetViews>
  <sheetFormatPr defaultRowHeight="14.0" customHeight="1"/>
  <cols>
    <col min="1" max="1" style="34" width="10.2"/>
    <col min="2" max="2" style="34" width="9.0"/>
    <col min="3" max="3" style="34" width="12.18"/>
    <col min="4" max="4" style="34" width="38.82"/>
    <col min="5" max="6" style="34" width="13.24"/>
    <col min="7" max="7" style="34" width="62.14"/>
    <col min="8" max="8" style="34" width="53.92"/>
    <col min="9" max="10" style="34" width="13.24"/>
    <col min="11" max="11" style="34" width="16.42"/>
    <col min="12" max="12" style="34" width="13.64"/>
    <col min="13" max="13" style="34" width="27.82"/>
    <col min="14" max="14" style="34" width="21.33"/>
    <col min="15" max="15" style="34" width="16.69"/>
    <col min="16" max="19" style="34" width="13.24"/>
    <col min="20" max="20" style="34" width="49.42"/>
    <col min="21" max="21" style="34" width="51.8"/>
    <col min="22" max="22" style="34" width="36.3"/>
    <col min="23" max="23" style="34" width="51.8"/>
    <col min="24" max="24" style="34" width="37.09"/>
    <col min="25" max="2048" style="34" width="13.24"/>
  </cols>
  <sheetData>
    <row r="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52</v>
      </c>
      <c r="X1" s="78" t="s">
        <v>62</v>
      </c>
    </row>
    <row r="2">
      <c r="A2" s="36"/>
      <c r="B2" s="34"/>
      <c r="C2" s="34"/>
      <c r="D2" s="37"/>
      <c r="K2" s="34"/>
      <c r="M2" s="34"/>
      <c r="N2" s="34"/>
      <c r="O2" s="34"/>
      <c r="P2" s="34"/>
      <c r="S2" s="40"/>
      <c r="X2" s="79"/>
    </row>
    <row r="3">
      <c r="A3" s="36"/>
      <c r="B3" s="34"/>
      <c r="C3" s="34"/>
      <c r="D3" s="37"/>
      <c r="K3" s="34"/>
      <c r="M3" s="34"/>
      <c r="N3" s="34"/>
      <c r="O3" s="34"/>
      <c r="P3" s="34"/>
      <c r="S3" s="40"/>
    </row>
    <row r="4">
      <c r="A4" s="36"/>
      <c r="B4" s="34"/>
      <c r="C4" s="34"/>
      <c r="D4" s="37"/>
      <c r="K4" s="34"/>
      <c r="M4" s="34"/>
      <c r="N4" s="34"/>
      <c r="O4" s="34"/>
      <c r="P4" s="34"/>
      <c r="S4" s="40"/>
    </row>
    <row r="5">
      <c r="A5" s="36"/>
      <c r="B5" s="34"/>
      <c r="C5" s="34"/>
      <c r="D5" s="37"/>
      <c r="K5" s="34"/>
      <c r="M5" s="34"/>
      <c r="N5" s="34"/>
      <c r="O5" s="34"/>
      <c r="P5" s="34"/>
      <c r="S5" s="40"/>
    </row>
    <row r="6">
      <c r="A6" s="36"/>
      <c r="B6" s="34"/>
      <c r="C6" s="34"/>
      <c r="D6" s="37"/>
      <c r="K6" s="34"/>
      <c r="M6" s="34"/>
      <c r="N6" s="34"/>
      <c r="O6" s="34"/>
      <c r="P6" s="34"/>
      <c r="S6" s="40"/>
    </row>
    <row r="7">
      <c r="A7" s="36"/>
      <c r="B7" s="34"/>
      <c r="C7" s="34"/>
      <c r="D7" s="37"/>
      <c r="G7" s="42"/>
      <c r="K7" s="34"/>
      <c r="M7" s="34"/>
      <c r="N7" s="34"/>
      <c r="O7" s="34"/>
      <c r="P7" s="34"/>
      <c r="S7" s="40"/>
    </row>
    <row r="8">
      <c r="A8" s="36"/>
      <c r="B8" s="34"/>
      <c r="C8" s="34"/>
      <c r="D8" s="37"/>
      <c r="G8" s="42"/>
      <c r="K8" s="34"/>
      <c r="M8" s="34"/>
      <c r="N8" s="34"/>
      <c r="O8" s="34"/>
      <c r="P8" s="34"/>
      <c r="Q8" s="54"/>
      <c r="S8" s="40"/>
    </row>
    <row r="9">
      <c r="A9" s="36"/>
      <c r="B9" s="34"/>
      <c r="C9" s="34"/>
      <c r="D9" s="37"/>
      <c r="G9" s="42"/>
      <c r="K9" s="34"/>
      <c r="M9" s="34"/>
      <c r="N9" s="34"/>
      <c r="O9" s="34"/>
      <c r="P9" s="34"/>
      <c r="Q9" s="54"/>
      <c r="S9" s="40"/>
    </row>
    <row r="10">
      <c r="A10" s="36"/>
      <c r="B10" s="34"/>
      <c r="C10" s="34"/>
      <c r="D10" s="37"/>
      <c r="K10" s="34"/>
      <c r="M10" s="34"/>
      <c r="N10" s="34"/>
      <c r="O10" s="34"/>
      <c r="P10" s="34"/>
      <c r="Q10" s="43"/>
      <c r="S10" s="40"/>
    </row>
    <row r="11">
      <c r="A11" s="36"/>
      <c r="B11" s="34"/>
      <c r="C11" s="34"/>
      <c r="D11" s="37"/>
      <c r="G11" s="42"/>
      <c r="K11" s="34"/>
      <c r="M11" s="34"/>
      <c r="N11" s="34"/>
      <c r="O11" s="34"/>
      <c r="P11" s="34"/>
      <c r="S11" s="40"/>
    </row>
    <row r="12" customFormat="1" s="34">
      <c r="A12" s="36"/>
      <c r="B12" s="34"/>
      <c r="C12" s="34"/>
      <c r="D12" s="37"/>
      <c r="K12" s="34"/>
      <c r="M12" s="34"/>
      <c r="N12" s="34"/>
      <c r="O12" s="34"/>
      <c r="P12" s="34"/>
      <c r="S12" s="40"/>
    </row>
    <row r="13" customFormat="1" s="34">
      <c r="A13" s="36"/>
      <c r="B13" s="34"/>
      <c r="C13" s="34"/>
      <c r="D13" s="37"/>
      <c r="K13" s="34"/>
      <c r="M13" s="34"/>
      <c r="N13" s="34"/>
      <c r="O13" s="34"/>
      <c r="P13" s="34"/>
      <c r="S13" s="40"/>
    </row>
    <row r="14" customFormat="1" s="34">
      <c r="A14" s="36"/>
      <c r="B14" s="34"/>
      <c r="C14" s="34"/>
      <c r="K14" s="34"/>
      <c r="M14" s="34"/>
      <c r="N14" s="34"/>
      <c r="O14" s="34"/>
      <c r="P14" s="34"/>
      <c r="S14" s="40"/>
    </row>
    <row r="15" customFormat="1" s="34">
      <c r="A15" s="36"/>
      <c r="B15" s="34"/>
      <c r="C15" s="34"/>
      <c r="D15" s="37"/>
      <c r="K15" s="34"/>
      <c r="M15" s="34"/>
      <c r="N15" s="34"/>
      <c r="O15" s="34"/>
      <c r="P15" s="34"/>
      <c r="S15" s="40"/>
    </row>
    <row r="16" customFormat="1" s="34">
      <c r="A16" s="36"/>
      <c r="B16" s="34"/>
      <c r="C16" s="34"/>
      <c r="D16" s="37"/>
      <c r="K16" s="34"/>
      <c r="M16" s="34"/>
      <c r="N16" s="34"/>
      <c r="O16" s="34"/>
      <c r="P16" s="34"/>
      <c r="S16" s="40"/>
    </row>
    <row r="17" customFormat="1" s="34">
      <c r="A17" s="36"/>
      <c r="B17" s="34"/>
      <c r="C17" s="34"/>
      <c r="D17" s="37"/>
      <c r="K17" s="34"/>
      <c r="M17" s="34"/>
      <c r="N17" s="34"/>
      <c r="O17" s="34"/>
      <c r="P17" s="34"/>
      <c r="S17" s="40"/>
    </row>
    <row r="18" customFormat="1" s="34">
      <c r="A18" s="36"/>
      <c r="B18" s="34"/>
      <c r="C18" s="34"/>
      <c r="D18" s="37"/>
      <c r="K18" s="34"/>
      <c r="M18" s="34"/>
      <c r="N18" s="34"/>
      <c r="O18" s="34"/>
      <c r="P18" s="34"/>
      <c r="S18" s="40"/>
    </row>
    <row r="19">
      <c r="A19" s="36"/>
      <c r="B19" s="34"/>
      <c r="C19" s="34"/>
      <c r="D19" s="37"/>
      <c r="K19" s="34"/>
      <c r="M19" s="34"/>
      <c r="N19" s="34"/>
      <c r="O19" s="34"/>
      <c r="P19" s="34"/>
      <c r="Q19" s="43"/>
      <c r="S19" s="40"/>
    </row>
    <row r="20" customFormat="1" s="34">
      <c r="A20" s="36"/>
      <c r="B20" s="34"/>
      <c r="C20" s="34"/>
      <c r="D20" s="37"/>
      <c r="K20" s="34"/>
      <c r="M20" s="34"/>
      <c r="N20" s="34"/>
      <c r="O20" s="34"/>
      <c r="P20" s="34"/>
      <c r="S20" s="40"/>
    </row>
    <row r="21" customFormat="1" s="34">
      <c r="A21" s="36"/>
      <c r="B21" s="34"/>
      <c r="C21" s="34"/>
      <c r="D21" s="37"/>
      <c r="K21" s="34"/>
      <c r="M21" s="34"/>
      <c r="N21" s="34"/>
      <c r="O21" s="34"/>
      <c r="P21" s="34"/>
      <c r="S21" s="40"/>
    </row>
    <row r="22" customFormat="1" s="34">
      <c r="A22" s="36"/>
      <c r="B22" s="34"/>
      <c r="C22" s="34"/>
      <c r="D22" s="37"/>
      <c r="K22" s="34"/>
      <c r="M22" s="34"/>
      <c r="N22" s="34"/>
      <c r="O22" s="34"/>
      <c r="P22" s="34"/>
      <c r="S22" s="40"/>
    </row>
    <row r="23" customFormat="1" s="34">
      <c r="A23" s="36"/>
      <c r="B23" s="34"/>
      <c r="C23" s="34"/>
      <c r="D23" s="59"/>
      <c r="K23" s="34"/>
      <c r="M23" s="34"/>
      <c r="N23" s="34"/>
      <c r="O23" s="34"/>
      <c r="P23" s="34"/>
      <c r="S23" s="40"/>
    </row>
    <row r="24" customFormat="1" s="34">
      <c r="A24" s="36"/>
      <c r="B24" s="34"/>
      <c r="C24" s="34"/>
      <c r="D24" s="37"/>
      <c r="K24" s="34"/>
      <c r="M24" s="34"/>
      <c r="N24" s="34"/>
      <c r="O24" s="34"/>
      <c r="P24" s="34"/>
      <c r="S24" s="40"/>
    </row>
    <row r="25" customFormat="1" s="34">
      <c r="A25" s="36"/>
      <c r="B25" s="34"/>
      <c r="C25" s="34"/>
      <c r="D25" s="37"/>
      <c r="K25" s="34"/>
      <c r="M25" s="34"/>
      <c r="N25" s="34"/>
      <c r="O25" s="34"/>
      <c r="P25" s="34"/>
      <c r="S25" s="40"/>
    </row>
    <row r="26" customFormat="1" s="34">
      <c r="A26" s="36"/>
      <c r="B26" s="34"/>
      <c r="C26" s="34"/>
      <c r="D26" s="37"/>
      <c r="K26" s="34"/>
      <c r="M26" s="34"/>
      <c r="N26" s="34"/>
      <c r="O26" s="34"/>
      <c r="P26" s="34"/>
      <c r="S26" s="40"/>
    </row>
    <row r="27" customFormat="1" s="34">
      <c r="A27" s="36"/>
      <c r="B27" s="34"/>
      <c r="C27" s="34"/>
      <c r="D27" s="37"/>
      <c r="K27" s="34"/>
      <c r="M27" s="34"/>
      <c r="N27" s="34"/>
      <c r="O27" s="34"/>
      <c r="P27" s="34"/>
      <c r="S27" s="40"/>
    </row>
    <row r="28" customFormat="1" s="34">
      <c r="A28" s="36"/>
      <c r="B28" s="34"/>
      <c r="C28" s="34"/>
      <c r="D28" s="37"/>
      <c r="K28" s="34"/>
      <c r="M28" s="34"/>
      <c r="N28" s="34"/>
      <c r="O28" s="34"/>
      <c r="P28" s="34"/>
      <c r="S28" s="40"/>
    </row>
    <row r="29" customFormat="1" s="34">
      <c r="A29" s="36"/>
      <c r="B29" s="34"/>
      <c r="C29" s="34"/>
      <c r="D29" s="37"/>
      <c r="K29" s="34"/>
      <c r="M29" s="34"/>
      <c r="N29" s="34"/>
      <c r="O29" s="34"/>
      <c r="P29" s="34"/>
      <c r="S29" s="40"/>
    </row>
    <row r="30" customFormat="1" s="34">
      <c r="A30" s="36"/>
      <c r="B30" s="34"/>
      <c r="C30" s="34"/>
      <c r="D30" s="37"/>
      <c r="K30" s="34"/>
      <c r="M30" s="34"/>
      <c r="N30" s="34"/>
      <c r="O30" s="34"/>
      <c r="P30" s="34"/>
      <c r="S30" s="40"/>
    </row>
    <row r="31" customFormat="1" s="34">
      <c r="A31" s="36"/>
      <c r="B31" s="34"/>
      <c r="C31" s="34"/>
      <c r="D31" s="37"/>
      <c r="K31" s="34"/>
      <c r="M31" s="34"/>
      <c r="N31" s="34"/>
      <c r="O31" s="34"/>
      <c r="P31" s="34"/>
      <c r="S31" s="40"/>
    </row>
    <row r="32" customFormat="1" s="34">
      <c r="A32" s="36"/>
      <c r="B32" s="34"/>
      <c r="C32" s="34"/>
      <c r="D32" s="37"/>
      <c r="K32" s="34"/>
      <c r="M32" s="34"/>
      <c r="N32" s="34"/>
      <c r="O32" s="34"/>
      <c r="P32" s="34"/>
      <c r="S32" s="40"/>
    </row>
    <row r="33" customFormat="1" s="34">
      <c r="A33" s="36"/>
      <c r="B33" s="34"/>
      <c r="C33" s="34"/>
      <c r="D33" s="37"/>
      <c r="K33" s="34"/>
      <c r="M33" s="34"/>
      <c r="N33" s="34"/>
      <c r="O33" s="34"/>
      <c r="P33" s="34"/>
      <c r="S33" s="40"/>
    </row>
    <row r="34" customFormat="1" s="34">
      <c r="A34" s="36"/>
      <c r="B34" s="34"/>
      <c r="C34" s="34"/>
      <c r="D34" s="37"/>
      <c r="K34" s="34"/>
      <c r="M34" s="34"/>
      <c r="N34" s="34"/>
      <c r="O34" s="34"/>
      <c r="P34" s="34"/>
      <c r="S34" s="40"/>
    </row>
    <row r="35" customFormat="1" s="34">
      <c r="A35" s="36"/>
      <c r="B35" s="34"/>
      <c r="C35" s="34"/>
      <c r="D35" s="37"/>
      <c r="K35" s="34"/>
      <c r="M35" s="34"/>
      <c r="N35" s="34"/>
      <c r="O35" s="34"/>
      <c r="P35" s="34"/>
      <c r="S35" s="40"/>
    </row>
    <row r="36" customFormat="1" s="34">
      <c r="A36" s="36"/>
      <c r="B36" s="34"/>
      <c r="C36" s="34"/>
      <c r="D36" s="37"/>
      <c r="K36" s="34"/>
      <c r="M36" s="34"/>
      <c r="N36" s="34"/>
      <c r="O36" s="34"/>
      <c r="P36" s="34"/>
      <c r="S36" s="40"/>
    </row>
    <row r="37" customFormat="1" s="34">
      <c r="A37" s="36"/>
      <c r="B37" s="34"/>
      <c r="C37" s="34"/>
      <c r="D37" s="37"/>
      <c r="K37" s="34"/>
      <c r="M37" s="34"/>
      <c r="N37" s="34"/>
      <c r="O37" s="34"/>
      <c r="P37" s="34"/>
      <c r="S37" s="40"/>
    </row>
    <row r="38" customFormat="1" s="34">
      <c r="A38" s="36"/>
      <c r="B38" s="34"/>
      <c r="C38" s="34"/>
      <c r="D38" s="37"/>
      <c r="K38" s="34"/>
      <c r="M38" s="34"/>
      <c r="N38" s="34"/>
      <c r="O38" s="34"/>
      <c r="P38" s="34"/>
      <c r="S38" s="40"/>
    </row>
    <row r="39" customFormat="1" s="34">
      <c r="A39" s="36"/>
      <c r="B39" s="34"/>
      <c r="C39" s="34"/>
      <c r="D39" s="37"/>
      <c r="K39" s="34"/>
      <c r="M39" s="34"/>
      <c r="N39" s="34"/>
      <c r="O39" s="34"/>
      <c r="P39" s="34"/>
      <c r="S39" s="40"/>
    </row>
    <row r="40" customFormat="1" s="34">
      <c r="A40" s="36"/>
      <c r="B40" s="34"/>
      <c r="C40" s="34"/>
      <c r="D40" s="37"/>
      <c r="K40" s="34"/>
      <c r="M40" s="34"/>
      <c r="N40" s="34"/>
      <c r="O40" s="34"/>
      <c r="P40" s="34"/>
      <c r="S40" s="40"/>
    </row>
    <row r="41" customFormat="1" s="34">
      <c r="A41" s="36"/>
      <c r="B41" s="34"/>
      <c r="C41" s="34"/>
      <c r="D41" s="37"/>
      <c r="K41" s="34"/>
      <c r="M41" s="34"/>
      <c r="N41" s="34"/>
      <c r="O41" s="34"/>
      <c r="P41" s="34"/>
      <c r="S41" s="40"/>
    </row>
    <row r="42" customFormat="1" s="34">
      <c r="A42" s="36"/>
      <c r="B42" s="34"/>
      <c r="C42" s="34"/>
      <c r="D42" s="37"/>
      <c r="K42" s="34"/>
      <c r="M42" s="34"/>
      <c r="N42" s="34"/>
      <c r="O42" s="34"/>
      <c r="P42" s="34"/>
      <c r="S42" s="40"/>
    </row>
    <row r="43" customFormat="1" s="34">
      <c r="A43" s="36"/>
      <c r="B43" s="34"/>
      <c r="C43" s="34"/>
      <c r="D43" s="37"/>
      <c r="K43" s="34"/>
      <c r="M43" s="34"/>
      <c r="N43" s="34"/>
      <c r="O43" s="34"/>
      <c r="P43" s="34"/>
      <c r="S43" s="40"/>
    </row>
    <row r="44" customFormat="1" s="34">
      <c r="A44" s="36"/>
      <c r="B44" s="34"/>
      <c r="C44" s="34"/>
      <c r="D44" s="37"/>
      <c r="K44" s="34"/>
      <c r="M44" s="34"/>
      <c r="N44" s="34"/>
      <c r="O44" s="34"/>
      <c r="P44" s="34"/>
      <c r="S44" s="40"/>
    </row>
    <row r="45" customFormat="1" s="34">
      <c r="A45" s="36"/>
      <c r="B45" s="34"/>
      <c r="C45" s="34"/>
      <c r="D45" s="37"/>
      <c r="K45" s="34"/>
      <c r="M45" s="34"/>
      <c r="N45" s="34"/>
      <c r="O45" s="34"/>
      <c r="P45" s="34"/>
      <c r="S45" s="40"/>
    </row>
    <row r="46" customFormat="1" s="34">
      <c r="A46" s="36"/>
      <c r="B46" s="34"/>
      <c r="C46" s="34"/>
      <c r="D46" s="37"/>
      <c r="K46" s="34"/>
      <c r="M46" s="34"/>
      <c r="N46" s="34"/>
      <c r="O46" s="34"/>
      <c r="P46" s="34"/>
      <c r="S46" s="40"/>
    </row>
    <row r="47" customFormat="1" s="34">
      <c r="A47" s="36"/>
      <c r="B47" s="34"/>
      <c r="C47" s="34"/>
      <c r="D47" s="37"/>
      <c r="K47" s="34"/>
      <c r="M47" s="34"/>
      <c r="N47" s="34"/>
      <c r="O47" s="34"/>
      <c r="P47" s="34"/>
      <c r="S47" s="40"/>
    </row>
    <row r="48" customFormat="1" s="34">
      <c r="A48" s="36"/>
      <c r="B48" s="34"/>
      <c r="C48" s="34"/>
      <c r="D48" s="37"/>
      <c r="K48" s="34"/>
      <c r="M48" s="34"/>
      <c r="N48" s="34"/>
      <c r="O48" s="34"/>
      <c r="P48" s="34"/>
      <c r="S48" s="40"/>
    </row>
    <row r="49" customFormat="1" s="34">
      <c r="A49" s="36"/>
      <c r="B49" s="34"/>
      <c r="C49" s="34"/>
      <c r="D49" s="37"/>
      <c r="K49" s="34"/>
      <c r="M49" s="34"/>
      <c r="N49" s="34"/>
      <c r="O49" s="34"/>
      <c r="P49" s="34"/>
      <c r="S49" s="40"/>
    </row>
    <row r="50" customFormat="1" s="34">
      <c r="A50" s="36"/>
      <c r="B50" s="34"/>
      <c r="C50" s="34"/>
      <c r="D50" s="37"/>
      <c r="K50" s="34"/>
      <c r="M50" s="34"/>
      <c r="N50" s="34"/>
      <c r="O50" s="34"/>
      <c r="P50" s="34"/>
      <c r="S50" s="40"/>
    </row>
    <row r="51" customFormat="1" s="34">
      <c r="A51" s="36"/>
      <c r="B51" s="34"/>
      <c r="C51" s="34"/>
      <c r="D51" s="37"/>
      <c r="K51" s="34"/>
      <c r="M51" s="34"/>
      <c r="N51" s="34"/>
      <c r="O51" s="34"/>
      <c r="P51" s="34"/>
      <c r="S51" s="40"/>
    </row>
    <row r="52" customFormat="1" s="34">
      <c r="A52" s="36"/>
      <c r="B52" s="34"/>
      <c r="C52" s="34"/>
      <c r="D52" s="37"/>
      <c r="K52" s="34"/>
      <c r="M52" s="34"/>
      <c r="N52" s="34"/>
      <c r="O52" s="34"/>
      <c r="P52" s="34"/>
      <c r="S52" s="40"/>
    </row>
    <row r="53" customFormat="1" s="34">
      <c r="A53" s="36"/>
      <c r="B53" s="34"/>
      <c r="C53" s="34"/>
      <c r="D53" s="37"/>
      <c r="K53" s="34"/>
      <c r="M53" s="34"/>
      <c r="N53" s="34"/>
      <c r="O53" s="34"/>
      <c r="P53" s="34"/>
      <c r="S53" s="40"/>
    </row>
    <row r="54" customFormat="1" s="34">
      <c r="A54" s="36"/>
      <c r="B54" s="34"/>
      <c r="C54" s="34"/>
      <c r="D54" s="37"/>
      <c r="K54" s="34"/>
      <c r="M54" s="34"/>
      <c r="N54" s="34"/>
      <c r="O54" s="34"/>
      <c r="P54" s="34"/>
      <c r="S54" s="40"/>
    </row>
    <row r="55" customFormat="1" s="34">
      <c r="A55" s="36"/>
      <c r="B55" s="34"/>
      <c r="C55" s="34"/>
      <c r="D55" s="37"/>
      <c r="K55" s="34"/>
      <c r="M55" s="34"/>
      <c r="N55" s="34"/>
      <c r="O55" s="34"/>
      <c r="P55" s="34"/>
      <c r="S55" s="40"/>
    </row>
    <row r="56" customFormat="1" s="34">
      <c r="A56" s="36"/>
      <c r="B56" s="34"/>
      <c r="C56" s="34"/>
      <c r="D56" s="37"/>
      <c r="K56" s="34"/>
      <c r="M56" s="34"/>
      <c r="N56" s="34"/>
      <c r="O56" s="34"/>
      <c r="P56" s="34"/>
      <c r="S56" s="40"/>
    </row>
    <row r="57" customFormat="1" s="34">
      <c r="A57" s="36"/>
      <c r="B57" s="34"/>
      <c r="C57" s="34"/>
      <c r="D57" s="37"/>
      <c r="K57" s="34"/>
      <c r="M57" s="34"/>
      <c r="N57" s="34"/>
      <c r="O57" s="34"/>
      <c r="P57" s="34"/>
      <c r="S57" s="40"/>
    </row>
    <row r="58" customFormat="1" s="34">
      <c r="A58" s="36"/>
      <c r="B58" s="34"/>
      <c r="C58" s="34"/>
      <c r="D58" s="37"/>
      <c r="K58" s="34"/>
      <c r="M58" s="34"/>
      <c r="N58" s="34"/>
      <c r="O58" s="34"/>
      <c r="P58" s="34"/>
      <c r="S58" s="40"/>
    </row>
    <row r="59" customFormat="1" s="34">
      <c r="A59" s="36"/>
      <c r="B59" s="34"/>
      <c r="C59" s="34"/>
      <c r="D59" s="37"/>
      <c r="K59" s="34"/>
      <c r="M59" s="34"/>
      <c r="N59" s="34"/>
      <c r="O59" s="34"/>
      <c r="P59" s="34"/>
      <c r="S59" s="40"/>
    </row>
    <row r="60" customFormat="1" s="34">
      <c r="A60" s="36"/>
      <c r="B60" s="34"/>
      <c r="C60" s="34"/>
      <c r="D60" s="37"/>
      <c r="K60" s="34"/>
      <c r="M60" s="34"/>
      <c r="N60" s="34"/>
      <c r="O60" s="34"/>
      <c r="P60" s="34"/>
      <c r="S60" s="40"/>
    </row>
    <row r="61" customFormat="1" s="34">
      <c r="A61" s="36"/>
      <c r="B61" s="34"/>
      <c r="C61" s="34"/>
      <c r="D61" s="37"/>
      <c r="K61" s="34"/>
      <c r="M61" s="34"/>
      <c r="N61" s="34"/>
      <c r="O61" s="34"/>
      <c r="P61" s="34"/>
      <c r="S61" s="40"/>
    </row>
    <row r="62" customFormat="1" s="34">
      <c r="A62" s="36"/>
      <c r="B62" s="34"/>
      <c r="C62" s="34"/>
      <c r="D62" s="37"/>
      <c r="K62" s="34"/>
      <c r="M62" s="34"/>
      <c r="N62" s="34"/>
      <c r="O62" s="34"/>
      <c r="P62" s="34"/>
      <c r="S62" s="40"/>
    </row>
    <row r="63" customFormat="1" s="34">
      <c r="A63" s="36"/>
      <c r="B63" s="34"/>
      <c r="C63" s="34"/>
      <c r="D63" s="37"/>
      <c r="K63" s="34"/>
      <c r="M63" s="34"/>
      <c r="N63" s="34"/>
      <c r="O63" s="34"/>
      <c r="P63" s="34"/>
      <c r="S63" s="40"/>
    </row>
    <row r="64" customFormat="1" s="34">
      <c r="A64" s="36"/>
      <c r="B64" s="34"/>
      <c r="C64" s="34"/>
      <c r="D64" s="37"/>
      <c r="K64" s="34"/>
      <c r="M64" s="34"/>
      <c r="N64" s="34"/>
      <c r="O64" s="34"/>
      <c r="P64" s="34"/>
      <c r="S64" s="40"/>
    </row>
    <row r="65" customFormat="1" s="34">
      <c r="A65" s="36"/>
      <c r="B65" s="34"/>
      <c r="C65" s="34"/>
      <c r="D65" s="37"/>
      <c r="K65" s="34"/>
      <c r="M65" s="34"/>
      <c r="N65" s="34"/>
      <c r="O65" s="34"/>
      <c r="P65" s="34"/>
      <c r="S65" s="40"/>
    </row>
    <row r="66" customFormat="1" s="34">
      <c r="A66" s="36"/>
      <c r="B66" s="34"/>
      <c r="C66" s="34"/>
      <c r="D66" s="37"/>
      <c r="K66" s="34"/>
      <c r="M66" s="34"/>
      <c r="N66" s="34"/>
      <c r="O66" s="34"/>
      <c r="P66" s="34"/>
      <c r="S66" s="40"/>
    </row>
    <row r="67" customFormat="1" s="34">
      <c r="A67" s="36"/>
      <c r="B67" s="34"/>
      <c r="C67" s="34"/>
      <c r="D67" s="37"/>
      <c r="K67" s="34"/>
      <c r="M67" s="34"/>
      <c r="N67" s="34"/>
      <c r="O67" s="34"/>
      <c r="P67" s="34"/>
      <c r="S67" s="40"/>
    </row>
    <row r="68" customFormat="1" s="34">
      <c r="A68" s="36"/>
      <c r="B68" s="34"/>
      <c r="C68" s="34"/>
      <c r="D68" s="37"/>
      <c r="K68" s="34"/>
      <c r="M68" s="34"/>
      <c r="N68" s="34"/>
      <c r="O68" s="34"/>
      <c r="P68" s="34"/>
      <c r="S68" s="40"/>
    </row>
    <row r="69" customFormat="1" s="34">
      <c r="A69" s="36"/>
      <c r="B69" s="34"/>
      <c r="C69" s="34"/>
      <c r="D69" s="37"/>
      <c r="K69" s="34"/>
      <c r="M69" s="34"/>
      <c r="N69" s="34"/>
      <c r="O69" s="34"/>
      <c r="P69" s="34"/>
      <c r="S69" s="40"/>
    </row>
    <row r="70" customFormat="1" s="34">
      <c r="A70" s="36"/>
      <c r="B70" s="34"/>
      <c r="C70" s="34"/>
      <c r="D70" s="37"/>
      <c r="K70" s="34"/>
      <c r="M70" s="34"/>
      <c r="N70" s="34"/>
      <c r="O70" s="34"/>
      <c r="P70" s="34"/>
      <c r="S70" s="40"/>
    </row>
    <row r="71" customFormat="1" s="34">
      <c r="A71" s="36"/>
      <c r="B71" s="34"/>
      <c r="C71" s="34"/>
      <c r="D71" s="37"/>
      <c r="K71" s="34"/>
      <c r="M71" s="34"/>
      <c r="N71" s="34"/>
      <c r="O71" s="34"/>
      <c r="P71" s="34"/>
      <c r="S71" s="40"/>
    </row>
    <row r="72" customFormat="1" s="34">
      <c r="A72" s="36"/>
      <c r="B72" s="34"/>
      <c r="C72" s="34"/>
      <c r="D72" s="37"/>
      <c r="K72" s="34"/>
      <c r="M72" s="34"/>
      <c r="N72" s="34"/>
      <c r="O72" s="34"/>
      <c r="P72" s="34"/>
      <c r="S72" s="40"/>
    </row>
    <row r="73" customFormat="1" s="34">
      <c r="A73" s="36"/>
      <c r="B73" s="34"/>
      <c r="C73" s="34"/>
      <c r="D73" s="37"/>
      <c r="K73" s="34"/>
      <c r="M73" s="34"/>
      <c r="N73" s="34"/>
      <c r="O73" s="34"/>
      <c r="P73" s="34"/>
      <c r="S73" s="40"/>
    </row>
    <row r="74" customFormat="1" s="34">
      <c r="A74" s="36"/>
      <c r="B74" s="34"/>
      <c r="C74" s="34"/>
      <c r="D74" s="37"/>
      <c r="K74" s="34"/>
      <c r="M74" s="34"/>
      <c r="N74" s="34"/>
      <c r="O74" s="34"/>
      <c r="P74" s="34"/>
      <c r="S74" s="40"/>
    </row>
    <row r="75" customFormat="1" s="34">
      <c r="A75" s="36"/>
      <c r="B75" s="34"/>
      <c r="C75" s="34"/>
      <c r="D75" s="37"/>
      <c r="K75" s="34"/>
      <c r="M75" s="34"/>
      <c r="N75" s="34"/>
      <c r="O75" s="34"/>
      <c r="P75" s="34"/>
      <c r="S75" s="40"/>
    </row>
    <row r="76" customFormat="1" s="34">
      <c r="A76" s="36"/>
      <c r="B76" s="34"/>
      <c r="C76" s="34"/>
      <c r="D76" s="37"/>
      <c r="K76" s="34"/>
      <c r="M76" s="34"/>
      <c r="N76" s="34"/>
      <c r="O76" s="34"/>
      <c r="P76" s="34"/>
      <c r="S76" s="40"/>
    </row>
    <row r="77" customFormat="1" s="34">
      <c r="A77" s="36"/>
      <c r="B77" s="34"/>
      <c r="C77" s="34"/>
      <c r="D77" s="37"/>
      <c r="K77" s="34"/>
      <c r="M77" s="34"/>
      <c r="N77" s="34"/>
      <c r="O77" s="34"/>
      <c r="P77" s="34"/>
      <c r="S77" s="40"/>
    </row>
    <row r="78" customFormat="1" s="34">
      <c r="A78" s="36"/>
      <c r="B78" s="34"/>
      <c r="C78" s="34"/>
      <c r="D78" s="37"/>
      <c r="K78" s="34"/>
      <c r="M78" s="34"/>
      <c r="N78" s="34"/>
      <c r="O78" s="34"/>
      <c r="P78" s="34"/>
      <c r="S78" s="40"/>
    </row>
    <row r="79" customFormat="1" s="34">
      <c r="A79" s="36"/>
      <c r="B79" s="34"/>
      <c r="C79" s="34"/>
      <c r="D79" s="37"/>
      <c r="K79" s="34"/>
      <c r="M79" s="34"/>
      <c r="N79" s="34"/>
      <c r="O79" s="34"/>
      <c r="P79" s="34"/>
      <c r="S79" s="40"/>
    </row>
    <row r="80" customFormat="1" s="34">
      <c r="A80" s="36"/>
      <c r="B80" s="34"/>
      <c r="C80" s="34"/>
      <c r="D80" s="37"/>
      <c r="K80" s="34"/>
      <c r="M80" s="34"/>
      <c r="N80" s="34"/>
      <c r="O80" s="34"/>
      <c r="P80" s="34"/>
      <c r="S80" s="40"/>
    </row>
    <row r="81" customFormat="1" s="34">
      <c r="A81" s="36"/>
      <c r="B81" s="34"/>
      <c r="C81" s="34"/>
      <c r="D81" s="37"/>
      <c r="K81" s="34"/>
      <c r="M81" s="34"/>
      <c r="N81" s="34"/>
      <c r="O81" s="34"/>
      <c r="P81" s="34"/>
      <c r="S81" s="40"/>
    </row>
    <row r="82" customFormat="1" s="34">
      <c r="A82" s="36"/>
      <c r="B82" s="34"/>
      <c r="C82" s="34"/>
      <c r="D82" s="37"/>
      <c r="K82" s="34"/>
      <c r="M82" s="34"/>
      <c r="N82" s="34"/>
      <c r="O82" s="34"/>
      <c r="P82" s="34"/>
      <c r="S82" s="40"/>
    </row>
    <row r="83" customFormat="1" s="34">
      <c r="A83" s="36"/>
      <c r="B83" s="34"/>
      <c r="C83" s="34"/>
      <c r="D83" s="37"/>
      <c r="K83" s="34"/>
      <c r="M83" s="34"/>
      <c r="N83" s="34"/>
      <c r="O83" s="34"/>
      <c r="P83" s="34"/>
      <c r="S83" s="40"/>
    </row>
    <row r="84" customFormat="1" s="34">
      <c r="A84" s="36"/>
      <c r="B84" s="34"/>
      <c r="C84" s="34"/>
      <c r="D84" s="37"/>
      <c r="K84" s="34"/>
      <c r="M84" s="34"/>
      <c r="N84" s="34"/>
      <c r="O84" s="34"/>
      <c r="P84" s="34"/>
      <c r="S84" s="40"/>
    </row>
    <row r="85" customFormat="1" s="34">
      <c r="A85" s="36"/>
      <c r="B85" s="34"/>
      <c r="C85" s="34"/>
      <c r="D85" s="37"/>
      <c r="K85" s="34"/>
      <c r="M85" s="34"/>
      <c r="N85" s="34"/>
      <c r="O85" s="34"/>
      <c r="P85" s="34"/>
      <c r="S85" s="40"/>
    </row>
    <row r="86" customFormat="1" s="34">
      <c r="A86" s="36"/>
      <c r="B86" s="34"/>
      <c r="C86" s="34"/>
      <c r="D86" s="37"/>
      <c r="K86" s="34"/>
      <c r="M86" s="34"/>
      <c r="N86" s="34"/>
      <c r="O86" s="34"/>
      <c r="P86" s="34"/>
      <c r="S86" s="40"/>
    </row>
    <row r="87" customFormat="1" s="34">
      <c r="A87" s="36"/>
      <c r="B87" s="34"/>
      <c r="C87" s="34"/>
      <c r="D87" s="37"/>
      <c r="K87" s="34"/>
      <c r="M87" s="34"/>
      <c r="N87" s="34"/>
      <c r="O87" s="34"/>
      <c r="P87" s="34"/>
      <c r="S87" s="40"/>
    </row>
    <row r="88" customFormat="1" s="34"/>
    <row r="89" customFormat="1" s="34"/>
    <row r="90" customFormat="1" s="34"/>
    <row r="91" customFormat="1" s="34"/>
    <row r="92" customFormat="1" s="34"/>
    <row r="93" customFormat="1" s="34"/>
    <row r="94" customFormat="1" s="34"/>
    <row r="95" customFormat="1" s="34"/>
    <row r="96" customFormat="1" s="34"/>
    <row r="97" customFormat="1" s="34"/>
    <row r="98" customFormat="1" s="34"/>
    <row r="99" customFormat="1" s="34"/>
    <row r="100" customFormat="1" s="34"/>
    <row r="101" customFormat="1" s="34"/>
    <row r="102" customFormat="1" s="34"/>
    <row r="103" customFormat="1" s="34"/>
    <row r="104" customFormat="1" s="34"/>
    <row r="105" customFormat="1" s="34"/>
    <row r="106" customFormat="1" s="34"/>
    <row r="107" customFormat="1" s="34"/>
    <row r="108" customFormat="1" s="34"/>
    <row r="109" customFormat="1" s="34"/>
    <row r="110" customFormat="1" s="34"/>
    <row r="111" customFormat="1" s="34"/>
    <row r="112" customFormat="1" s="34"/>
    <row r="113" customFormat="1" s="34"/>
    <row r="114" customFormat="1" s="34"/>
    <row r="115" customFormat="1" s="34"/>
    <row r="116" customFormat="1" s="34"/>
    <row r="117" customFormat="1" s="34"/>
    <row r="118" customFormat="1" s="34"/>
    <row r="119" customFormat="1" s="34"/>
    <row r="120" customFormat="1" s="34"/>
    <row r="121" customFormat="1" s="34"/>
    <row r="122" customFormat="1" s="34"/>
    <row r="123" customFormat="1" s="34"/>
    <row r="124" customFormat="1" s="34"/>
    <row r="125" customFormat="1" s="34"/>
    <row r="126" customFormat="1" s="34"/>
    <row r="127" customFormat="1" s="34"/>
    <row r="128" customFormat="1" s="34"/>
    <row r="129" customFormat="1" s="34"/>
    <row r="130" customFormat="1" s="34"/>
    <row r="131" customFormat="1" s="34"/>
    <row r="132" customFormat="1" s="34"/>
    <row r="133" customFormat="1" s="34"/>
    <row r="134" customFormat="1" s="34"/>
    <row r="135" customFormat="1" s="34"/>
    <row r="136" customFormat="1" s="34"/>
    <row r="137" customFormat="1" s="34"/>
    <row r="138" customFormat="1" s="34"/>
    <row r="139" customFormat="1" s="34"/>
    <row r="140" customFormat="1" s="34"/>
    <row r="141" customFormat="1" s="34"/>
    <row r="142" customFormat="1" s="34"/>
    <row r="143" customFormat="1" s="34"/>
    <row r="144" customFormat="1" s="34"/>
    <row r="145" customFormat="1" s="34"/>
    <row r="146" customFormat="1" s="34"/>
    <row r="147" customFormat="1" s="34"/>
    <row r="148" customFormat="1" s="34"/>
    <row r="149" customFormat="1" s="34"/>
    <row r="150" customFormat="1" s="34"/>
    <row r="151" customFormat="1" s="34"/>
    <row r="152" customFormat="1" s="34"/>
    <row r="153" customFormat="1" s="34"/>
    <row r="154" customFormat="1" s="34"/>
    <row r="155" customFormat="1" s="34"/>
    <row r="156" customFormat="1" s="34"/>
    <row r="157" customFormat="1" s="34"/>
    <row r="158" customFormat="1" s="34"/>
    <row r="159" customFormat="1" s="34"/>
    <row r="160" customFormat="1" s="34"/>
    <row r="161" customFormat="1" s="34"/>
    <row r="162" customFormat="1" s="34"/>
    <row r="163" customFormat="1" s="34"/>
    <row r="164" customFormat="1" s="34"/>
    <row r="165" customFormat="1" s="34"/>
    <row r="166" customFormat="1" s="34"/>
    <row r="167" customFormat="1" s="34"/>
    <row r="168" customFormat="1" s="34"/>
    <row r="169" customFormat="1" s="34"/>
    <row r="170" customFormat="1" s="34"/>
    <row r="171" customFormat="1" s="34"/>
    <row r="172" customFormat="1" s="34"/>
    <row r="173" customFormat="1" s="34"/>
    <row r="174" customFormat="1" s="34"/>
    <row r="175" customFormat="1" s="34"/>
    <row r="176" customFormat="1" s="34"/>
    <row r="177" customFormat="1" s="34"/>
    <row r="178" customFormat="1" s="34"/>
    <row r="179" customFormat="1" s="34"/>
    <row r="180" customFormat="1" s="34"/>
    <row r="181" customFormat="1" s="34"/>
    <row r="182" customFormat="1" s="34"/>
    <row r="183" customFormat="1" s="34"/>
    <row r="184" customFormat="1" s="34"/>
    <row r="185" customFormat="1" s="34"/>
    <row r="186" customFormat="1" s="34"/>
    <row r="187" customFormat="1" s="34"/>
    <row r="188" customFormat="1" s="34"/>
    <row r="189" customFormat="1" s="34"/>
    <row r="190" customFormat="1" s="34"/>
    <row r="191" customFormat="1" s="34"/>
    <row r="192" customFormat="1" s="34"/>
    <row r="193" customFormat="1" s="34"/>
    <row r="194" customFormat="1" s="34"/>
    <row r="195" customFormat="1" s="34"/>
    <row r="196" customFormat="1" s="34"/>
    <row r="197" customFormat="1" s="34"/>
    <row r="198" customFormat="1" s="34"/>
    <row r="199" customFormat="1" s="34"/>
    <row r="200" customFormat="1" s="34"/>
    <row r="201" customFormat="1" s="34"/>
    <row r="202" customFormat="1" s="34"/>
    <row r="203" customFormat="1" s="34"/>
    <row r="204" customFormat="1" s="34"/>
    <row r="205" customFormat="1" s="34"/>
    <row r="206" customFormat="1" s="34"/>
    <row r="207" customFormat="1" s="34"/>
    <row r="208" customFormat="1" s="34"/>
    <row r="209" customFormat="1" s="34"/>
    <row r="210" customFormat="1" s="34"/>
    <row r="211" customFormat="1" s="34"/>
    <row r="212" customFormat="1" s="34"/>
    <row r="213" customFormat="1" s="34"/>
    <row r="214" customFormat="1" s="34"/>
    <row r="215" customFormat="1" s="34"/>
    <row r="216" customFormat="1" s="34"/>
    <row r="217" customFormat="1" s="34"/>
    <row r="218" customFormat="1" s="34"/>
    <row r="219" customFormat="1" s="34"/>
    <row r="220" customFormat="1" s="34"/>
    <row r="221" customFormat="1" s="34"/>
    <row r="222" customFormat="1" s="34"/>
    <row r="223" customFormat="1" s="34"/>
    <row r="224" customFormat="1" s="34"/>
    <row r="225" customFormat="1" s="34"/>
    <row r="226" customFormat="1" s="34"/>
    <row r="227" customFormat="1" s="34"/>
    <row r="228" customFormat="1" s="34"/>
    <row r="229" customFormat="1" s="34"/>
    <row r="230" customFormat="1" s="34"/>
    <row r="231" customFormat="1" s="34"/>
    <row r="232" customFormat="1" s="34"/>
    <row r="233" customFormat="1" s="34"/>
    <row r="234" customFormat="1" s="34"/>
    <row r="235" customFormat="1" s="34"/>
    <row r="236" customFormat="1" s="34"/>
    <row r="237" customFormat="1" s="34"/>
    <row r="238" customFormat="1" s="34"/>
    <row r="239" customFormat="1" s="34"/>
    <row r="240" customFormat="1" s="34"/>
    <row r="241" customFormat="1" s="34"/>
    <row r="242" customFormat="1" s="34"/>
    <row r="243" customFormat="1" s="34"/>
    <row r="244" customFormat="1" s="34"/>
    <row r="245" customFormat="1" s="34"/>
    <row r="246" customFormat="1" s="34"/>
    <row r="247" customFormat="1" s="34"/>
    <row r="248" customFormat="1" s="34"/>
    <row r="249" customFormat="1" s="34"/>
    <row r="250" customFormat="1" s="34"/>
    <row r="251" customFormat="1" s="34"/>
    <row r="252" customFormat="1" s="34"/>
    <row r="253" customFormat="1" s="34"/>
    <row r="254" customFormat="1" s="34"/>
    <row r="255" customFormat="1" s="34"/>
    <row r="256" customFormat="1" s="34"/>
    <row r="257" customFormat="1" s="34"/>
    <row r="258" customFormat="1" s="34"/>
    <row r="259" customFormat="1" s="34"/>
    <row r="260" customFormat="1" s="34"/>
    <row r="261" customFormat="1" s="34"/>
    <row r="262" customFormat="1" s="34"/>
    <row r="263" customFormat="1" s="34"/>
    <row r="264" customFormat="1" s="34"/>
    <row r="265" customFormat="1" s="34"/>
    <row r="266" customFormat="1" s="34"/>
    <row r="267" customFormat="1" s="34"/>
    <row r="268" customFormat="1" s="34"/>
    <row r="269" customFormat="1" s="34"/>
    <row r="270" customFormat="1" s="34"/>
    <row r="271" customFormat="1" s="34"/>
    <row r="272" customFormat="1" s="34"/>
    <row r="273" customFormat="1" s="34"/>
    <row r="274" customFormat="1" s="34"/>
    <row r="275" customFormat="1" s="34"/>
    <row r="276" customFormat="1" s="34"/>
    <row r="277" customFormat="1" s="34"/>
    <row r="278" customFormat="1" s="34"/>
    <row r="279" customFormat="1" s="34"/>
    <row r="280" customFormat="1" s="34"/>
    <row r="281" customFormat="1" s="34"/>
    <row r="282" customFormat="1" s="34"/>
    <row r="283" customFormat="1" s="34"/>
    <row r="284" customFormat="1" s="34"/>
    <row r="285" customFormat="1" s="34"/>
    <row r="286" customFormat="1" s="34"/>
    <row r="287" customFormat="1" s="34"/>
    <row r="288" customFormat="1" s="34"/>
    <row r="289" customFormat="1" s="34"/>
    <row r="290" customFormat="1" s="34"/>
    <row r="291" customFormat="1" s="34"/>
    <row r="292" customFormat="1" s="34"/>
    <row r="293" customFormat="1" s="34"/>
    <row r="294" customFormat="1" s="34"/>
    <row r="295" customFormat="1" s="34"/>
    <row r="296" customFormat="1" s="34"/>
    <row r="297" customFormat="1" s="34"/>
    <row r="298" customFormat="1" s="34"/>
    <row r="299" customFormat="1" s="34"/>
    <row r="300" customFormat="1" s="34"/>
    <row r="301" customFormat="1" s="34"/>
    <row r="302" customFormat="1" s="34"/>
    <row r="303" customFormat="1" s="34"/>
    <row r="304" customFormat="1" s="34"/>
    <row r="305" customFormat="1" s="34"/>
    <row r="306" customFormat="1" s="34"/>
    <row r="307" customFormat="1" s="34"/>
    <row r="308" customFormat="1" s="34"/>
    <row r="309" customFormat="1" s="34"/>
    <row r="310" customFormat="1" s="34"/>
    <row r="311" customFormat="1" s="34"/>
    <row r="312" customFormat="1" s="34"/>
    <row r="313" customFormat="1" s="34"/>
    <row r="314" customFormat="1" s="34"/>
    <row r="315" customFormat="1" s="34"/>
    <row r="316" customFormat="1" s="34"/>
    <row r="317" customFormat="1" s="34"/>
    <row r="318" customFormat="1" s="34"/>
    <row r="319" customFormat="1" s="34"/>
    <row r="320" customFormat="1" s="34"/>
    <row r="321" customFormat="1" s="34"/>
    <row r="322" customFormat="1" s="34"/>
    <row r="323" customFormat="1" s="34"/>
    <row r="324" customFormat="1" s="34"/>
    <row r="325" customFormat="1" s="34"/>
    <row r="326" customFormat="1" s="34"/>
    <row r="327" customFormat="1" s="34"/>
    <row r="328" customFormat="1" s="34"/>
    <row r="329" customFormat="1" s="34"/>
    <row r="330" customFormat="1" s="34"/>
    <row r="331" customFormat="1" s="34"/>
    <row r="332" customFormat="1" s="34"/>
    <row r="333" customFormat="1" s="34"/>
    <row r="334" customFormat="1" s="34"/>
    <row r="335" customFormat="1" s="34"/>
    <row r="336" customFormat="1" s="34"/>
    <row r="337" customFormat="1" s="34"/>
    <row r="338" customFormat="1" s="34"/>
    <row r="339" customFormat="1" s="34"/>
    <row r="340" customFormat="1" s="34"/>
    <row r="341" customFormat="1" s="34"/>
    <row r="342" customFormat="1" s="34"/>
    <row r="343" customFormat="1" s="34"/>
    <row r="344" customFormat="1" s="34"/>
    <row r="345" customFormat="1" s="34"/>
    <row r="346" customFormat="1" s="34"/>
    <row r="347" customFormat="1" s="34"/>
    <row r="348" customFormat="1" s="34"/>
    <row r="349" customFormat="1" s="34"/>
    <row r="350" customFormat="1" s="34"/>
    <row r="351" customFormat="1" s="34"/>
    <row r="352" customFormat="1" s="34"/>
    <row r="353" customFormat="1" s="34"/>
    <row r="354" customFormat="1" s="34"/>
    <row r="355" customFormat="1" s="34"/>
    <row r="356" customFormat="1" s="34"/>
    <row r="357" customFormat="1" s="34"/>
    <row r="358" customFormat="1" s="34"/>
    <row r="359" customFormat="1" s="34"/>
    <row r="360" customFormat="1" s="34"/>
    <row r="361" customFormat="1" s="34"/>
    <row r="362" customFormat="1" s="34"/>
    <row r="363" customFormat="1" s="34"/>
    <row r="364" customFormat="1" s="34"/>
    <row r="365" customFormat="1" s="34"/>
    <row r="366" customFormat="1" s="34"/>
    <row r="367" customFormat="1" s="34"/>
    <row r="368" customFormat="1" s="34"/>
    <row r="369" customFormat="1" s="34"/>
    <row r="370" customFormat="1" s="34"/>
    <row r="371" customFormat="1" s="34"/>
    <row r="372" customFormat="1" s="34"/>
    <row r="373" customFormat="1" s="34"/>
    <row r="374" customFormat="1" s="34"/>
    <row r="375" customFormat="1" s="34"/>
    <row r="376" customFormat="1" s="34"/>
    <row r="377" customFormat="1" s="34"/>
    <row r="378" customFormat="1" s="34"/>
    <row r="379" customFormat="1" s="34"/>
    <row r="380" customFormat="1" s="34"/>
    <row r="381" customFormat="1" s="34"/>
    <row r="382" customFormat="1" s="34"/>
    <row r="383" customFormat="1" s="34"/>
    <row r="384" customFormat="1" s="34"/>
    <row r="385" customFormat="1" s="34"/>
    <row r="386" customFormat="1" s="34"/>
    <row r="387" customFormat="1" s="34"/>
    <row r="388" customFormat="1" s="34"/>
    <row r="389" customFormat="1" s="34"/>
    <row r="390" customFormat="1" s="34"/>
    <row r="391" customFormat="1" s="34"/>
    <row r="392" customFormat="1" s="34"/>
    <row r="393" customFormat="1" s="34"/>
    <row r="394" customFormat="1" s="34"/>
    <row r="395" customFormat="1" s="34"/>
    <row r="396" customFormat="1" s="34"/>
    <row r="397" customFormat="1" s="34"/>
    <row r="398" customFormat="1" s="34"/>
    <row r="399" customFormat="1" s="34"/>
    <row r="400" customFormat="1" s="34"/>
    <row r="401" customFormat="1" s="34"/>
    <row r="402" customFormat="1" s="34"/>
    <row r="403" customFormat="1" s="34"/>
    <row r="404" customFormat="1" s="34"/>
    <row r="405" customFormat="1" s="34"/>
    <row r="406" customFormat="1" s="34"/>
    <row r="407" customFormat="1" s="34"/>
    <row r="408" customFormat="1" s="34"/>
    <row r="409" customFormat="1" s="34"/>
    <row r="410" customFormat="1" s="34"/>
    <row r="411" customFormat="1" s="34"/>
    <row r="412" customFormat="1" s="34"/>
    <row r="413" customFormat="1" s="34"/>
    <row r="414" customFormat="1" s="34"/>
    <row r="415" customFormat="1" s="34"/>
    <row r="416" customFormat="1" s="34"/>
    <row r="417" customFormat="1" s="34"/>
    <row r="418" customFormat="1" s="34"/>
    <row r="419" customFormat="1" s="34"/>
    <row r="420" customFormat="1" s="34"/>
    <row r="421" customFormat="1" s="34"/>
    <row r="422" customFormat="1" s="34"/>
    <row r="423" customFormat="1" s="34"/>
    <row r="424" customFormat="1" s="34"/>
    <row r="425" customFormat="1" s="34"/>
    <row r="426" customFormat="1" s="34"/>
    <row r="427" customFormat="1" s="34"/>
    <row r="428" customFormat="1" s="34"/>
    <row r="429" customFormat="1" s="34"/>
    <row r="430" customFormat="1" s="34"/>
    <row r="431" customFormat="1" s="34"/>
    <row r="432" customFormat="1" s="34"/>
    <row r="433" customFormat="1" s="34"/>
    <row r="434" customFormat="1" s="34"/>
    <row r="435" customFormat="1" s="34"/>
    <row r="436" customFormat="1" s="34"/>
    <row r="437" customFormat="1" s="34"/>
    <row r="438" customFormat="1" s="34"/>
    <row r="439" customFormat="1" s="34"/>
    <row r="440" customFormat="1" s="34"/>
    <row r="441" customFormat="1" s="34"/>
    <row r="442" customFormat="1" s="34"/>
    <row r="443" customFormat="1" s="34"/>
    <row r="444" customFormat="1" s="34"/>
    <row r="445" customFormat="1" s="34"/>
    <row r="446" customFormat="1" s="34"/>
    <row r="447" customFormat="1" s="34"/>
    <row r="448" customFormat="1" s="34"/>
    <row r="449" customFormat="1" s="34"/>
    <row r="450" customFormat="1" s="34"/>
    <row r="451" customFormat="1" s="34"/>
    <row r="452" customFormat="1" s="34"/>
    <row r="453" customFormat="1" s="34"/>
    <row r="454" customFormat="1" s="34"/>
    <row r="455" customFormat="1" s="34"/>
    <row r="456" customFormat="1" s="34"/>
    <row r="457" customFormat="1" s="34"/>
    <row r="458" customFormat="1" s="34"/>
    <row r="459" customFormat="1" s="34"/>
    <row r="460" customFormat="1" s="34"/>
    <row r="461" customFormat="1" s="34"/>
    <row r="462" customFormat="1" s="34"/>
    <row r="463" customFormat="1" s="34"/>
    <row r="464" customFormat="1" s="34"/>
    <row r="465" customFormat="1" s="34"/>
    <row r="466" customFormat="1" s="34"/>
    <row r="467" customFormat="1" s="34"/>
    <row r="468" customFormat="1" s="34"/>
    <row r="469" customFormat="1" s="34"/>
    <row r="470" customFormat="1" s="34"/>
    <row r="471" customFormat="1" s="34"/>
    <row r="472" customFormat="1" s="34"/>
    <row r="473" customFormat="1" s="34"/>
    <row r="474" customFormat="1" s="34"/>
    <row r="475" customFormat="1" s="34"/>
    <row r="476" customFormat="1" s="34"/>
    <row r="477" customFormat="1" s="34"/>
    <row r="478" customFormat="1" s="34"/>
    <row r="479" customFormat="1" s="34"/>
    <row r="480" customFormat="1" s="34"/>
    <row r="481" customFormat="1" s="34"/>
    <row r="482" customFormat="1" s="34"/>
    <row r="483" customFormat="1" s="34"/>
    <row r="484" customFormat="1" s="34"/>
    <row r="485" customFormat="1" s="34"/>
    <row r="486" customFormat="1" s="34"/>
    <row r="487" customFormat="1" s="34"/>
    <row r="488" customFormat="1" s="34"/>
    <row r="489" customFormat="1" s="34"/>
    <row r="490" customFormat="1" s="34"/>
    <row r="491" customFormat="1" s="34"/>
    <row r="492" customFormat="1" s="34"/>
    <row r="493" customFormat="1" s="34"/>
    <row r="494" customFormat="1" s="34"/>
    <row r="495" customFormat="1" s="34"/>
    <row r="496" customFormat="1" s="34"/>
    <row r="497" customFormat="1" s="34"/>
    <row r="498" customFormat="1" s="34"/>
    <row r="499" customFormat="1" s="34"/>
    <row r="500" customFormat="1" s="34"/>
    <row r="501" customFormat="1" s="34"/>
    <row r="502" customFormat="1" s="34"/>
    <row r="503" customFormat="1" s="34"/>
    <row r="504" customFormat="1" s="34"/>
    <row r="505" customFormat="1" s="34"/>
    <row r="506" customFormat="1" s="34"/>
    <row r="507" customFormat="1" s="34"/>
    <row r="508" customFormat="1" s="34"/>
    <row r="509" customFormat="1" s="34"/>
    <row r="510" customFormat="1" s="34"/>
    <row r="511" customFormat="1" s="34"/>
    <row r="512" customFormat="1" s="34"/>
    <row r="513" customFormat="1" s="34"/>
    <row r="514" customFormat="1" s="34"/>
    <row r="515" customFormat="1" s="34"/>
    <row r="516" customFormat="1" s="34"/>
    <row r="517" customFormat="1" s="34"/>
    <row r="518" customFormat="1" s="34"/>
    <row r="519" customFormat="1" s="34"/>
    <row r="520" customFormat="1" s="34"/>
    <row r="521" customFormat="1" s="34"/>
    <row r="522" customFormat="1" s="34"/>
    <row r="523" customFormat="1" s="34"/>
    <row r="524" customFormat="1" s="34"/>
    <row r="525" customFormat="1" s="34"/>
    <row r="526" customFormat="1" s="34"/>
    <row r="527" customFormat="1" s="34"/>
    <row r="528" customFormat="1" s="34"/>
    <row r="529" customFormat="1" s="34"/>
    <row r="530" customFormat="1" s="34"/>
    <row r="531" customFormat="1" s="34"/>
    <row r="532" customFormat="1" s="34"/>
    <row r="533" customFormat="1" s="34"/>
    <row r="534" customFormat="1" s="34"/>
    <row r="535" customFormat="1" s="34"/>
    <row r="536" customFormat="1" s="34"/>
    <row r="537" customFormat="1" s="34"/>
    <row r="538" customFormat="1" s="34"/>
    <row r="539" customFormat="1" s="34"/>
    <row r="540" customFormat="1" s="34"/>
    <row r="541" customFormat="1" s="34"/>
    <row r="542" customFormat="1" s="34"/>
    <row r="543" customFormat="1" s="34"/>
    <row r="544" customFormat="1" s="34"/>
    <row r="545" customFormat="1" s="34"/>
    <row r="546" customFormat="1" s="34"/>
    <row r="547" customFormat="1" s="34"/>
    <row r="548" customFormat="1" s="34"/>
    <row r="549" customFormat="1" s="34"/>
    <row r="550" customFormat="1" s="34"/>
    <row r="551" customFormat="1" s="34"/>
    <row r="552" customFormat="1" s="34"/>
    <row r="553" customFormat="1" s="34"/>
    <row r="554" customFormat="1" s="34"/>
    <row r="555" customFormat="1" s="34"/>
    <row r="556" customFormat="1" s="34"/>
    <row r="557" customFormat="1" s="34"/>
    <row r="558" customFormat="1" s="34"/>
    <row r="559" customFormat="1" s="34"/>
    <row r="560" customFormat="1" s="34"/>
    <row r="561" customFormat="1" s="34"/>
    <row r="562" customFormat="1" s="34"/>
    <row r="563" customFormat="1" s="34"/>
    <row r="564" customFormat="1" s="34"/>
    <row r="565" customFormat="1" s="34"/>
    <row r="566" customFormat="1" s="34"/>
    <row r="567" customFormat="1" s="34"/>
    <row r="568" customFormat="1" s="34"/>
    <row r="569" customFormat="1" s="34"/>
    <row r="570" customFormat="1" s="34"/>
    <row r="571" customFormat="1" s="34"/>
    <row r="572" customFormat="1" s="34"/>
    <row r="573" customFormat="1" s="34"/>
    <row r="574" customFormat="1" s="34"/>
    <row r="575" customFormat="1" s="34"/>
    <row r="576" customFormat="1" s="34"/>
    <row r="577" customFormat="1" s="34"/>
    <row r="578" customFormat="1" s="34"/>
    <row r="579" customFormat="1" s="34"/>
    <row r="580" customFormat="1" s="34"/>
    <row r="581" customFormat="1" s="34"/>
    <row r="582" customFormat="1" s="34"/>
    <row r="583" customFormat="1" s="34"/>
    <row r="584" customFormat="1" s="34"/>
    <row r="585" customFormat="1" s="34"/>
    <row r="586" customFormat="1" s="34"/>
    <row r="587" customFormat="1" s="34"/>
    <row r="588" customFormat="1" s="34"/>
    <row r="589" customFormat="1" s="34"/>
    <row r="590" customFormat="1" s="34"/>
    <row r="591" customFormat="1" s="34"/>
    <row r="592" customFormat="1" s="34"/>
    <row r="593" customFormat="1" s="34"/>
    <row r="594" customFormat="1" s="34"/>
    <row r="595" customFormat="1" s="34"/>
    <row r="596" customFormat="1" s="34"/>
    <row r="597" customFormat="1" s="34"/>
    <row r="598" customFormat="1" s="34"/>
    <row r="599" customFormat="1" s="34"/>
    <row r="600" customFormat="1" s="34"/>
    <row r="601" customFormat="1" s="34"/>
    <row r="602" customFormat="1" s="34"/>
    <row r="603" customFormat="1" s="34"/>
    <row r="604" customFormat="1" s="34"/>
    <row r="605" customFormat="1" s="34"/>
    <row r="606" customFormat="1" s="34"/>
    <row r="607" customFormat="1" s="34"/>
    <row r="608" customFormat="1" s="34"/>
    <row r="609" customFormat="1" s="34"/>
    <row r="610" customFormat="1" s="34"/>
    <row r="611" customFormat="1" s="34"/>
    <row r="612" customFormat="1" s="34"/>
    <row r="613" customFormat="1" s="34"/>
    <row r="614" customFormat="1" s="34"/>
    <row r="615" customFormat="1" s="34"/>
    <row r="616" customFormat="1" s="34"/>
    <row r="617" customFormat="1" s="34"/>
    <row r="618" customFormat="1" s="34"/>
    <row r="619" customFormat="1" s="34"/>
    <row r="620" customFormat="1" s="34"/>
    <row r="621" customFormat="1" s="34"/>
    <row r="622" customFormat="1" s="34"/>
    <row r="623" customFormat="1" s="34"/>
    <row r="624" customFormat="1" s="34"/>
    <row r="625" customFormat="1" s="34"/>
    <row r="626" customFormat="1" s="34"/>
    <row r="627" customFormat="1" s="34"/>
    <row r="628" customFormat="1" s="34"/>
    <row r="629" customFormat="1" s="34"/>
    <row r="630" customFormat="1" s="34"/>
    <row r="631" customFormat="1" s="34"/>
    <row r="632" customFormat="1" s="34"/>
    <row r="633" customFormat="1" s="34"/>
    <row r="634" customFormat="1" s="34"/>
    <row r="635" customFormat="1" s="34"/>
    <row r="636" customFormat="1" s="34"/>
    <row r="637" customFormat="1" s="34"/>
    <row r="638" customFormat="1" s="34"/>
    <row r="639" customFormat="1" s="34"/>
    <row r="640" customFormat="1" s="34"/>
    <row r="641" customFormat="1" s="34"/>
    <row r="642" customFormat="1" s="34"/>
    <row r="643" customFormat="1" s="34"/>
    <row r="644" customFormat="1" s="34"/>
    <row r="645" customFormat="1" s="34"/>
    <row r="646" customFormat="1" s="34"/>
    <row r="647" customFormat="1" s="34"/>
    <row r="648" customFormat="1" s="34"/>
    <row r="649" customFormat="1" s="34"/>
    <row r="650" customFormat="1" s="34"/>
    <row r="651" customFormat="1" s="34"/>
    <row r="652" customFormat="1" s="34"/>
    <row r="653" customFormat="1" s="34"/>
    <row r="654" customFormat="1" s="34"/>
    <row r="655" customFormat="1" s="34"/>
    <row r="656" customFormat="1" s="34"/>
    <row r="657" customFormat="1" s="34"/>
    <row r="658" customFormat="1" s="34"/>
    <row r="659" customFormat="1" s="34"/>
    <row r="660" customFormat="1" s="34"/>
    <row r="661" customFormat="1" s="34"/>
    <row r="662" customFormat="1" s="34"/>
    <row r="663" customFormat="1" s="34"/>
    <row r="664" customFormat="1" s="34"/>
    <row r="665" customFormat="1" s="34"/>
    <row r="666" customFormat="1" s="34"/>
    <row r="667" customFormat="1" s="34"/>
    <row r="668" customFormat="1" s="34"/>
    <row r="669" customFormat="1" s="34"/>
    <row r="670" customFormat="1" s="34"/>
    <row r="671" customFormat="1" s="34"/>
    <row r="672" customFormat="1" s="34"/>
    <row r="673" customFormat="1" s="34"/>
    <row r="674" customFormat="1" s="34"/>
    <row r="675" customFormat="1" s="34"/>
    <row r="676" customFormat="1" s="34"/>
    <row r="677" customFormat="1" s="34"/>
    <row r="678" customFormat="1" s="34"/>
    <row r="679" customFormat="1" s="34"/>
    <row r="680" customFormat="1" s="34"/>
    <row r="681" customFormat="1" s="34"/>
    <row r="682" customFormat="1" s="34"/>
    <row r="683" customFormat="1" s="34"/>
    <row r="684" customFormat="1" s="34"/>
    <row r="685" customFormat="1" s="34"/>
    <row r="686" customFormat="1" s="34"/>
    <row r="687" customFormat="1" s="34"/>
    <row r="688" customFormat="1" s="34"/>
    <row r="689" customFormat="1" s="34"/>
    <row r="690" customFormat="1" s="34"/>
    <row r="691" customFormat="1" s="34"/>
    <row r="692" customFormat="1" s="34"/>
    <row r="693" customFormat="1" s="34"/>
    <row r="694" customFormat="1" s="34"/>
    <row r="695" customFormat="1" s="34"/>
    <row r="696" customFormat="1" s="34"/>
    <row r="697" customFormat="1" s="34"/>
    <row r="698" customFormat="1" s="34"/>
    <row r="699" customFormat="1" s="34"/>
    <row r="700" customFormat="1" s="34"/>
    <row r="701" customFormat="1" s="34"/>
    <row r="702" customFormat="1" s="34"/>
    <row r="703" customFormat="1" s="34"/>
    <row r="704" customFormat="1" s="34"/>
    <row r="705" customFormat="1" s="34"/>
    <row r="706" customFormat="1" s="34"/>
    <row r="707" customFormat="1" s="34"/>
    <row r="708" customFormat="1" s="34"/>
    <row r="709" customFormat="1" s="34"/>
    <row r="710" customFormat="1" s="34"/>
    <row r="711" customFormat="1" s="34"/>
    <row r="712" customFormat="1" s="34"/>
    <row r="713" customFormat="1" s="34"/>
    <row r="714" customFormat="1" s="34"/>
    <row r="715" customFormat="1" s="34"/>
    <row r="716" customFormat="1" s="34"/>
    <row r="717" customFormat="1" s="34"/>
    <row r="718" customFormat="1" s="34"/>
    <row r="719" customFormat="1" s="34"/>
    <row r="720" customFormat="1" s="34"/>
    <row r="721" customFormat="1" s="34"/>
    <row r="722" customFormat="1" s="34"/>
    <row r="723" customFormat="1" s="34"/>
    <row r="724" customFormat="1" s="34"/>
    <row r="725" customFormat="1" s="34"/>
    <row r="726" customFormat="1" s="34"/>
    <row r="727" customFormat="1" s="34"/>
    <row r="728" customFormat="1" s="34"/>
    <row r="729" customFormat="1" s="34"/>
    <row r="730" customFormat="1" s="34"/>
    <row r="731" customFormat="1" s="34"/>
    <row r="732" customFormat="1" s="34"/>
    <row r="733" customFormat="1" s="34"/>
    <row r="734" customFormat="1" s="34"/>
    <row r="735" customFormat="1" s="34"/>
    <row r="736" customFormat="1" s="34"/>
    <row r="737" customFormat="1" s="34"/>
    <row r="738" customFormat="1" s="34"/>
    <row r="739" customFormat="1" s="34"/>
    <row r="740" customFormat="1" s="34"/>
    <row r="741" customFormat="1" s="34"/>
    <row r="742" customFormat="1" s="34"/>
    <row r="743" customFormat="1" s="34"/>
    <row r="744" customFormat="1" s="34"/>
    <row r="745" customFormat="1" s="34"/>
    <row r="746" customFormat="1" s="34"/>
    <row r="747" customFormat="1" s="34"/>
    <row r="748" customFormat="1" s="34"/>
    <row r="749" customFormat="1" s="34"/>
    <row r="750" customFormat="1" s="34"/>
    <row r="751" customFormat="1" s="34"/>
    <row r="752" customFormat="1" s="34"/>
    <row r="753" customFormat="1" s="34"/>
    <row r="754" customFormat="1" s="34"/>
    <row r="755" customFormat="1" s="34"/>
    <row r="756" customFormat="1" s="34"/>
    <row r="757" customFormat="1" s="34"/>
    <row r="758" customFormat="1" s="34"/>
    <row r="759" customFormat="1" s="34"/>
    <row r="760" customFormat="1" s="34"/>
    <row r="761" customFormat="1" s="34"/>
    <row r="762" customFormat="1" s="34"/>
    <row r="763" customFormat="1" s="34"/>
    <row r="764" customFormat="1" s="34"/>
    <row r="765" customFormat="1" s="34"/>
    <row r="766" customFormat="1" s="34"/>
    <row r="767" customFormat="1" s="34"/>
    <row r="768" customFormat="1" s="34"/>
    <row r="769" customFormat="1" s="34"/>
    <row r="770" customFormat="1" s="34"/>
    <row r="771" customFormat="1" s="34"/>
    <row r="772" customFormat="1" s="34"/>
    <row r="773" customFormat="1" s="34"/>
    <row r="774" customFormat="1" s="34"/>
    <row r="775" customFormat="1" s="34"/>
    <row r="776" customFormat="1" s="34"/>
    <row r="777" customFormat="1" s="34"/>
    <row r="778" customFormat="1" s="34"/>
    <row r="779" customFormat="1" s="34"/>
    <row r="780" customFormat="1" s="34"/>
    <row r="781" customFormat="1" s="34"/>
    <row r="782" customFormat="1" s="34"/>
    <row r="783" customFormat="1" s="34"/>
    <row r="784" customFormat="1" s="34"/>
    <row r="785" customFormat="1" s="34"/>
    <row r="786" customFormat="1" s="34"/>
    <row r="787" customFormat="1" s="34"/>
    <row r="788" customFormat="1" s="34"/>
    <row r="789" customFormat="1" s="34"/>
    <row r="790" customFormat="1" s="34"/>
    <row r="791" customFormat="1" s="34"/>
    <row r="792" customFormat="1" s="34"/>
    <row r="793" customFormat="1" s="34"/>
    <row r="794" customFormat="1" s="34"/>
    <row r="795" customFormat="1" s="34"/>
    <row r="796" customFormat="1" s="34"/>
    <row r="797" customFormat="1" s="34"/>
    <row r="798" customFormat="1" s="34"/>
    <row r="799" customFormat="1" s="34"/>
    <row r="800" customFormat="1" s="34"/>
    <row r="801" customFormat="1" s="34"/>
    <row r="802" customFormat="1" s="34"/>
    <row r="803" customFormat="1" s="34"/>
    <row r="804" customFormat="1" s="34"/>
    <row r="805" customFormat="1" s="34"/>
    <row r="806" customFormat="1" s="34"/>
    <row r="807" customFormat="1" s="34"/>
    <row r="808" customFormat="1" s="34"/>
    <row r="809" customFormat="1" s="34"/>
    <row r="810" customFormat="1" s="34"/>
    <row r="811" customFormat="1" s="34"/>
    <row r="812" customFormat="1" s="34"/>
    <row r="813" customFormat="1" s="34"/>
    <row r="814" customFormat="1" s="34"/>
    <row r="815" customFormat="1" s="34"/>
    <row r="816" customFormat="1" s="34"/>
    <row r="817" customFormat="1" s="34"/>
    <row r="818" customFormat="1" s="34"/>
    <row r="819" customFormat="1" s="34"/>
    <row r="820" customFormat="1" s="34"/>
    <row r="821" customFormat="1" s="34"/>
    <row r="822" customFormat="1" s="34"/>
    <row r="823" customFormat="1" s="34"/>
    <row r="824" customFormat="1" s="34"/>
    <row r="825" customFormat="1" s="34"/>
    <row r="826" customFormat="1" s="34"/>
    <row r="827" customFormat="1" s="34"/>
    <row r="828" customFormat="1" s="34"/>
    <row r="829" customFormat="1" s="34"/>
    <row r="830" customFormat="1" s="34"/>
    <row r="831" customFormat="1" s="34"/>
    <row r="832" customFormat="1" s="34"/>
    <row r="833" customFormat="1" s="34"/>
    <row r="834" customFormat="1" s="34"/>
    <row r="835" customFormat="1" s="34"/>
    <row r="836" customFormat="1" s="34"/>
    <row r="837" customFormat="1" s="34"/>
    <row r="838" customFormat="1" s="34"/>
    <row r="839" customFormat="1" s="34"/>
    <row r="840" customFormat="1" s="34"/>
    <row r="841" customFormat="1" s="34"/>
    <row r="842" customFormat="1" s="34"/>
    <row r="843" customFormat="1" s="34"/>
    <row r="844" customFormat="1" s="34"/>
    <row r="845" customFormat="1" s="34"/>
    <row r="846" customFormat="1" s="34"/>
    <row r="847" customFormat="1" s="34"/>
    <row r="848" customFormat="1" s="34"/>
    <row r="849" customFormat="1" s="34"/>
    <row r="850" customFormat="1" s="34"/>
    <row r="851" customFormat="1" s="34"/>
    <row r="852" customFormat="1" s="34"/>
    <row r="853" customFormat="1" s="34"/>
    <row r="854" customFormat="1" s="34"/>
    <row r="855" customFormat="1" s="34"/>
    <row r="856" customFormat="1" s="34"/>
    <row r="857" customFormat="1" s="34"/>
    <row r="858" customFormat="1" s="34"/>
    <row r="859" customFormat="1" s="34"/>
    <row r="860" customFormat="1" s="34"/>
    <row r="861" customFormat="1" s="34"/>
    <row r="862" customFormat="1" s="34"/>
    <row r="863" customFormat="1" s="34"/>
    <row r="864" customFormat="1" s="34"/>
    <row r="865" customFormat="1" s="34"/>
    <row r="866" customFormat="1" s="34"/>
    <row r="867" customFormat="1" s="34"/>
    <row r="868" customFormat="1" s="34"/>
    <row r="869" customFormat="1" s="34"/>
    <row r="870" customFormat="1" s="34"/>
    <row r="871" customFormat="1" s="34"/>
    <row r="872" customFormat="1" s="34"/>
    <row r="873" customFormat="1" s="34"/>
    <row r="874" customFormat="1" s="34"/>
    <row r="875" customFormat="1" s="34"/>
    <row r="876" customFormat="1" s="34"/>
    <row r="877" customFormat="1" s="34"/>
    <row r="878" customFormat="1" s="34"/>
    <row r="879" customFormat="1" s="34"/>
    <row r="880" customFormat="1" s="34"/>
    <row r="881" customFormat="1" s="34"/>
    <row r="882" customFormat="1" s="34"/>
    <row r="883" customFormat="1" s="34"/>
    <row r="884" customFormat="1" s="34"/>
    <row r="885" customFormat="1" s="34"/>
    <row r="886" customFormat="1" s="34"/>
    <row r="887" customFormat="1" s="34"/>
    <row r="888" customFormat="1" s="34"/>
    <row r="889" customFormat="1" s="34"/>
    <row r="890" customFormat="1" s="34"/>
    <row r="891" customFormat="1" s="34"/>
    <row r="892" customFormat="1" s="34"/>
    <row r="893" customFormat="1" s="34"/>
    <row r="894" customFormat="1" s="34"/>
    <row r="895" customFormat="1" s="34"/>
    <row r="896" customFormat="1" s="34"/>
    <row r="897" customFormat="1" s="34"/>
    <row r="898" customFormat="1" s="34"/>
    <row r="899" customFormat="1" s="34"/>
    <row r="900" customFormat="1" s="34"/>
    <row r="901" customFormat="1" s="34"/>
    <row r="902" customFormat="1" s="34"/>
    <row r="903" customFormat="1" s="34"/>
    <row r="904" customFormat="1" s="34"/>
    <row r="905" customFormat="1" s="34"/>
    <row r="906" customFormat="1" s="34"/>
    <row r="907" customFormat="1" s="34"/>
    <row r="908" customFormat="1" s="34"/>
    <row r="909" customFormat="1" s="34"/>
    <row r="910" customFormat="1" s="34"/>
    <row r="911" customFormat="1" s="34"/>
    <row r="912" customFormat="1" s="34"/>
    <row r="913" customFormat="1" s="34"/>
    <row r="914" customFormat="1" s="34"/>
    <row r="915" customFormat="1" s="34"/>
    <row r="916" customFormat="1" s="34"/>
    <row r="917" customFormat="1" s="34"/>
    <row r="918" customFormat="1" s="34"/>
    <row r="919" customFormat="1" s="34"/>
    <row r="920" customFormat="1" s="34"/>
    <row r="921" customFormat="1" s="34"/>
    <row r="922" customFormat="1" s="34"/>
    <row r="923" customFormat="1" s="34"/>
    <row r="924" customFormat="1" s="34"/>
    <row r="925" customFormat="1" s="34"/>
    <row r="926" customFormat="1" s="34"/>
    <row r="927" customFormat="1" s="34"/>
    <row r="928" customFormat="1" s="34"/>
    <row r="929" customFormat="1" s="34"/>
    <row r="930" customFormat="1" s="34"/>
    <row r="931" customFormat="1" s="34"/>
    <row r="932" customFormat="1" s="34"/>
    <row r="933" customFormat="1" s="34"/>
    <row r="934" customFormat="1" s="34"/>
    <row r="935" customFormat="1" s="34"/>
    <row r="936" customFormat="1" s="34"/>
    <row r="937" customFormat="1" s="34"/>
    <row r="938" customFormat="1" s="34"/>
    <row r="939" customFormat="1" s="34"/>
    <row r="940" customFormat="1" s="34"/>
    <row r="941" customFormat="1" s="34"/>
    <row r="942" customFormat="1" s="34"/>
    <row r="943" customFormat="1" s="34"/>
    <row r="944" customFormat="1" s="34"/>
    <row r="945" customFormat="1" s="34"/>
    <row r="946" customFormat="1" s="34"/>
    <row r="947" customFormat="1" s="34"/>
    <row r="948" customFormat="1" s="34"/>
    <row r="949" customFormat="1" s="34"/>
    <row r="950" customFormat="1" s="34"/>
    <row r="951" customFormat="1" s="34"/>
    <row r="952" customFormat="1" s="34"/>
    <row r="953" customFormat="1" s="34"/>
    <row r="954" customFormat="1" s="34"/>
    <row r="955" customFormat="1" s="34"/>
    <row r="956" customFormat="1" s="34"/>
    <row r="957" customFormat="1" s="34"/>
    <row r="958" customFormat="1" s="34"/>
    <row r="959" customFormat="1" s="34"/>
    <row r="960" customFormat="1" s="34"/>
    <row r="961" customFormat="1" s="34"/>
    <row r="962" customFormat="1" s="34"/>
    <row r="963" customFormat="1" s="34"/>
    <row r="964" customFormat="1" s="34"/>
    <row r="965" customFormat="1" s="34"/>
    <row r="966" customFormat="1" s="34"/>
    <row r="967" customFormat="1" s="34"/>
    <row r="968" customFormat="1" s="34"/>
    <row r="969" customFormat="1" s="34"/>
    <row r="970" customFormat="1" s="34"/>
    <row r="971" customFormat="1" s="34"/>
    <row r="972" customFormat="1" s="34"/>
    <row r="973" customFormat="1" s="34"/>
    <row r="974" customFormat="1" s="34"/>
    <row r="975" customFormat="1" s="34"/>
    <row r="976" customFormat="1" s="34"/>
    <row r="977" customFormat="1" s="34"/>
    <row r="978" customFormat="1" s="34"/>
    <row r="979" customFormat="1" s="34"/>
    <row r="980" customFormat="1" s="34"/>
    <row r="981" customFormat="1" s="34"/>
    <row r="982" customFormat="1" s="34"/>
    <row r="983" customFormat="1" s="34"/>
    <row r="984" customFormat="1" s="34"/>
    <row r="985" customFormat="1" s="34"/>
    <row r="986" customFormat="1" s="34"/>
    <row r="987" customFormat="1" s="34"/>
    <row r="988" customFormat="1" s="34"/>
    <row r="989" customFormat="1" s="34"/>
    <row r="990" customFormat="1" s="34"/>
    <row r="991" customFormat="1" s="34"/>
    <row r="992" customFormat="1" s="34"/>
    <row r="993" customFormat="1" s="34"/>
    <row r="994" customFormat="1" s="34"/>
    <row r="995" customFormat="1" s="34"/>
    <row r="996" customFormat="1" s="34"/>
    <row r="997" customFormat="1" s="34"/>
    <row r="998" customFormat="1" s="34"/>
    <row r="999" customFormat="1" s="34"/>
    <row r="1000" customFormat="1" s="34"/>
    <row r="1001" customFormat="1" s="34"/>
    <row r="1002" customFormat="1" s="34"/>
    <row r="1003" customFormat="1" s="34"/>
    <row r="1004" customFormat="1" s="34"/>
    <row r="1005" customFormat="1" s="34"/>
    <row r="1006" customFormat="1" s="34"/>
    <row r="1007" customFormat="1" s="34"/>
    <row r="1008" customFormat="1" s="34"/>
    <row r="1009" customFormat="1" s="34"/>
    <row r="1010" customFormat="1" s="34"/>
    <row r="1011" customFormat="1" s="34"/>
    <row r="1012" customFormat="1" s="34"/>
    <row r="1013" customFormat="1" s="34"/>
    <row r="1014" customFormat="1" s="34"/>
    <row r="1015" customFormat="1" s="34"/>
    <row r="1016" customFormat="1" s="34"/>
    <row r="1017" customFormat="1" s="34"/>
    <row r="1018" customFormat="1" s="34"/>
    <row r="1019" customFormat="1" s="34"/>
    <row r="1020" customFormat="1" s="34"/>
    <row r="1021" customFormat="1" s="34"/>
    <row r="1022" customFormat="1" s="34"/>
    <row r="1023" customFormat="1" s="34"/>
    <row r="1024" customFormat="1" s="34"/>
    <row r="1025" customFormat="1" s="34"/>
    <row r="1026" customFormat="1" s="34"/>
    <row r="1027" customFormat="1" s="34"/>
    <row r="1028" customFormat="1" s="34"/>
    <row r="1029" customFormat="1" s="34"/>
    <row r="1030" customFormat="1" s="34"/>
    <row r="1031" customFormat="1" s="34"/>
    <row r="1032" customFormat="1" s="34"/>
    <row r="1033" customFormat="1" s="34"/>
    <row r="1034" customFormat="1" s="34"/>
    <row r="1035" customFormat="1" s="34"/>
    <row r="1036" customFormat="1" s="34"/>
    <row r="1037" customFormat="1" s="34"/>
    <row r="1038" customFormat="1" s="34"/>
    <row r="1039" customFormat="1" s="34"/>
    <row r="1040" customFormat="1" s="34"/>
    <row r="1041" customFormat="1" s="34"/>
    <row r="1042" customFormat="1" s="34"/>
    <row r="1043" customFormat="1" s="34"/>
    <row r="1044" customFormat="1" s="34"/>
    <row r="1045" customFormat="1" s="34"/>
    <row r="1046" customFormat="1" s="34"/>
    <row r="1047" customFormat="1" s="34"/>
    <row r="1048" customFormat="1" s="34"/>
    <row r="1049" customFormat="1" s="34"/>
    <row r="1050" customFormat="1" s="34"/>
    <row r="1051" customFormat="1" s="34"/>
    <row r="1052" customFormat="1" s="34"/>
    <row r="1053" customFormat="1" s="34"/>
    <row r="1054" customFormat="1" s="34"/>
    <row r="1055" customFormat="1" s="34"/>
    <row r="1056" customFormat="1" s="34"/>
    <row r="1057" customFormat="1" s="34"/>
    <row r="1058" customFormat="1" s="34"/>
    <row r="1059" customFormat="1" s="34"/>
    <row r="1060" customFormat="1" s="34"/>
    <row r="1061" customFormat="1" s="34"/>
    <row r="1062" customFormat="1" s="34"/>
    <row r="1063" customFormat="1" s="34"/>
    <row r="1064" customFormat="1" s="34"/>
    <row r="1065" customFormat="1" s="34"/>
    <row r="1066" customFormat="1" s="34"/>
    <row r="1067" customFormat="1" s="34"/>
    <row r="1068" customFormat="1" s="34"/>
    <row r="1069" customFormat="1" s="34"/>
    <row r="1070" customFormat="1" s="34"/>
    <row r="1071" customFormat="1" s="34"/>
    <row r="1072" customFormat="1" s="34"/>
    <row r="1073" customFormat="1" s="34"/>
    <row r="1074" customFormat="1" s="34"/>
    <row r="1075" customFormat="1" s="34"/>
    <row r="1076" customFormat="1" s="34"/>
    <row r="1077" customFormat="1" s="34"/>
    <row r="1078" customFormat="1" s="34"/>
    <row r="1079" customFormat="1" s="34"/>
    <row r="1080" customFormat="1" s="34"/>
    <row r="1081" customFormat="1" s="34"/>
    <row r="1082" customFormat="1" s="34"/>
    <row r="1083" customFormat="1" s="34"/>
    <row r="1084" customFormat="1" s="34"/>
    <row r="1085" customFormat="1" s="34"/>
    <row r="1086" customFormat="1" s="34"/>
    <row r="1087" customFormat="1" s="34"/>
    <row r="1088" customFormat="1" s="34"/>
    <row r="1089" customFormat="1" s="34"/>
    <row r="1090" customFormat="1" s="34"/>
    <row r="1091" customFormat="1" s="34"/>
    <row r="1092" customFormat="1" s="34"/>
    <row r="1093" customFormat="1" s="34"/>
    <row r="1094" customFormat="1" s="34"/>
    <row r="1095" customFormat="1" s="34"/>
    <row r="1096" customFormat="1" s="34"/>
    <row r="1097" customFormat="1" s="34"/>
    <row r="1098" customFormat="1" s="34"/>
    <row r="1099" customFormat="1" s="34"/>
    <row r="1100" customFormat="1" s="34"/>
    <row r="1101" customFormat="1" s="34"/>
    <row r="1102" customFormat="1" s="34"/>
    <row r="1103" customFormat="1" s="34"/>
    <row r="1104" customFormat="1" s="34"/>
    <row r="1105" customFormat="1" s="34"/>
    <row r="1106" customFormat="1" s="34"/>
    <row r="1107" customFormat="1" s="34"/>
    <row r="1108" customFormat="1" s="34"/>
    <row r="1109" customFormat="1" s="34"/>
    <row r="1110" customFormat="1" s="34"/>
    <row r="1111" customFormat="1" s="34"/>
    <row r="1112" customFormat="1" s="34"/>
    <row r="1113" customFormat="1" s="34"/>
    <row r="1114" customFormat="1" s="34"/>
    <row r="1115" customFormat="1" s="34"/>
    <row r="1116" customFormat="1" s="34"/>
    <row r="1117" customFormat="1" s="34"/>
    <row r="1118" customFormat="1" s="34"/>
    <row r="1119" customFormat="1" s="34"/>
    <row r="1120" customFormat="1" s="34"/>
    <row r="1121" customFormat="1" s="34"/>
    <row r="1122" customFormat="1" s="34"/>
    <row r="1123" customFormat="1" s="34"/>
    <row r="1124" customFormat="1" s="34"/>
    <row r="1125" customFormat="1" s="34"/>
    <row r="1126" customFormat="1" s="34"/>
    <row r="1127" customFormat="1" s="34"/>
    <row r="1128" customFormat="1" s="34"/>
    <row r="1129" customFormat="1" s="34"/>
    <row r="1130" customFormat="1" s="34"/>
    <row r="1131" customFormat="1" s="34"/>
    <row r="1132" customFormat="1" s="34"/>
    <row r="1133" customFormat="1" s="34"/>
    <row r="1134" customFormat="1" s="34"/>
    <row r="1135" customFormat="1" s="34"/>
    <row r="1136" customFormat="1" s="34"/>
    <row r="1137" customFormat="1" s="34"/>
    <row r="1138" customFormat="1" s="34"/>
    <row r="1139" customFormat="1" s="34"/>
    <row r="1140" customFormat="1" s="34"/>
    <row r="1141" customFormat="1" s="34"/>
    <row r="1142" customFormat="1" s="34"/>
    <row r="1143" customFormat="1" s="34"/>
    <row r="1144" customFormat="1" s="34"/>
    <row r="1145" customFormat="1" s="34"/>
    <row r="1146" customFormat="1" s="34"/>
    <row r="1147" customFormat="1" s="34"/>
    <row r="1148" customFormat="1" s="34"/>
    <row r="1149" customFormat="1" s="34"/>
    <row r="1150" customFormat="1" s="34"/>
    <row r="1151" customFormat="1" s="34"/>
    <row r="1152" customFormat="1" s="34"/>
    <row r="1153" customFormat="1" s="34"/>
    <row r="1154" customFormat="1" s="34"/>
    <row r="1155" customFormat="1" s="34"/>
    <row r="1156" customFormat="1" s="34"/>
    <row r="1157" customFormat="1" s="34"/>
    <row r="1158" customFormat="1" s="34"/>
    <row r="1159" customFormat="1" s="34"/>
    <row r="1160" customFormat="1" s="34"/>
    <row r="1161" customFormat="1" s="34"/>
    <row r="1162" customFormat="1" s="34"/>
    <row r="1163" customFormat="1" s="34"/>
    <row r="1164" customFormat="1" s="34"/>
    <row r="1165" customFormat="1" s="34"/>
    <row r="1166" customFormat="1" s="34"/>
    <row r="1167" customFormat="1" s="34"/>
    <row r="1168" customFormat="1" s="34"/>
    <row r="1169" customFormat="1" s="34"/>
    <row r="1170" customFormat="1" s="34"/>
    <row r="1171" customFormat="1" s="34"/>
    <row r="1172" customFormat="1" s="34"/>
    <row r="1173" customFormat="1" s="34"/>
    <row r="1174" customFormat="1" s="34"/>
    <row r="1175" customFormat="1" s="34"/>
    <row r="1176" customFormat="1" s="34"/>
    <row r="1177" customFormat="1" s="34"/>
    <row r="1178" customFormat="1" s="34"/>
    <row r="1179" customFormat="1" s="34"/>
    <row r="1180" customFormat="1" s="34"/>
    <row r="1181" customFormat="1" s="34"/>
    <row r="1182" customFormat="1" s="34"/>
    <row r="1183" customFormat="1" s="34"/>
    <row r="1184" customFormat="1" s="34"/>
    <row r="1185" customFormat="1" s="34"/>
    <row r="1186" customFormat="1" s="34"/>
    <row r="1187" customFormat="1" s="34"/>
    <row r="1188" customFormat="1" s="34"/>
    <row r="1189" customFormat="1" s="34"/>
    <row r="1190" customFormat="1" s="34"/>
    <row r="1191" customFormat="1" s="34"/>
    <row r="1192" customFormat="1" s="34"/>
    <row r="1193" customFormat="1" s="34"/>
    <row r="1194" customFormat="1" s="34"/>
    <row r="1195" customFormat="1" s="34"/>
    <row r="1196" customFormat="1" s="34"/>
    <row r="1197" customFormat="1" s="34"/>
    <row r="1198" customFormat="1" s="34"/>
    <row r="1199" customFormat="1" s="34"/>
    <row r="1200" customFormat="1" s="34"/>
    <row r="1201" customFormat="1" s="34"/>
    <row r="1202" customFormat="1" s="34"/>
    <row r="1203" customFormat="1" s="34"/>
    <row r="1204" customFormat="1" s="34"/>
    <row r="1205" customFormat="1" s="34"/>
    <row r="1206" customFormat="1" s="34"/>
    <row r="1207" customFormat="1" s="34"/>
    <row r="1208" customFormat="1" s="34"/>
    <row r="1209" customFormat="1" s="34"/>
    <row r="1210" customFormat="1" s="34"/>
    <row r="1211" customFormat="1" s="34"/>
    <row r="1212" customFormat="1" s="34"/>
    <row r="1213" customFormat="1" s="34"/>
    <row r="1214" customFormat="1" s="34"/>
    <row r="1215" customFormat="1" s="34"/>
    <row r="1216" customFormat="1" s="34"/>
    <row r="1217" customFormat="1" s="34"/>
    <row r="1218" customFormat="1" s="34"/>
    <row r="1219" customFormat="1" s="34"/>
    <row r="1220" customFormat="1" s="34"/>
    <row r="1221" customFormat="1" s="34"/>
    <row r="1222" customFormat="1" s="34"/>
    <row r="1223" customFormat="1" s="34"/>
    <row r="1224" customFormat="1" s="34"/>
    <row r="1225" customFormat="1" s="34"/>
    <row r="1226" customFormat="1" s="34"/>
    <row r="1227" customFormat="1" s="34"/>
    <row r="1228" customFormat="1" s="34"/>
    <row r="1229" customFormat="1" s="34"/>
    <row r="1230" customFormat="1" s="34"/>
    <row r="1231" customFormat="1" s="34"/>
    <row r="1232" customFormat="1" s="34"/>
    <row r="1233" customFormat="1" s="34"/>
    <row r="1234" customFormat="1" s="34"/>
    <row r="1235" customFormat="1" s="34"/>
    <row r="1236" customFormat="1" s="34"/>
    <row r="1237" customFormat="1" s="34"/>
    <row r="1238" customFormat="1" s="34"/>
    <row r="1239" customFormat="1" s="34"/>
    <row r="1240" customFormat="1" s="34"/>
    <row r="1241" customFormat="1" s="34"/>
    <row r="1242" customFormat="1" s="34"/>
    <row r="1243" customFormat="1" s="34"/>
    <row r="1244" customFormat="1" s="34"/>
    <row r="1245" customFormat="1" s="34"/>
    <row r="1246" customFormat="1" s="34"/>
    <row r="1247" customFormat="1" s="34"/>
    <row r="1248" customFormat="1" s="34"/>
    <row r="1249" customFormat="1" s="34"/>
    <row r="1250" customFormat="1" s="34"/>
    <row r="1251" customFormat="1" s="34"/>
    <row r="1252" customFormat="1" s="34"/>
    <row r="1253" customFormat="1" s="34"/>
    <row r="1254" customFormat="1" s="34"/>
    <row r="1255" customFormat="1" s="34"/>
    <row r="1256" customFormat="1" s="34"/>
    <row r="1257" customFormat="1" s="34"/>
    <row r="1258" customFormat="1" s="34"/>
    <row r="1259" customFormat="1" s="34"/>
    <row r="1260" customFormat="1" s="34"/>
    <row r="1261" customFormat="1" s="34"/>
    <row r="1262" customFormat="1" s="34"/>
    <row r="1263" customFormat="1" s="34"/>
    <row r="1264" customFormat="1" s="34"/>
    <row r="1265" customFormat="1" s="34"/>
    <row r="1266" customFormat="1" s="34"/>
    <row r="1267" customFormat="1" s="34"/>
    <row r="1268" customFormat="1" s="34"/>
    <row r="1269" customFormat="1" s="34"/>
    <row r="1270" customFormat="1" s="34"/>
    <row r="1271" customFormat="1" s="34"/>
    <row r="1272" customFormat="1" s="34"/>
    <row r="1273" customFormat="1" s="34"/>
    <row r="1274" customFormat="1" s="34"/>
    <row r="1275" customFormat="1" s="34"/>
    <row r="1276" customFormat="1" s="34"/>
    <row r="1277" customFormat="1" s="34"/>
    <row r="1278" customFormat="1" s="34"/>
    <row r="1279" customFormat="1" s="34"/>
    <row r="1280" customFormat="1" s="34"/>
    <row r="1281" customFormat="1" s="34"/>
    <row r="1282" customFormat="1" s="34"/>
    <row r="1283" customFormat="1" s="34"/>
    <row r="1284" customFormat="1" s="34"/>
    <row r="1285" customFormat="1" s="34"/>
    <row r="1286" customFormat="1" s="34"/>
    <row r="1287" customFormat="1" s="34"/>
    <row r="1288" customFormat="1" s="34"/>
    <row r="1289" customFormat="1" s="34"/>
    <row r="1290" customFormat="1" s="34"/>
    <row r="1291" customFormat="1" s="34"/>
    <row r="1292" customFormat="1" s="34"/>
    <row r="1293" customFormat="1" s="34"/>
    <row r="1294" customFormat="1" s="34"/>
    <row r="1295" customFormat="1" s="34"/>
    <row r="1296" customFormat="1" s="34"/>
    <row r="1297" customFormat="1" s="34"/>
    <row r="1298" customFormat="1" s="34"/>
    <row r="1299" customFormat="1" s="34"/>
    <row r="1300" customFormat="1" s="34"/>
    <row r="1301" customFormat="1" s="34"/>
    <row r="1302" customFormat="1" s="34"/>
    <row r="1303" customFormat="1" s="34"/>
    <row r="1304" customFormat="1" s="34"/>
    <row r="1305" customFormat="1" s="34"/>
    <row r="1306" customFormat="1" s="34"/>
    <row r="1307" customFormat="1" s="34"/>
    <row r="1308" customFormat="1" s="34"/>
    <row r="1309" customFormat="1" s="34"/>
    <row r="1310" customFormat="1" s="34"/>
    <row r="1311" customFormat="1" s="34"/>
    <row r="1312" customFormat="1" s="34"/>
    <row r="1313" customFormat="1" s="34"/>
    <row r="1314" customFormat="1" s="34"/>
    <row r="1315" customFormat="1" s="34"/>
    <row r="1316" customFormat="1" s="34"/>
    <row r="1317" customFormat="1" s="34"/>
    <row r="1318" customFormat="1" s="34"/>
    <row r="1319" customFormat="1" s="34"/>
    <row r="1320" customFormat="1" s="34"/>
    <row r="1321" customFormat="1" s="34"/>
    <row r="1322" customFormat="1" s="34"/>
    <row r="1323" customFormat="1" s="34"/>
    <row r="1324" customFormat="1" s="34"/>
    <row r="1325" customFormat="1" s="34"/>
    <row r="1326" customFormat="1" s="34"/>
    <row r="1327" customFormat="1" s="34"/>
    <row r="1328" customFormat="1" s="34"/>
    <row r="1329" customFormat="1" s="34"/>
    <row r="1330" customFormat="1" s="34"/>
    <row r="1331" customFormat="1" s="34"/>
    <row r="1332" customFormat="1" s="34"/>
    <row r="1333" customFormat="1" s="34"/>
    <row r="1334" customFormat="1" s="34"/>
    <row r="1335" customFormat="1" s="34"/>
    <row r="1336" customFormat="1" s="34"/>
    <row r="1337" customFormat="1" s="34"/>
    <row r="1338" customFormat="1" s="34"/>
    <row r="1339" customFormat="1" s="34"/>
    <row r="1340" customFormat="1" s="34"/>
    <row r="1341" customFormat="1" s="34"/>
    <row r="1342" customFormat="1" s="34"/>
    <row r="1343" customFormat="1" s="34"/>
    <row r="1344" customFormat="1" s="34"/>
    <row r="1345" customFormat="1" s="34"/>
    <row r="1346" customFormat="1" s="34"/>
    <row r="1347" customFormat="1" s="34"/>
    <row r="1348" customFormat="1" s="34"/>
    <row r="1349" customFormat="1" s="34"/>
    <row r="1350" customFormat="1" s="34"/>
    <row r="1351" customFormat="1" s="34"/>
    <row r="1352" customFormat="1" s="34"/>
    <row r="1353" customFormat="1" s="34"/>
    <row r="1354" customFormat="1" s="34"/>
    <row r="1355" customFormat="1" s="34"/>
    <row r="1356" customFormat="1" s="34"/>
    <row r="1357" customFormat="1" s="34"/>
    <row r="1358" customFormat="1" s="34"/>
    <row r="1359" customFormat="1" s="34"/>
    <row r="1360" customFormat="1" s="34"/>
    <row r="1361" customFormat="1" s="34"/>
    <row r="1362" customFormat="1" s="34"/>
    <row r="1363" customFormat="1" s="34"/>
    <row r="1364" customFormat="1" s="34"/>
    <row r="1365" customFormat="1" s="34"/>
    <row r="1366" customFormat="1" s="34"/>
    <row r="1367" customFormat="1" s="34"/>
    <row r="1368" customFormat="1" s="34"/>
    <row r="1369" customFormat="1" s="34"/>
    <row r="1370" customFormat="1" s="34"/>
    <row r="1371" customFormat="1" s="34"/>
    <row r="1372" customFormat="1" s="34"/>
    <row r="1373" customFormat="1" s="34"/>
    <row r="1374" customFormat="1" s="34"/>
    <row r="1375" customFormat="1" s="34"/>
    <row r="1376" customFormat="1" s="34"/>
    <row r="1377" customFormat="1" s="34"/>
    <row r="1378" customFormat="1" s="34"/>
    <row r="1379" customFormat="1" s="34"/>
    <row r="1380" customFormat="1" s="34"/>
    <row r="1381" customFormat="1" s="34"/>
    <row r="1382" customFormat="1" s="34"/>
    <row r="1383" customFormat="1" s="34"/>
    <row r="1384" customFormat="1" s="34"/>
    <row r="1385" customFormat="1" s="34"/>
    <row r="1386" customFormat="1" s="34"/>
    <row r="1387" customFormat="1" s="34"/>
    <row r="1388" customFormat="1" s="34"/>
    <row r="1389" customFormat="1" s="34"/>
    <row r="1390" customFormat="1" s="34"/>
    <row r="1391" customFormat="1" s="34"/>
    <row r="1392" customFormat="1" s="34"/>
    <row r="1393" customFormat="1" s="34"/>
    <row r="1394" customFormat="1" s="34"/>
    <row r="1395" customFormat="1" s="34"/>
    <row r="1396" customFormat="1" s="34"/>
    <row r="1397" customFormat="1" s="34"/>
    <row r="1398" customFormat="1" s="34"/>
    <row r="1399" customFormat="1" s="34"/>
    <row r="1400" customFormat="1" s="34"/>
    <row r="1401" customFormat="1" s="34"/>
    <row r="1402" customFormat="1" s="34"/>
    <row r="1403" customFormat="1" s="34"/>
    <row r="1404" customFormat="1" s="34"/>
    <row r="1405" customFormat="1" s="34"/>
    <row r="1406" customFormat="1" s="34"/>
    <row r="1407" customFormat="1" s="34"/>
    <row r="1408" customFormat="1" s="34"/>
    <row r="1409" customFormat="1" s="34"/>
    <row r="1410" customFormat="1" s="34"/>
    <row r="1411" customFormat="1" s="34"/>
    <row r="1412" customFormat="1" s="34"/>
    <row r="1413" customFormat="1" s="34"/>
    <row r="1414" customFormat="1" s="34"/>
    <row r="1415" customFormat="1" s="34"/>
    <row r="1416" customFormat="1" s="34"/>
    <row r="1417" customFormat="1" s="34"/>
    <row r="1418" customFormat="1" s="34"/>
    <row r="1419" customFormat="1" s="34"/>
    <row r="1420" customFormat="1" s="34"/>
    <row r="1421" customFormat="1" s="34"/>
    <row r="1422" customFormat="1" s="34"/>
    <row r="1423" customFormat="1" s="34"/>
    <row r="1424" customFormat="1" s="34"/>
    <row r="1425" customFormat="1" s="34"/>
    <row r="1426" customFormat="1" s="34"/>
    <row r="1427" customFormat="1" s="34"/>
    <row r="1428" customFormat="1" s="34"/>
    <row r="1429" customFormat="1" s="34"/>
    <row r="1430" customFormat="1" s="34"/>
    <row r="1431" customFormat="1" s="34"/>
    <row r="1432" customFormat="1" s="34"/>
    <row r="1433" customFormat="1" s="34"/>
    <row r="1434" customFormat="1" s="34"/>
    <row r="1435" customFormat="1" s="34"/>
    <row r="1436" customFormat="1" s="34"/>
    <row r="1437" customFormat="1" s="34"/>
    <row r="1438" customFormat="1" s="34"/>
    <row r="1439" customFormat="1" s="34"/>
    <row r="1440" customFormat="1" s="34"/>
    <row r="1441" customFormat="1" s="34"/>
    <row r="1442" customFormat="1" s="34"/>
    <row r="1443" customFormat="1" s="34"/>
    <row r="1444" customFormat="1" s="34"/>
    <row r="1445" customFormat="1" s="34"/>
    <row r="1446" customFormat="1" s="34"/>
    <row r="1447" customFormat="1" s="34"/>
    <row r="1448" customFormat="1" s="34"/>
    <row r="1449" customFormat="1" s="34"/>
    <row r="1450" customFormat="1" s="34"/>
    <row r="1451" customFormat="1" s="34"/>
    <row r="1452" customFormat="1" s="34"/>
    <row r="1453" customFormat="1" s="34"/>
    <row r="1454" customFormat="1" s="34"/>
    <row r="1455" customFormat="1" s="34"/>
    <row r="1456" customFormat="1" s="34"/>
    <row r="1457" customFormat="1" s="34"/>
    <row r="1458" customFormat="1" s="34"/>
    <row r="1459" customFormat="1" s="34"/>
    <row r="1460" customFormat="1" s="34"/>
    <row r="1461" customFormat="1" s="34"/>
    <row r="1462" customFormat="1" s="34"/>
    <row r="1463" customFormat="1" s="34"/>
    <row r="1464" customFormat="1" s="34"/>
    <row r="1465" customFormat="1" s="34"/>
    <row r="1466" customFormat="1" s="34"/>
    <row r="1467" customFormat="1" s="34"/>
    <row r="1468" customFormat="1" s="34"/>
    <row r="1469" customFormat="1" s="34"/>
    <row r="1470" customFormat="1" s="34"/>
    <row r="1471" customFormat="1" s="34"/>
    <row r="1472" customFormat="1" s="34"/>
    <row r="1473" customFormat="1" s="34"/>
    <row r="1474" customFormat="1" s="34"/>
    <row r="1475" customFormat="1" s="34"/>
    <row r="1476" customFormat="1" s="34"/>
    <row r="1477" customFormat="1" s="34"/>
    <row r="1478" customFormat="1" s="34"/>
    <row r="1479" customFormat="1" s="34"/>
    <row r="1480" customFormat="1" s="34"/>
    <row r="1481" customFormat="1" s="34"/>
    <row r="1482" customFormat="1" s="34"/>
    <row r="1483" customFormat="1" s="34"/>
    <row r="1484" customFormat="1" s="34"/>
    <row r="1485" customFormat="1" s="34"/>
    <row r="1486" customFormat="1" s="34"/>
    <row r="1487" customFormat="1" s="34"/>
    <row r="1488" customFormat="1" s="34"/>
    <row r="1489" customFormat="1" s="34"/>
    <row r="1490" customFormat="1" s="34"/>
    <row r="1491" customFormat="1" s="34"/>
    <row r="1492" customFormat="1" s="34"/>
    <row r="1493" customFormat="1" s="34"/>
    <row r="1494" customFormat="1" s="34"/>
    <row r="1495" customFormat="1" s="34"/>
    <row r="1496" customFormat="1" s="34"/>
    <row r="1497" customFormat="1" s="34"/>
    <row r="1498" customFormat="1" s="34"/>
    <row r="1499" customFormat="1" s="34"/>
    <row r="1500" customFormat="1" s="34"/>
    <row r="1501" customFormat="1" s="34"/>
    <row r="1502" customFormat="1" s="34"/>
    <row r="1503" customFormat="1" s="34"/>
    <row r="1504" customFormat="1" s="34"/>
    <row r="1505" customFormat="1" s="34"/>
    <row r="1506" customFormat="1" s="34"/>
    <row r="1507" customFormat="1" s="34"/>
    <row r="1508" customFormat="1" s="34"/>
    <row r="1509" customFormat="1" s="34"/>
    <row r="1510" customFormat="1" s="34"/>
    <row r="1511" customFormat="1" s="34"/>
    <row r="1512" customFormat="1" s="34"/>
    <row r="1513" customFormat="1" s="34"/>
    <row r="1514" customFormat="1" s="34"/>
    <row r="1515" customFormat="1" s="34"/>
    <row r="1516" customFormat="1" s="34"/>
    <row r="1517" customFormat="1" s="34"/>
    <row r="1518" customFormat="1" s="34"/>
    <row r="1519" customFormat="1" s="34"/>
    <row r="1520" customFormat="1" s="34"/>
    <row r="1521" customFormat="1" s="34"/>
    <row r="1522" customFormat="1" s="34"/>
    <row r="1523" customFormat="1" s="34"/>
    <row r="1524" customFormat="1" s="34"/>
    <row r="1525" customFormat="1" s="34"/>
    <row r="1526" customFormat="1" s="34"/>
    <row r="1527" customFormat="1" s="34"/>
    <row r="1528" customFormat="1" s="34"/>
    <row r="1529" customFormat="1" s="34"/>
    <row r="1530" customFormat="1" s="34"/>
    <row r="1531" customFormat="1" s="34"/>
    <row r="1532" customFormat="1" s="34"/>
    <row r="1533" customFormat="1" s="34"/>
    <row r="1534" customFormat="1" s="34"/>
    <row r="1535" customFormat="1" s="34"/>
    <row r="1536" customFormat="1" s="34"/>
    <row r="1537" customFormat="1" s="34"/>
    <row r="1538" customFormat="1" s="34"/>
    <row r="1539" customFormat="1" s="34"/>
    <row r="1540" customFormat="1" s="34"/>
    <row r="1541" customFormat="1" s="34"/>
    <row r="1542" customFormat="1" s="34"/>
    <row r="1543" customFormat="1" s="34"/>
    <row r="1544" customFormat="1" s="34"/>
    <row r="1545" customFormat="1" s="34"/>
    <row r="1546" customFormat="1" s="34"/>
    <row r="1547" customFormat="1" s="34"/>
    <row r="1548" customFormat="1" s="34"/>
    <row r="1549" customFormat="1" s="34"/>
    <row r="1550" customFormat="1" s="34"/>
    <row r="1551" customFormat="1" s="34"/>
    <row r="1552" customFormat="1" s="34"/>
    <row r="1553" customFormat="1" s="34"/>
    <row r="1554" customFormat="1" s="34"/>
    <row r="1555" customFormat="1" s="34"/>
    <row r="1556" customFormat="1" s="34"/>
    <row r="1557" customFormat="1" s="34"/>
    <row r="1558" customFormat="1" s="34"/>
    <row r="1559" customFormat="1" s="34"/>
    <row r="1560" customFormat="1" s="34"/>
    <row r="1561" customFormat="1" s="34"/>
    <row r="1562" customFormat="1" s="34"/>
    <row r="1563" customFormat="1" s="34"/>
    <row r="1564" customFormat="1" s="34"/>
    <row r="1565" customFormat="1" s="34"/>
    <row r="1566" customFormat="1" s="34"/>
    <row r="1567" customFormat="1" s="34"/>
    <row r="1568" customFormat="1" s="34"/>
    <row r="1569" customFormat="1" s="34"/>
    <row r="1570" customFormat="1" s="34"/>
    <row r="1571" customFormat="1" s="34"/>
    <row r="1572" customFormat="1" s="34"/>
    <row r="1573" customFormat="1" s="34"/>
    <row r="1574" customFormat="1" s="34"/>
    <row r="1575" customFormat="1" s="34"/>
    <row r="1576" customFormat="1" s="34"/>
    <row r="1577" customFormat="1" s="34"/>
    <row r="1578" customFormat="1" s="34"/>
    <row r="1579" customFormat="1" s="34"/>
    <row r="1580" customFormat="1" s="34"/>
    <row r="1581" customFormat="1" s="34"/>
    <row r="1582" customFormat="1" s="34"/>
    <row r="1583" customFormat="1" s="34"/>
    <row r="1584" customFormat="1" s="34"/>
    <row r="1585" customFormat="1" s="34"/>
    <row r="1586" customFormat="1" s="34"/>
    <row r="1587" customFormat="1" s="34"/>
    <row r="1588" customFormat="1" s="34"/>
    <row r="1589" customFormat="1" s="34"/>
    <row r="1590" customFormat="1" s="34"/>
    <row r="1591" customFormat="1" s="34"/>
    <row r="1592" customFormat="1" s="34"/>
    <row r="1593" customFormat="1" s="34"/>
    <row r="1594" customFormat="1" s="34"/>
    <row r="1595" customFormat="1" s="34"/>
    <row r="1596" customFormat="1" s="34"/>
    <row r="1597" customFormat="1" s="34"/>
    <row r="1598" customFormat="1" s="34"/>
    <row r="1599" customFormat="1" s="34"/>
    <row r="1600" customFormat="1" s="34"/>
    <row r="1601" customFormat="1" s="34"/>
    <row r="1602" customFormat="1" s="34"/>
    <row r="1603" customFormat="1" s="34"/>
    <row r="1604" customFormat="1" s="34"/>
    <row r="1605" customFormat="1" s="34"/>
    <row r="1606" customFormat="1" s="34"/>
    <row r="1607" customFormat="1" s="34"/>
    <row r="1608" customFormat="1" s="34"/>
    <row r="1609" customFormat="1" s="34"/>
    <row r="1610" customFormat="1" s="34"/>
    <row r="1611" customFormat="1" s="34"/>
    <row r="1612" customFormat="1" s="34"/>
    <row r="1613" customFormat="1" s="34"/>
    <row r="1614" customFormat="1" s="34"/>
    <row r="1615" customFormat="1" s="34"/>
    <row r="1616" customFormat="1" s="34"/>
    <row r="1617" customFormat="1" s="34"/>
    <row r="1618" customFormat="1" s="34"/>
    <row r="1619" customFormat="1" s="34"/>
    <row r="1620" customFormat="1" s="34"/>
    <row r="1621" customFormat="1" s="34"/>
    <row r="1622" customFormat="1" s="34"/>
    <row r="1623" customFormat="1" s="34"/>
    <row r="1624" customFormat="1" s="34"/>
    <row r="1625" customFormat="1" s="34"/>
    <row r="1626" customFormat="1" s="34"/>
    <row r="1627" customFormat="1" s="34"/>
    <row r="1628" customFormat="1" s="34"/>
    <row r="1629" customFormat="1" s="34"/>
    <row r="1630" customFormat="1" s="34"/>
    <row r="1631" customFormat="1" s="34"/>
    <row r="1632" customFormat="1" s="34"/>
    <row r="1633" customFormat="1" s="34"/>
    <row r="1634" customFormat="1" s="34"/>
    <row r="1635" customFormat="1" s="34"/>
    <row r="1636" customFormat="1" s="34"/>
    <row r="1637" customFormat="1" s="34"/>
    <row r="1638" customFormat="1" s="34"/>
    <row r="1639" customFormat="1" s="34"/>
    <row r="1640" customFormat="1" s="34"/>
    <row r="1641" customFormat="1" s="34"/>
    <row r="1642" customFormat="1" s="34"/>
    <row r="1643" customFormat="1" s="34"/>
    <row r="1644" customFormat="1" s="34"/>
    <row r="1645" customFormat="1" s="34"/>
    <row r="1646" customFormat="1" s="34"/>
    <row r="1647" customFormat="1" s="34"/>
    <row r="1648" customFormat="1" s="34"/>
    <row r="1649" customFormat="1" s="34"/>
    <row r="1650" customFormat="1" s="34"/>
    <row r="1651" customFormat="1" s="34"/>
    <row r="1652" customFormat="1" s="34"/>
    <row r="1653" customFormat="1" s="34"/>
    <row r="1654" customFormat="1" s="34"/>
    <row r="1655" customFormat="1" s="34"/>
    <row r="1656" customFormat="1" s="34"/>
    <row r="1657" customFormat="1" s="34"/>
    <row r="1658" customFormat="1" s="34"/>
    <row r="1659" customFormat="1" s="34"/>
    <row r="1660" customFormat="1" s="34"/>
    <row r="1661" customFormat="1" s="34"/>
    <row r="1662" customFormat="1" s="34"/>
    <row r="1663" customFormat="1" s="34"/>
    <row r="1664" customFormat="1" s="34"/>
    <row r="1665" customFormat="1" s="34"/>
    <row r="1666" customFormat="1" s="34"/>
    <row r="1667" customFormat="1" s="34"/>
    <row r="1668" customFormat="1" s="34"/>
    <row r="1669" customFormat="1" s="34"/>
    <row r="1670" customFormat="1" s="34"/>
    <row r="1671" customFormat="1" s="34"/>
    <row r="1672" customFormat="1" s="34"/>
    <row r="1673" customFormat="1" s="34"/>
    <row r="1674" customFormat="1" s="34"/>
    <row r="1675" customFormat="1" s="34"/>
    <row r="1676" customFormat="1" s="34"/>
    <row r="1677" customFormat="1" s="34"/>
    <row r="1678" customFormat="1" s="34"/>
    <row r="1679" customFormat="1" s="34"/>
    <row r="1680" customFormat="1" s="34"/>
    <row r="1681" customFormat="1" s="34"/>
    <row r="1682" customFormat="1" s="34"/>
    <row r="1683" customFormat="1" s="34"/>
    <row r="1684" customFormat="1" s="34"/>
    <row r="1685" customFormat="1" s="34"/>
    <row r="1686" customFormat="1" s="34"/>
    <row r="1687" customFormat="1" s="34"/>
    <row r="1688" customFormat="1" s="34"/>
    <row r="1689" customFormat="1" s="34"/>
    <row r="1690" customFormat="1" s="34"/>
    <row r="1691" customFormat="1" s="34"/>
    <row r="1692" customFormat="1" s="34"/>
    <row r="1693" customFormat="1" s="34"/>
    <row r="1694" customFormat="1" s="34"/>
    <row r="1695" customFormat="1" s="34"/>
    <row r="1696" customFormat="1" s="34"/>
    <row r="1697" customFormat="1" s="34"/>
    <row r="1698" customFormat="1" s="34"/>
    <row r="1699" customFormat="1" s="34"/>
    <row r="1700" customFormat="1" s="34"/>
    <row r="1701" customFormat="1" s="34"/>
    <row r="1702" customFormat="1" s="34"/>
    <row r="1703" customFormat="1" s="34"/>
    <row r="1704" customFormat="1" s="34"/>
    <row r="1705" customFormat="1" s="34"/>
    <row r="1706" customFormat="1" s="34"/>
    <row r="1707" customFormat="1" s="34"/>
    <row r="1708" customFormat="1" s="34"/>
    <row r="1709" customFormat="1" s="34"/>
    <row r="1710" customFormat="1" s="34"/>
    <row r="1711" customFormat="1" s="34"/>
    <row r="1712" customFormat="1" s="34"/>
    <row r="1713" customFormat="1" s="34"/>
    <row r="1714" customFormat="1" s="34"/>
    <row r="1715" customFormat="1" s="34"/>
    <row r="1716" customFormat="1" s="34"/>
    <row r="1717" customFormat="1" s="34"/>
    <row r="1718" customFormat="1" s="34"/>
    <row r="1719" customFormat="1" s="34"/>
    <row r="1720" customFormat="1" s="34"/>
    <row r="1721" customFormat="1" s="34"/>
    <row r="1722" customFormat="1" s="34"/>
    <row r="1723" customFormat="1" s="34"/>
    <row r="1724" customFormat="1" s="34"/>
    <row r="1725" customFormat="1" s="34"/>
    <row r="1726" customFormat="1" s="34"/>
    <row r="1727" customFormat="1" s="34"/>
    <row r="1728" customFormat="1" s="34"/>
    <row r="1729" customFormat="1" s="34"/>
    <row r="1730" customFormat="1" s="34"/>
    <row r="1731" customFormat="1" s="34"/>
    <row r="1732" customFormat="1" s="34"/>
    <row r="1733" customFormat="1" s="34"/>
    <row r="1734" customFormat="1" s="34"/>
    <row r="1735" customFormat="1" s="34"/>
    <row r="1736" customFormat="1" s="34"/>
    <row r="1737" customFormat="1" s="34"/>
    <row r="1738" customFormat="1" s="34"/>
    <row r="1739" customFormat="1" s="34"/>
    <row r="1740" customFormat="1" s="34"/>
    <row r="1741" customFormat="1" s="34"/>
    <row r="1742" customFormat="1" s="34"/>
    <row r="1743" customFormat="1" s="34"/>
    <row r="1744" customFormat="1" s="34"/>
    <row r="1745" customFormat="1" s="34"/>
    <row r="1746" customFormat="1" s="34"/>
    <row r="1747" customFormat="1" s="34"/>
    <row r="1748" customFormat="1" s="34"/>
    <row r="1749" customFormat="1" s="34"/>
    <row r="1750" customFormat="1" s="34"/>
    <row r="1751" customFormat="1" s="34"/>
    <row r="1752" customFormat="1" s="34"/>
    <row r="1753" customFormat="1" s="34"/>
    <row r="1754" customFormat="1" s="34"/>
    <row r="1755" customFormat="1" s="34"/>
    <row r="1756" customFormat="1" s="34"/>
    <row r="1757" customFormat="1" s="34"/>
    <row r="1758" customFormat="1" s="34"/>
    <row r="1759" customFormat="1" s="34"/>
    <row r="1760" customFormat="1" s="34"/>
    <row r="1761" customFormat="1" s="34"/>
    <row r="1762" customFormat="1" s="34"/>
    <row r="1763" customFormat="1" s="34"/>
    <row r="1764" customFormat="1" s="34"/>
    <row r="1765" customFormat="1" s="34"/>
    <row r="1766" customFormat="1" s="34"/>
    <row r="1767" customFormat="1" s="34"/>
    <row r="1768" customFormat="1" s="34"/>
    <row r="1769" customFormat="1" s="34"/>
    <row r="1770" customFormat="1" s="34"/>
    <row r="1771" customFormat="1" s="34"/>
    <row r="1772" customFormat="1" s="34"/>
    <row r="1773" customFormat="1" s="34"/>
    <row r="1774" customFormat="1" s="34"/>
    <row r="1775" customFormat="1" s="34"/>
    <row r="1776" customFormat="1" s="34"/>
    <row r="1777" customFormat="1" s="34"/>
    <row r="1778" customFormat="1" s="34"/>
    <row r="1779" customFormat="1" s="34"/>
    <row r="1780" customFormat="1" s="34"/>
    <row r="1781" customFormat="1" s="34"/>
    <row r="1782" customFormat="1" s="34"/>
    <row r="1783" customFormat="1" s="34"/>
    <row r="1784" customFormat="1" s="34"/>
    <row r="1785" customFormat="1" s="34"/>
    <row r="1786" customFormat="1" s="34"/>
    <row r="1787" customFormat="1" s="34"/>
    <row r="1788" customFormat="1" s="34"/>
    <row r="1789" customFormat="1" s="34"/>
    <row r="1790" customFormat="1" s="34"/>
    <row r="1791" customFormat="1" s="34"/>
    <row r="1792" customFormat="1" s="34"/>
    <row r="1793" customFormat="1" s="34"/>
    <row r="1794" customFormat="1" s="34"/>
    <row r="1795" customFormat="1" s="34"/>
    <row r="1796" customFormat="1" s="34"/>
    <row r="1797" customFormat="1" s="34"/>
    <row r="1798" customFormat="1" s="34"/>
    <row r="1799" customFormat="1" s="34"/>
    <row r="1800" customFormat="1" s="34"/>
    <row r="1801" customFormat="1" s="34"/>
    <row r="1802" customFormat="1" s="34"/>
    <row r="1803" customFormat="1" s="34"/>
    <row r="1804" customFormat="1" s="34"/>
    <row r="1805" customFormat="1" s="34"/>
    <row r="1806" customFormat="1" s="34"/>
    <row r="1807" customFormat="1" s="34"/>
    <row r="1808" customFormat="1" s="34"/>
    <row r="1809" customFormat="1" s="34"/>
    <row r="1810" customFormat="1" s="34"/>
    <row r="1811" customFormat="1" s="34"/>
    <row r="1812" customFormat="1" s="34"/>
    <row r="1813" customFormat="1" s="34"/>
    <row r="1814" customFormat="1" s="34"/>
    <row r="1815" customFormat="1" s="34"/>
    <row r="1816" customFormat="1" s="34"/>
    <row r="1817" customFormat="1" s="34"/>
    <row r="1818" customFormat="1" s="34"/>
    <row r="1819" customFormat="1" s="34"/>
    <row r="1820" customFormat="1" s="34"/>
    <row r="1821" customFormat="1" s="34"/>
    <row r="1822" customFormat="1" s="34"/>
    <row r="1823" customFormat="1" s="34"/>
    <row r="1824" customFormat="1" s="34"/>
    <row r="1825" customFormat="1" s="34"/>
    <row r="1826" customFormat="1" s="34"/>
    <row r="1827" customFormat="1" s="34"/>
    <row r="1828" customFormat="1" s="34"/>
    <row r="1829" customFormat="1" s="34"/>
    <row r="1830" customFormat="1" s="34"/>
    <row r="1831" customFormat="1" s="34"/>
    <row r="1832" customFormat="1" s="34"/>
    <row r="1833" customFormat="1" s="34"/>
    <row r="1834" customFormat="1" s="34"/>
    <row r="1835" customFormat="1" s="34"/>
    <row r="1836" customFormat="1" s="34"/>
    <row r="1837" customFormat="1" s="34"/>
    <row r="1838" customFormat="1" s="34"/>
    <row r="1839" customFormat="1" s="34"/>
    <row r="1840" customFormat="1" s="34"/>
    <row r="1841" customFormat="1" s="34"/>
    <row r="1842" customFormat="1" s="34"/>
    <row r="1843" customFormat="1" s="34"/>
    <row r="1844" customFormat="1" s="34"/>
    <row r="1845" customFormat="1" s="34"/>
    <row r="1846" customFormat="1" s="34"/>
    <row r="1847" customFormat="1" s="34"/>
    <row r="1848" customFormat="1" s="34"/>
    <row r="1849" customFormat="1" s="34"/>
    <row r="1850" customFormat="1" s="34"/>
    <row r="1851" customFormat="1" s="34"/>
    <row r="1852" customFormat="1" s="34"/>
    <row r="1853" customFormat="1" s="34"/>
    <row r="1854" customFormat="1" s="34"/>
    <row r="1855" customFormat="1" s="34"/>
    <row r="1856" customFormat="1" s="34"/>
    <row r="1857" customFormat="1" s="34"/>
    <row r="1858" customFormat="1" s="34"/>
    <row r="1859" customFormat="1" s="34"/>
    <row r="1860" customFormat="1" s="34"/>
    <row r="1861" customFormat="1" s="34"/>
    <row r="1862" customFormat="1" s="34"/>
    <row r="1863" customFormat="1" s="34"/>
    <row r="1864" customFormat="1" s="34"/>
    <row r="1865" customFormat="1" s="34"/>
    <row r="1866" customFormat="1" s="34"/>
    <row r="1867" customFormat="1" s="34"/>
    <row r="1868" customFormat="1" s="34"/>
    <row r="1869" customFormat="1" s="34"/>
    <row r="1870" customFormat="1" s="34"/>
    <row r="1871" customFormat="1" s="34"/>
    <row r="1872" customFormat="1" s="34"/>
    <row r="1873" customFormat="1" s="34"/>
    <row r="1874" customFormat="1" s="34"/>
    <row r="1875" customFormat="1" s="34"/>
    <row r="1876" customFormat="1" s="34"/>
    <row r="1877" customFormat="1" s="34"/>
    <row r="1878" customFormat="1" s="34"/>
    <row r="1879" customFormat="1" s="34"/>
    <row r="1880" customFormat="1" s="34"/>
    <row r="1881" customFormat="1" s="34"/>
    <row r="1882" customFormat="1" s="34"/>
    <row r="1883" customFormat="1" s="34"/>
    <row r="1884" customFormat="1" s="34"/>
    <row r="1885" customFormat="1" s="34"/>
    <row r="1886" customFormat="1" s="34"/>
    <row r="1887" customFormat="1" s="34"/>
    <row r="1888" customFormat="1" s="34"/>
    <row r="1889" customFormat="1" s="34"/>
    <row r="1890" customFormat="1" s="34"/>
    <row r="1891" customFormat="1" s="34"/>
    <row r="1892" customFormat="1" s="34"/>
    <row r="1893" customFormat="1" s="34"/>
    <row r="1894" customFormat="1" s="34"/>
    <row r="1895" customFormat="1" s="34"/>
    <row r="1896" customFormat="1" s="34"/>
    <row r="1897" customFormat="1" s="34"/>
    <row r="1898" customFormat="1" s="34"/>
    <row r="1899" customFormat="1" s="34"/>
    <row r="1900" customFormat="1" s="34"/>
    <row r="1901" customFormat="1" s="34"/>
    <row r="1902" customFormat="1" s="34"/>
    <row r="1903" customFormat="1" s="34"/>
    <row r="1904" customFormat="1" s="34"/>
    <row r="1905" customFormat="1" s="34"/>
    <row r="1906" customFormat="1" s="34"/>
    <row r="1907" customFormat="1" s="34"/>
    <row r="1908" customFormat="1" s="34"/>
    <row r="1909" customFormat="1" s="34"/>
    <row r="1910" customFormat="1" s="34"/>
    <row r="1911" customFormat="1" s="34"/>
    <row r="1912" customFormat="1" s="34"/>
    <row r="1913" customFormat="1" s="34"/>
    <row r="1914" customFormat="1" s="34"/>
    <row r="1915" customFormat="1" s="34"/>
    <row r="1916" customFormat="1" s="34"/>
    <row r="1917" customFormat="1" s="34"/>
    <row r="1918" customFormat="1" s="34"/>
    <row r="1919" customFormat="1" s="34"/>
    <row r="1920" customFormat="1" s="34"/>
    <row r="1921" customFormat="1" s="34"/>
    <row r="1922" customFormat="1" s="34"/>
    <row r="1923" customFormat="1" s="34"/>
    <row r="1924" customFormat="1" s="34"/>
    <row r="1925" customFormat="1" s="34"/>
    <row r="1926" customFormat="1" s="34"/>
    <row r="1927" customFormat="1" s="34"/>
    <row r="1928" customFormat="1" s="34"/>
    <row r="1929" customFormat="1" s="34"/>
    <row r="1930" customFormat="1" s="34"/>
    <row r="1931" customFormat="1" s="34"/>
    <row r="1932" customFormat="1" s="34"/>
    <row r="1933" customFormat="1" s="34"/>
    <row r="1934" customFormat="1" s="34"/>
    <row r="1935" customFormat="1" s="34"/>
    <row r="1936" customFormat="1" s="34"/>
    <row r="1937" customFormat="1" s="34"/>
    <row r="1938" customFormat="1" s="34"/>
    <row r="1939" customFormat="1" s="34"/>
    <row r="1940" customFormat="1" s="34"/>
    <row r="1941" customFormat="1" s="34"/>
    <row r="1942" customFormat="1" s="34"/>
    <row r="1943" customFormat="1" s="34"/>
    <row r="1944" customFormat="1" s="34"/>
    <row r="1945" customFormat="1" s="34"/>
    <row r="1946" customFormat="1" s="34"/>
    <row r="1947" customFormat="1" s="34"/>
    <row r="1948" customFormat="1" s="34"/>
    <row r="1949" customFormat="1" s="34"/>
    <row r="1950" customFormat="1" s="34"/>
    <row r="1951" customFormat="1" s="34"/>
    <row r="1952" customFormat="1" s="34"/>
    <row r="1953" customFormat="1" s="34"/>
    <row r="1954" customFormat="1" s="34"/>
    <row r="1955" customFormat="1" s="34"/>
    <row r="1956" customFormat="1" s="34"/>
    <row r="1957" customFormat="1" s="34"/>
    <row r="1958" customFormat="1" s="34"/>
    <row r="1959" customFormat="1" s="34"/>
    <row r="1960" customFormat="1" s="34"/>
    <row r="1961" customFormat="1" s="34"/>
    <row r="1962" customFormat="1" s="34"/>
    <row r="1963" customFormat="1" s="34"/>
    <row r="1964" customFormat="1" s="34"/>
    <row r="1965" customFormat="1" s="34"/>
    <row r="1966" customFormat="1" s="34"/>
    <row r="1967" customFormat="1" s="34"/>
    <row r="1968" customFormat="1" s="34"/>
    <row r="1969" customFormat="1" s="34"/>
    <row r="1970" customFormat="1" s="34"/>
    <row r="1971" customFormat="1" s="34"/>
    <row r="1972" customFormat="1" s="34"/>
    <row r="1973" customFormat="1" s="34"/>
    <row r="1974" customFormat="1" s="34"/>
    <row r="1975" customFormat="1" s="34"/>
    <row r="1976" customFormat="1" s="34"/>
    <row r="1977" customFormat="1" s="34"/>
    <row r="1978" customFormat="1" s="34"/>
    <row r="1979" customFormat="1" s="34"/>
    <row r="1980" customFormat="1" s="34"/>
    <row r="1981" customFormat="1" s="34"/>
    <row r="1982" customFormat="1" s="34"/>
    <row r="1983" customFormat="1" s="34"/>
    <row r="1984" customFormat="1" s="34"/>
    <row r="1985" customFormat="1" s="34"/>
    <row r="1986" customFormat="1" s="34"/>
    <row r="1987" customFormat="1" s="34"/>
    <row r="1988" customFormat="1" s="34"/>
    <row r="1989" customFormat="1" s="34"/>
    <row r="1990" customFormat="1" s="34"/>
    <row r="1991" customFormat="1" s="34"/>
    <row r="1992" customFormat="1" s="34"/>
    <row r="1993" customFormat="1" s="34"/>
    <row r="1994" customFormat="1" s="34"/>
    <row r="1995" customFormat="1" s="34"/>
    <row r="1996" customFormat="1" s="34"/>
    <row r="1997" customFormat="1" s="34"/>
    <row r="1998" customFormat="1" s="34"/>
    <row r="1999" customFormat="1" s="34"/>
    <row r="2000" customFormat="1" s="34"/>
    <row r="262083">
      <c r="B262083" s="66"/>
      <c r="G262083" s="66"/>
    </row>
    <row r="262084">
      <c r="B262084" s="66"/>
      <c r="G262084" s="66"/>
    </row>
  </sheetData>
  <autoFilter ref="A1:W87"/>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X1"/>
  <sheetViews>
    <sheetView workbookViewId="0"/>
  </sheetViews>
  <sheetFormatPr defaultRowHeight="14.0" customHeight="1"/>
  <cols>
    <col min="1" max="1" style="34" width="10.2"/>
    <col min="2" max="2" style="34" width="9.0"/>
    <col min="3" max="3" style="34" width="12.18"/>
    <col min="4" max="4" style="34" width="38.82"/>
    <col min="5" max="6" style="34" width="13.24"/>
    <col min="7" max="7" style="34" width="62.14"/>
    <col min="8" max="8" style="34" width="53.92"/>
    <col min="9" max="10" style="34" width="13.24"/>
    <col min="11" max="11" style="34" width="16.42"/>
    <col min="12" max="12" style="34" width="13.64"/>
    <col min="13" max="13" style="34" width="27.82"/>
    <col min="14" max="14" style="34" width="21.33"/>
    <col min="15" max="15" style="34" width="16.69"/>
    <col min="16" max="19" style="34" width="13.24"/>
    <col min="20" max="20" style="34" width="49.42"/>
    <col min="21" max="21" style="34" width="51.8"/>
    <col min="22" max="22" style="34" width="36.3"/>
    <col min="23" max="23" style="34" width="51.8"/>
    <col min="24" max="24" style="34" width="37.09"/>
    <col min="25" max="2048" style="34" width="13.24"/>
  </cols>
  <sheetData>
    <row r="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52</v>
      </c>
      <c r="X1" s="78" t="s">
        <v>62</v>
      </c>
    </row>
    <row r="2">
      <c r="A2" s="36"/>
      <c r="B2" s="34"/>
      <c r="C2" s="34"/>
      <c r="D2" s="37"/>
      <c r="K2" s="34"/>
      <c r="M2" s="34"/>
      <c r="N2" s="34"/>
      <c r="O2" s="34"/>
      <c r="P2" s="34"/>
      <c r="S2" s="40"/>
      <c r="X2" s="79"/>
    </row>
    <row r="3">
      <c r="A3" s="36"/>
      <c r="B3" s="34"/>
      <c r="C3" s="34"/>
      <c r="D3" s="37"/>
      <c r="K3" s="34"/>
      <c r="M3" s="34"/>
      <c r="N3" s="34"/>
      <c r="O3" s="34"/>
      <c r="P3" s="34"/>
      <c r="S3" s="40"/>
    </row>
    <row r="4">
      <c r="A4" s="36"/>
      <c r="B4" s="34"/>
      <c r="C4" s="34"/>
      <c r="D4" s="37"/>
      <c r="K4" s="34"/>
      <c r="M4" s="34"/>
      <c r="N4" s="34"/>
      <c r="O4" s="34"/>
      <c r="P4" s="34"/>
      <c r="S4" s="40"/>
    </row>
    <row r="5">
      <c r="A5" s="36"/>
      <c r="B5" s="34"/>
      <c r="C5" s="34"/>
      <c r="D5" s="37"/>
      <c r="K5" s="34"/>
      <c r="M5" s="34"/>
      <c r="N5" s="34"/>
      <c r="O5" s="34"/>
      <c r="P5" s="34"/>
      <c r="S5" s="40"/>
    </row>
    <row r="6">
      <c r="A6" s="36"/>
      <c r="B6" s="34"/>
      <c r="C6" s="34"/>
      <c r="D6" s="37"/>
      <c r="K6" s="34"/>
      <c r="M6" s="34"/>
      <c r="N6" s="34"/>
      <c r="O6" s="34"/>
      <c r="P6" s="34"/>
      <c r="S6" s="40"/>
    </row>
    <row r="7">
      <c r="A7" s="36"/>
      <c r="B7" s="34"/>
      <c r="C7" s="34"/>
      <c r="D7" s="37"/>
      <c r="G7" s="42"/>
      <c r="K7" s="34"/>
      <c r="M7" s="34"/>
      <c r="N7" s="34"/>
      <c r="O7" s="34"/>
      <c r="P7" s="34"/>
      <c r="S7" s="40"/>
    </row>
    <row r="8">
      <c r="A8" s="36"/>
      <c r="B8" s="34"/>
      <c r="C8" s="34"/>
      <c r="D8" s="37"/>
      <c r="G8" s="42"/>
      <c r="K8" s="34"/>
      <c r="M8" s="34"/>
      <c r="N8" s="34"/>
      <c r="O8" s="34"/>
      <c r="P8" s="34"/>
      <c r="Q8" s="54"/>
      <c r="S8" s="40"/>
    </row>
    <row r="9">
      <c r="A9" s="36"/>
      <c r="B9" s="34"/>
      <c r="C9" s="34"/>
      <c r="D9" s="37"/>
      <c r="G9" s="42"/>
      <c r="K9" s="34"/>
      <c r="M9" s="34"/>
      <c r="N9" s="34"/>
      <c r="O9" s="34"/>
      <c r="P9" s="34"/>
      <c r="Q9" s="54"/>
      <c r="S9" s="40"/>
    </row>
    <row r="10">
      <c r="A10" s="36"/>
      <c r="B10" s="34"/>
      <c r="C10" s="34"/>
      <c r="D10" s="37"/>
      <c r="K10" s="34"/>
      <c r="M10" s="34"/>
      <c r="N10" s="34"/>
      <c r="O10" s="34"/>
      <c r="P10" s="34"/>
      <c r="Q10" s="43"/>
      <c r="S10" s="40"/>
    </row>
    <row r="11">
      <c r="A11" s="36"/>
      <c r="B11" s="34"/>
      <c r="C11" s="34"/>
      <c r="D11" s="37"/>
      <c r="G11" s="42"/>
      <c r="K11" s="34"/>
      <c r="M11" s="34"/>
      <c r="N11" s="34"/>
      <c r="O11" s="34"/>
      <c r="P11" s="34"/>
      <c r="S11" s="40"/>
    </row>
    <row r="12" customFormat="1" s="34">
      <c r="A12" s="36"/>
      <c r="B12" s="34"/>
      <c r="C12" s="34"/>
      <c r="D12" s="37"/>
      <c r="K12" s="34"/>
      <c r="M12" s="34"/>
      <c r="N12" s="34"/>
      <c r="O12" s="34"/>
      <c r="P12" s="34"/>
      <c r="S12" s="40"/>
    </row>
    <row r="13" customFormat="1" s="34">
      <c r="A13" s="36"/>
      <c r="B13" s="34"/>
      <c r="C13" s="34"/>
      <c r="D13" s="37"/>
      <c r="K13" s="34"/>
      <c r="M13" s="34"/>
      <c r="N13" s="34"/>
      <c r="O13" s="34"/>
      <c r="P13" s="34"/>
      <c r="S13" s="40"/>
    </row>
    <row r="14" customFormat="1" s="34">
      <c r="A14" s="36"/>
      <c r="B14" s="34"/>
      <c r="C14" s="34"/>
      <c r="K14" s="34"/>
      <c r="M14" s="34"/>
      <c r="N14" s="34"/>
      <c r="O14" s="34"/>
      <c r="P14" s="34"/>
      <c r="S14" s="40"/>
    </row>
    <row r="15" customFormat="1" s="34">
      <c r="A15" s="36"/>
      <c r="B15" s="34"/>
      <c r="C15" s="34"/>
      <c r="D15" s="37"/>
      <c r="K15" s="34"/>
      <c r="M15" s="34"/>
      <c r="N15" s="34"/>
      <c r="O15" s="34"/>
      <c r="P15" s="34"/>
      <c r="S15" s="40"/>
    </row>
    <row r="16" customFormat="1" s="34">
      <c r="A16" s="36"/>
      <c r="B16" s="34"/>
      <c r="C16" s="34"/>
      <c r="D16" s="37"/>
      <c r="K16" s="34"/>
      <c r="M16" s="34"/>
      <c r="N16" s="34"/>
      <c r="O16" s="34"/>
      <c r="P16" s="34"/>
      <c r="S16" s="40"/>
    </row>
    <row r="17" customFormat="1" s="34">
      <c r="A17" s="36"/>
      <c r="B17" s="34"/>
      <c r="C17" s="34"/>
      <c r="D17" s="37"/>
      <c r="K17" s="34"/>
      <c r="M17" s="34"/>
      <c r="N17" s="34"/>
      <c r="O17" s="34"/>
      <c r="P17" s="34"/>
      <c r="S17" s="40"/>
    </row>
    <row r="18" customFormat="1" s="34">
      <c r="A18" s="36"/>
      <c r="B18" s="34"/>
      <c r="C18" s="34"/>
      <c r="D18" s="37"/>
      <c r="K18" s="34"/>
      <c r="M18" s="34"/>
      <c r="N18" s="34"/>
      <c r="O18" s="34"/>
      <c r="P18" s="34"/>
      <c r="S18" s="40"/>
    </row>
    <row r="19">
      <c r="A19" s="36"/>
      <c r="B19" s="34"/>
      <c r="C19" s="34"/>
      <c r="D19" s="37"/>
      <c r="K19" s="34"/>
      <c r="M19" s="34"/>
      <c r="N19" s="34"/>
      <c r="O19" s="34"/>
      <c r="P19" s="34"/>
      <c r="Q19" s="43"/>
      <c r="S19" s="40"/>
    </row>
    <row r="20" customFormat="1" s="34">
      <c r="A20" s="36"/>
      <c r="B20" s="34"/>
      <c r="C20" s="34"/>
      <c r="D20" s="37"/>
      <c r="K20" s="34"/>
      <c r="M20" s="34"/>
      <c r="N20" s="34"/>
      <c r="O20" s="34"/>
      <c r="P20" s="34"/>
      <c r="S20" s="40"/>
    </row>
    <row r="21" customFormat="1" s="34">
      <c r="A21" s="36"/>
      <c r="B21" s="34"/>
      <c r="C21" s="34"/>
      <c r="D21" s="37"/>
      <c r="K21" s="34"/>
      <c r="M21" s="34"/>
      <c r="N21" s="34"/>
      <c r="O21" s="34"/>
      <c r="P21" s="34"/>
      <c r="S21" s="40"/>
    </row>
    <row r="22" customFormat="1" s="34">
      <c r="A22" s="36"/>
      <c r="B22" s="34"/>
      <c r="C22" s="34"/>
      <c r="D22" s="37"/>
      <c r="K22" s="34"/>
      <c r="M22" s="34"/>
      <c r="N22" s="34"/>
      <c r="O22" s="34"/>
      <c r="P22" s="34"/>
      <c r="S22" s="40"/>
    </row>
    <row r="23" customFormat="1" s="34">
      <c r="A23" s="36"/>
      <c r="B23" s="34"/>
      <c r="C23" s="34"/>
      <c r="D23" s="59"/>
      <c r="K23" s="34"/>
      <c r="M23" s="34"/>
      <c r="N23" s="34"/>
      <c r="O23" s="34"/>
      <c r="P23" s="34"/>
      <c r="S23" s="40"/>
    </row>
    <row r="24" customFormat="1" s="34">
      <c r="A24" s="36"/>
      <c r="B24" s="34"/>
      <c r="C24" s="34"/>
      <c r="D24" s="37"/>
      <c r="K24" s="34"/>
      <c r="M24" s="34"/>
      <c r="N24" s="34"/>
      <c r="O24" s="34"/>
      <c r="P24" s="34"/>
      <c r="S24" s="40"/>
    </row>
    <row r="25" customFormat="1" s="34">
      <c r="A25" s="36"/>
      <c r="B25" s="34"/>
      <c r="C25" s="34"/>
      <c r="D25" s="37"/>
      <c r="K25" s="34"/>
      <c r="M25" s="34"/>
      <c r="N25" s="34"/>
      <c r="O25" s="34"/>
      <c r="P25" s="34"/>
      <c r="S25" s="40"/>
    </row>
    <row r="26" customFormat="1" s="34">
      <c r="A26" s="36"/>
      <c r="B26" s="34"/>
      <c r="C26" s="34"/>
      <c r="D26" s="37"/>
      <c r="K26" s="34"/>
      <c r="M26" s="34"/>
      <c r="N26" s="34"/>
      <c r="O26" s="34"/>
      <c r="P26" s="34"/>
      <c r="S26" s="40"/>
    </row>
    <row r="27" customFormat="1" s="34">
      <c r="A27" s="36"/>
      <c r="B27" s="34"/>
      <c r="C27" s="34"/>
      <c r="D27" s="37"/>
      <c r="K27" s="34"/>
      <c r="M27" s="34"/>
      <c r="N27" s="34"/>
      <c r="O27" s="34"/>
      <c r="P27" s="34"/>
      <c r="S27" s="40"/>
    </row>
    <row r="28" customFormat="1" s="34">
      <c r="A28" s="36"/>
      <c r="B28" s="34"/>
      <c r="C28" s="34"/>
      <c r="D28" s="37"/>
      <c r="K28" s="34"/>
      <c r="M28" s="34"/>
      <c r="N28" s="34"/>
      <c r="O28" s="34"/>
      <c r="P28" s="34"/>
      <c r="S28" s="40"/>
    </row>
    <row r="29" customFormat="1" s="34">
      <c r="A29" s="36"/>
      <c r="B29" s="34"/>
      <c r="C29" s="34"/>
      <c r="D29" s="37"/>
      <c r="K29" s="34"/>
      <c r="M29" s="34"/>
      <c r="N29" s="34"/>
      <c r="O29" s="34"/>
      <c r="P29" s="34"/>
      <c r="S29" s="40"/>
    </row>
    <row r="30" customFormat="1" s="34">
      <c r="A30" s="36"/>
      <c r="B30" s="34"/>
      <c r="C30" s="34"/>
      <c r="D30" s="37"/>
      <c r="K30" s="34"/>
      <c r="M30" s="34"/>
      <c r="N30" s="34"/>
      <c r="O30" s="34"/>
      <c r="P30" s="34"/>
      <c r="S30" s="40"/>
    </row>
    <row r="31" customFormat="1" s="34">
      <c r="A31" s="36"/>
      <c r="B31" s="34"/>
      <c r="C31" s="34"/>
      <c r="D31" s="37"/>
      <c r="K31" s="34"/>
      <c r="M31" s="34"/>
      <c r="N31" s="34"/>
      <c r="O31" s="34"/>
      <c r="P31" s="34"/>
      <c r="S31" s="40"/>
    </row>
    <row r="32" customFormat="1" s="34">
      <c r="A32" s="36"/>
      <c r="B32" s="34"/>
      <c r="C32" s="34"/>
      <c r="D32" s="37"/>
      <c r="K32" s="34"/>
      <c r="M32" s="34"/>
      <c r="N32" s="34"/>
      <c r="O32" s="34"/>
      <c r="P32" s="34"/>
      <c r="S32" s="40"/>
    </row>
    <row r="33" customFormat="1" s="34">
      <c r="A33" s="36"/>
      <c r="B33" s="34"/>
      <c r="C33" s="34"/>
      <c r="D33" s="37"/>
      <c r="K33" s="34"/>
      <c r="M33" s="34"/>
      <c r="N33" s="34"/>
      <c r="O33" s="34"/>
      <c r="P33" s="34"/>
      <c r="S33" s="40"/>
    </row>
    <row r="34" customFormat="1" s="34">
      <c r="A34" s="36"/>
      <c r="B34" s="34"/>
      <c r="C34" s="34"/>
      <c r="D34" s="37"/>
      <c r="K34" s="34"/>
      <c r="M34" s="34"/>
      <c r="N34" s="34"/>
      <c r="O34" s="34"/>
      <c r="P34" s="34"/>
      <c r="S34" s="40"/>
    </row>
    <row r="35" customFormat="1" s="34">
      <c r="A35" s="36"/>
      <c r="B35" s="34"/>
      <c r="C35" s="34"/>
      <c r="D35" s="37"/>
      <c r="K35" s="34"/>
      <c r="M35" s="34"/>
      <c r="N35" s="34"/>
      <c r="O35" s="34"/>
      <c r="P35" s="34"/>
      <c r="S35" s="40"/>
    </row>
    <row r="36" customFormat="1" s="34">
      <c r="A36" s="36"/>
      <c r="B36" s="34"/>
      <c r="C36" s="34"/>
      <c r="D36" s="37"/>
      <c r="K36" s="34"/>
      <c r="M36" s="34"/>
      <c r="N36" s="34"/>
      <c r="O36" s="34"/>
      <c r="P36" s="34"/>
      <c r="S36" s="40"/>
    </row>
    <row r="37" customFormat="1" s="34">
      <c r="A37" s="36"/>
      <c r="B37" s="34"/>
      <c r="C37" s="34"/>
      <c r="D37" s="37"/>
      <c r="K37" s="34"/>
      <c r="M37" s="34"/>
      <c r="N37" s="34"/>
      <c r="O37" s="34"/>
      <c r="P37" s="34"/>
      <c r="S37" s="40"/>
    </row>
    <row r="38" customFormat="1" s="34">
      <c r="A38" s="36"/>
      <c r="B38" s="34"/>
      <c r="C38" s="34"/>
      <c r="D38" s="37"/>
      <c r="K38" s="34"/>
      <c r="M38" s="34"/>
      <c r="N38" s="34"/>
      <c r="O38" s="34"/>
      <c r="P38" s="34"/>
      <c r="S38" s="40"/>
    </row>
    <row r="39" customFormat="1" s="34">
      <c r="A39" s="36"/>
      <c r="B39" s="34"/>
      <c r="C39" s="34"/>
      <c r="D39" s="37"/>
      <c r="K39" s="34"/>
      <c r="M39" s="34"/>
      <c r="N39" s="34"/>
      <c r="O39" s="34"/>
      <c r="P39" s="34"/>
      <c r="S39" s="40"/>
    </row>
    <row r="40" customFormat="1" s="34">
      <c r="A40" s="36"/>
      <c r="B40" s="34"/>
      <c r="C40" s="34"/>
      <c r="D40" s="37"/>
      <c r="K40" s="34"/>
      <c r="M40" s="34"/>
      <c r="N40" s="34"/>
      <c r="O40" s="34"/>
      <c r="P40" s="34"/>
      <c r="S40" s="40"/>
    </row>
    <row r="41" customFormat="1" s="34">
      <c r="A41" s="36"/>
      <c r="B41" s="34"/>
      <c r="C41" s="34"/>
      <c r="D41" s="37"/>
      <c r="K41" s="34"/>
      <c r="M41" s="34"/>
      <c r="N41" s="34"/>
      <c r="O41" s="34"/>
      <c r="P41" s="34"/>
      <c r="S41" s="40"/>
    </row>
    <row r="42" customFormat="1" s="34">
      <c r="A42" s="36"/>
      <c r="B42" s="34"/>
      <c r="C42" s="34"/>
      <c r="D42" s="37"/>
      <c r="K42" s="34"/>
      <c r="M42" s="34"/>
      <c r="N42" s="34"/>
      <c r="O42" s="34"/>
      <c r="P42" s="34"/>
      <c r="S42" s="40"/>
    </row>
    <row r="43" customFormat="1" s="34">
      <c r="A43" s="36"/>
      <c r="B43" s="34"/>
      <c r="C43" s="34"/>
      <c r="D43" s="37"/>
      <c r="K43" s="34"/>
      <c r="M43" s="34"/>
      <c r="N43" s="34"/>
      <c r="O43" s="34"/>
      <c r="P43" s="34"/>
      <c r="S43" s="40"/>
    </row>
    <row r="44" customFormat="1" s="34">
      <c r="A44" s="36"/>
      <c r="B44" s="34"/>
      <c r="C44" s="34"/>
      <c r="D44" s="37"/>
      <c r="K44" s="34"/>
      <c r="M44" s="34"/>
      <c r="N44" s="34"/>
      <c r="O44" s="34"/>
      <c r="P44" s="34"/>
      <c r="S44" s="40"/>
    </row>
    <row r="45" customFormat="1" s="34">
      <c r="A45" s="36"/>
      <c r="B45" s="34"/>
      <c r="C45" s="34"/>
      <c r="D45" s="37"/>
      <c r="K45" s="34"/>
      <c r="M45" s="34"/>
      <c r="N45" s="34"/>
      <c r="O45" s="34"/>
      <c r="P45" s="34"/>
      <c r="S45" s="40"/>
    </row>
    <row r="46" customFormat="1" s="34">
      <c r="A46" s="36"/>
      <c r="B46" s="34"/>
      <c r="C46" s="34"/>
      <c r="D46" s="37"/>
      <c r="K46" s="34"/>
      <c r="M46" s="34"/>
      <c r="N46" s="34"/>
      <c r="O46" s="34"/>
      <c r="P46" s="34"/>
      <c r="S46" s="40"/>
    </row>
    <row r="47" customFormat="1" s="34">
      <c r="A47" s="36"/>
      <c r="B47" s="34"/>
      <c r="C47" s="34"/>
      <c r="D47" s="37"/>
      <c r="K47" s="34"/>
      <c r="M47" s="34"/>
      <c r="N47" s="34"/>
      <c r="O47" s="34"/>
      <c r="P47" s="34"/>
      <c r="S47" s="40"/>
    </row>
    <row r="48" customFormat="1" s="34">
      <c r="A48" s="36"/>
      <c r="B48" s="34"/>
      <c r="C48" s="34"/>
      <c r="D48" s="37"/>
      <c r="K48" s="34"/>
      <c r="M48" s="34"/>
      <c r="N48" s="34"/>
      <c r="O48" s="34"/>
      <c r="P48" s="34"/>
      <c r="S48" s="40"/>
    </row>
    <row r="49" customFormat="1" s="34">
      <c r="A49" s="36"/>
      <c r="B49" s="34"/>
      <c r="C49" s="34"/>
      <c r="D49" s="37"/>
      <c r="K49" s="34"/>
      <c r="M49" s="34"/>
      <c r="N49" s="34"/>
      <c r="O49" s="34"/>
      <c r="P49" s="34"/>
      <c r="S49" s="40"/>
    </row>
    <row r="50" customFormat="1" s="34">
      <c r="A50" s="36"/>
      <c r="B50" s="34"/>
      <c r="C50" s="34"/>
      <c r="D50" s="37"/>
      <c r="K50" s="34"/>
      <c r="M50" s="34"/>
      <c r="N50" s="34"/>
      <c r="O50" s="34"/>
      <c r="P50" s="34"/>
      <c r="S50" s="40"/>
    </row>
    <row r="51" customFormat="1" s="34">
      <c r="A51" s="36"/>
      <c r="B51" s="34"/>
      <c r="C51" s="34"/>
      <c r="D51" s="37"/>
      <c r="K51" s="34"/>
      <c r="M51" s="34"/>
      <c r="N51" s="34"/>
      <c r="O51" s="34"/>
      <c r="P51" s="34"/>
      <c r="S51" s="40"/>
    </row>
    <row r="52" customFormat="1" s="34">
      <c r="A52" s="36"/>
      <c r="B52" s="34"/>
      <c r="C52" s="34"/>
      <c r="D52" s="37"/>
      <c r="K52" s="34"/>
      <c r="M52" s="34"/>
      <c r="N52" s="34"/>
      <c r="O52" s="34"/>
      <c r="P52" s="34"/>
      <c r="S52" s="40"/>
    </row>
    <row r="53" customFormat="1" s="34">
      <c r="A53" s="36"/>
      <c r="B53" s="34"/>
      <c r="C53" s="34"/>
      <c r="D53" s="37"/>
      <c r="K53" s="34"/>
      <c r="M53" s="34"/>
      <c r="N53" s="34"/>
      <c r="O53" s="34"/>
      <c r="P53" s="34"/>
      <c r="S53" s="40"/>
    </row>
    <row r="54" customFormat="1" s="34">
      <c r="A54" s="36"/>
      <c r="B54" s="34"/>
      <c r="C54" s="34"/>
      <c r="D54" s="37"/>
      <c r="K54" s="34"/>
      <c r="M54" s="34"/>
      <c r="N54" s="34"/>
      <c r="O54" s="34"/>
      <c r="P54" s="34"/>
      <c r="S54" s="40"/>
    </row>
    <row r="55" customFormat="1" s="34">
      <c r="A55" s="36"/>
      <c r="B55" s="34"/>
      <c r="C55" s="34"/>
      <c r="D55" s="37"/>
      <c r="K55" s="34"/>
      <c r="M55" s="34"/>
      <c r="N55" s="34"/>
      <c r="O55" s="34"/>
      <c r="P55" s="34"/>
      <c r="S55" s="40"/>
    </row>
    <row r="56" customFormat="1" s="34">
      <c r="A56" s="36"/>
      <c r="B56" s="34"/>
      <c r="C56" s="34"/>
      <c r="D56" s="37"/>
      <c r="K56" s="34"/>
      <c r="M56" s="34"/>
      <c r="N56" s="34"/>
      <c r="O56" s="34"/>
      <c r="P56" s="34"/>
      <c r="S56" s="40"/>
    </row>
    <row r="57" customFormat="1" s="34">
      <c r="A57" s="36"/>
      <c r="B57" s="34"/>
      <c r="C57" s="34"/>
      <c r="D57" s="37"/>
      <c r="K57" s="34"/>
      <c r="M57" s="34"/>
      <c r="N57" s="34"/>
      <c r="O57" s="34"/>
      <c r="P57" s="34"/>
      <c r="S57" s="40"/>
    </row>
    <row r="58" customFormat="1" s="34">
      <c r="A58" s="36"/>
      <c r="B58" s="34"/>
      <c r="C58" s="34"/>
      <c r="D58" s="37"/>
      <c r="K58" s="34"/>
      <c r="M58" s="34"/>
      <c r="N58" s="34"/>
      <c r="O58" s="34"/>
      <c r="P58" s="34"/>
      <c r="S58" s="40"/>
    </row>
    <row r="59" customFormat="1" s="34">
      <c r="A59" s="36"/>
      <c r="B59" s="34"/>
      <c r="C59" s="34"/>
      <c r="D59" s="37"/>
      <c r="K59" s="34"/>
      <c r="M59" s="34"/>
      <c r="N59" s="34"/>
      <c r="O59" s="34"/>
      <c r="P59" s="34"/>
      <c r="S59" s="40"/>
    </row>
    <row r="60" customFormat="1" s="34">
      <c r="A60" s="36"/>
      <c r="B60" s="34"/>
      <c r="C60" s="34"/>
      <c r="D60" s="37"/>
      <c r="K60" s="34"/>
      <c r="M60" s="34"/>
      <c r="N60" s="34"/>
      <c r="O60" s="34"/>
      <c r="P60" s="34"/>
      <c r="S60" s="40"/>
    </row>
    <row r="61" customFormat="1" s="34">
      <c r="A61" s="36"/>
      <c r="B61" s="34"/>
      <c r="C61" s="34"/>
      <c r="D61" s="37"/>
      <c r="K61" s="34"/>
      <c r="M61" s="34"/>
      <c r="N61" s="34"/>
      <c r="O61" s="34"/>
      <c r="P61" s="34"/>
      <c r="S61" s="40"/>
    </row>
    <row r="62" customFormat="1" s="34">
      <c r="A62" s="36"/>
      <c r="B62" s="34"/>
      <c r="C62" s="34"/>
      <c r="D62" s="37"/>
      <c r="K62" s="34"/>
      <c r="M62" s="34"/>
      <c r="N62" s="34"/>
      <c r="O62" s="34"/>
      <c r="P62" s="34"/>
      <c r="S62" s="40"/>
    </row>
    <row r="63" customFormat="1" s="34">
      <c r="A63" s="36"/>
      <c r="B63" s="34"/>
      <c r="C63" s="34"/>
      <c r="D63" s="37"/>
      <c r="K63" s="34"/>
      <c r="M63" s="34"/>
      <c r="N63" s="34"/>
      <c r="O63" s="34"/>
      <c r="P63" s="34"/>
      <c r="S63" s="40"/>
    </row>
    <row r="64" customFormat="1" s="34">
      <c r="A64" s="36"/>
      <c r="B64" s="34"/>
      <c r="C64" s="34"/>
      <c r="D64" s="37"/>
      <c r="K64" s="34"/>
      <c r="M64" s="34"/>
      <c r="N64" s="34"/>
      <c r="O64" s="34"/>
      <c r="P64" s="34"/>
      <c r="S64" s="40"/>
    </row>
    <row r="65" customFormat="1" s="34">
      <c r="A65" s="36"/>
      <c r="B65" s="34"/>
      <c r="C65" s="34"/>
      <c r="D65" s="37"/>
      <c r="K65" s="34"/>
      <c r="M65" s="34"/>
      <c r="N65" s="34"/>
      <c r="O65" s="34"/>
      <c r="P65" s="34"/>
      <c r="S65" s="40"/>
    </row>
    <row r="66" customFormat="1" s="34">
      <c r="A66" s="36"/>
      <c r="B66" s="34"/>
      <c r="C66" s="34"/>
      <c r="D66" s="37"/>
      <c r="K66" s="34"/>
      <c r="M66" s="34"/>
      <c r="N66" s="34"/>
      <c r="O66" s="34"/>
      <c r="P66" s="34"/>
      <c r="S66" s="40"/>
    </row>
    <row r="67" customFormat="1" s="34">
      <c r="A67" s="36"/>
      <c r="B67" s="34"/>
      <c r="C67" s="34"/>
      <c r="D67" s="37"/>
      <c r="K67" s="34"/>
      <c r="M67" s="34"/>
      <c r="N67" s="34"/>
      <c r="O67" s="34"/>
      <c r="P67" s="34"/>
      <c r="S67" s="40"/>
    </row>
    <row r="68" customFormat="1" s="34">
      <c r="A68" s="36"/>
      <c r="B68" s="34"/>
      <c r="C68" s="34"/>
      <c r="D68" s="37"/>
      <c r="K68" s="34"/>
      <c r="M68" s="34"/>
      <c r="N68" s="34"/>
      <c r="O68" s="34"/>
      <c r="P68" s="34"/>
      <c r="S68" s="40"/>
    </row>
    <row r="69" customFormat="1" s="34">
      <c r="A69" s="36"/>
      <c r="B69" s="34"/>
      <c r="C69" s="34"/>
      <c r="D69" s="37"/>
      <c r="K69" s="34"/>
      <c r="M69" s="34"/>
      <c r="N69" s="34"/>
      <c r="O69" s="34"/>
      <c r="P69" s="34"/>
      <c r="S69" s="40"/>
    </row>
    <row r="70" customFormat="1" s="34">
      <c r="A70" s="36"/>
      <c r="B70" s="34"/>
      <c r="C70" s="34"/>
      <c r="D70" s="37"/>
      <c r="K70" s="34"/>
      <c r="M70" s="34"/>
      <c r="N70" s="34"/>
      <c r="O70" s="34"/>
      <c r="P70" s="34"/>
      <c r="S70" s="40"/>
    </row>
    <row r="71" customFormat="1" s="34">
      <c r="A71" s="36"/>
      <c r="B71" s="34"/>
      <c r="C71" s="34"/>
      <c r="D71" s="37"/>
      <c r="K71" s="34"/>
      <c r="M71" s="34"/>
      <c r="N71" s="34"/>
      <c r="O71" s="34"/>
      <c r="P71" s="34"/>
      <c r="S71" s="40"/>
    </row>
    <row r="72" customFormat="1" s="34">
      <c r="A72" s="36"/>
      <c r="B72" s="34"/>
      <c r="C72" s="34"/>
      <c r="D72" s="37"/>
      <c r="K72" s="34"/>
      <c r="M72" s="34"/>
      <c r="N72" s="34"/>
      <c r="O72" s="34"/>
      <c r="P72" s="34"/>
      <c r="S72" s="40"/>
    </row>
    <row r="73" customFormat="1" s="34">
      <c r="A73" s="36"/>
      <c r="B73" s="34"/>
      <c r="C73" s="34"/>
      <c r="D73" s="37"/>
      <c r="K73" s="34"/>
      <c r="M73" s="34"/>
      <c r="N73" s="34"/>
      <c r="O73" s="34"/>
      <c r="P73" s="34"/>
      <c r="S73" s="40"/>
    </row>
    <row r="74" customFormat="1" s="34">
      <c r="A74" s="36"/>
      <c r="B74" s="34"/>
      <c r="C74" s="34"/>
      <c r="D74" s="37"/>
      <c r="K74" s="34"/>
      <c r="M74" s="34"/>
      <c r="N74" s="34"/>
      <c r="O74" s="34"/>
      <c r="P74" s="34"/>
      <c r="S74" s="40"/>
    </row>
    <row r="75" customFormat="1" s="34">
      <c r="A75" s="36"/>
      <c r="B75" s="34"/>
      <c r="C75" s="34"/>
      <c r="D75" s="37"/>
      <c r="K75" s="34"/>
      <c r="M75" s="34"/>
      <c r="N75" s="34"/>
      <c r="O75" s="34"/>
      <c r="P75" s="34"/>
      <c r="S75" s="40"/>
    </row>
    <row r="76" customFormat="1" s="34">
      <c r="A76" s="36"/>
      <c r="B76" s="34"/>
      <c r="C76" s="34"/>
      <c r="D76" s="37"/>
      <c r="K76" s="34"/>
      <c r="M76" s="34"/>
      <c r="N76" s="34"/>
      <c r="O76" s="34"/>
      <c r="P76" s="34"/>
      <c r="S76" s="40"/>
    </row>
    <row r="77" customFormat="1" s="34">
      <c r="A77" s="36"/>
      <c r="B77" s="34"/>
      <c r="C77" s="34"/>
      <c r="D77" s="37"/>
      <c r="K77" s="34"/>
      <c r="M77" s="34"/>
      <c r="N77" s="34"/>
      <c r="O77" s="34"/>
      <c r="P77" s="34"/>
      <c r="S77" s="40"/>
    </row>
    <row r="78" customFormat="1" s="34">
      <c r="A78" s="36"/>
      <c r="B78" s="34"/>
      <c r="C78" s="34"/>
      <c r="D78" s="37"/>
      <c r="K78" s="34"/>
      <c r="M78" s="34"/>
      <c r="N78" s="34"/>
      <c r="O78" s="34"/>
      <c r="P78" s="34"/>
      <c r="S78" s="40"/>
    </row>
    <row r="79" customFormat="1" s="34">
      <c r="A79" s="36"/>
      <c r="B79" s="34"/>
      <c r="C79" s="34"/>
      <c r="D79" s="37"/>
      <c r="K79" s="34"/>
      <c r="M79" s="34"/>
      <c r="N79" s="34"/>
      <c r="O79" s="34"/>
      <c r="P79" s="34"/>
      <c r="S79" s="40"/>
    </row>
    <row r="80" customFormat="1" s="34">
      <c r="A80" s="36"/>
      <c r="B80" s="34"/>
      <c r="C80" s="34"/>
      <c r="D80" s="37"/>
      <c r="K80" s="34"/>
      <c r="M80" s="34"/>
      <c r="N80" s="34"/>
      <c r="O80" s="34"/>
      <c r="P80" s="34"/>
      <c r="S80" s="40"/>
    </row>
    <row r="81" customFormat="1" s="34">
      <c r="A81" s="36"/>
      <c r="B81" s="34"/>
      <c r="C81" s="34"/>
      <c r="D81" s="37"/>
      <c r="K81" s="34"/>
      <c r="M81" s="34"/>
      <c r="N81" s="34"/>
      <c r="O81" s="34"/>
      <c r="P81" s="34"/>
      <c r="S81" s="40"/>
    </row>
    <row r="82" customFormat="1" s="34">
      <c r="A82" s="36"/>
      <c r="B82" s="34"/>
      <c r="C82" s="34"/>
      <c r="D82" s="37"/>
      <c r="K82" s="34"/>
      <c r="M82" s="34"/>
      <c r="N82" s="34"/>
      <c r="O82" s="34"/>
      <c r="P82" s="34"/>
      <c r="S82" s="40"/>
    </row>
    <row r="83" customFormat="1" s="34">
      <c r="A83" s="36"/>
      <c r="B83" s="34"/>
      <c r="C83" s="34"/>
      <c r="D83" s="37"/>
      <c r="K83" s="34"/>
      <c r="M83" s="34"/>
      <c r="N83" s="34"/>
      <c r="O83" s="34"/>
      <c r="P83" s="34"/>
      <c r="S83" s="40"/>
    </row>
    <row r="84" customFormat="1" s="34">
      <c r="A84" s="36"/>
      <c r="B84" s="34"/>
      <c r="C84" s="34"/>
      <c r="D84" s="37"/>
      <c r="K84" s="34"/>
      <c r="M84" s="34"/>
      <c r="N84" s="34"/>
      <c r="O84" s="34"/>
      <c r="P84" s="34"/>
      <c r="S84" s="40"/>
    </row>
    <row r="85" customFormat="1" s="34">
      <c r="A85" s="36"/>
      <c r="B85" s="34"/>
      <c r="C85" s="34"/>
      <c r="D85" s="37"/>
      <c r="K85" s="34"/>
      <c r="M85" s="34"/>
      <c r="N85" s="34"/>
      <c r="O85" s="34"/>
      <c r="P85" s="34"/>
      <c r="S85" s="40"/>
    </row>
    <row r="86" customFormat="1" s="34">
      <c r="A86" s="36"/>
      <c r="B86" s="34"/>
      <c r="C86" s="34"/>
      <c r="D86" s="37"/>
      <c r="K86" s="34"/>
      <c r="M86" s="34"/>
      <c r="N86" s="34"/>
      <c r="O86" s="34"/>
      <c r="P86" s="34"/>
      <c r="S86" s="40"/>
    </row>
    <row r="87" customFormat="1" s="34">
      <c r="A87" s="36"/>
      <c r="B87" s="34"/>
      <c r="C87" s="34"/>
      <c r="D87" s="37"/>
      <c r="K87" s="34"/>
      <c r="M87" s="34"/>
      <c r="N87" s="34"/>
      <c r="O87" s="34"/>
      <c r="P87" s="34"/>
      <c r="S87" s="40"/>
    </row>
    <row r="88" customFormat="1" s="34"/>
    <row r="89" customFormat="1" s="34"/>
    <row r="90" customFormat="1" s="34"/>
    <row r="91" customFormat="1" s="34"/>
    <row r="92" customFormat="1" s="34"/>
    <row r="93" customFormat="1" s="34"/>
    <row r="94" customFormat="1" s="34"/>
    <row r="95" customFormat="1" s="34"/>
    <row r="96" customFormat="1" s="34"/>
    <row r="97" customFormat="1" s="34"/>
    <row r="98" customFormat="1" s="34"/>
    <row r="99" customFormat="1" s="34"/>
    <row r="100" customFormat="1" s="34"/>
    <row r="101" customFormat="1" s="34"/>
    <row r="102" customFormat="1" s="34"/>
    <row r="103" customFormat="1" s="34"/>
    <row r="104" customFormat="1" s="34"/>
    <row r="105" customFormat="1" s="34"/>
    <row r="106" customFormat="1" s="34"/>
    <row r="107" customFormat="1" s="34"/>
    <row r="108" customFormat="1" s="34"/>
    <row r="109" customFormat="1" s="34"/>
    <row r="110" customFormat="1" s="34"/>
    <row r="111" customFormat="1" s="34"/>
    <row r="112" customFormat="1" s="34"/>
    <row r="113" customFormat="1" s="34"/>
    <row r="114" customFormat="1" s="34"/>
    <row r="115" customFormat="1" s="34"/>
    <row r="116" customFormat="1" s="34"/>
    <row r="117" customFormat="1" s="34"/>
    <row r="118" customFormat="1" s="34"/>
    <row r="119" customFormat="1" s="34"/>
    <row r="120" customFormat="1" s="34"/>
    <row r="121" customFormat="1" s="34"/>
    <row r="122" customFormat="1" s="34"/>
    <row r="123" customFormat="1" s="34"/>
    <row r="124" customFormat="1" s="34"/>
    <row r="125" customFormat="1" s="34"/>
    <row r="126" customFormat="1" s="34"/>
    <row r="127" customFormat="1" s="34"/>
    <row r="128" customFormat="1" s="34"/>
    <row r="129" customFormat="1" s="34"/>
    <row r="130" customFormat="1" s="34"/>
    <row r="131" customFormat="1" s="34"/>
    <row r="132" customFormat="1" s="34"/>
    <row r="133" customFormat="1" s="34"/>
    <row r="134" customFormat="1" s="34"/>
    <row r="135" customFormat="1" s="34"/>
    <row r="136" customFormat="1" s="34"/>
    <row r="137" customFormat="1" s="34"/>
    <row r="138" customFormat="1" s="34"/>
    <row r="139" customFormat="1" s="34"/>
    <row r="140" customFormat="1" s="34"/>
    <row r="141" customFormat="1" s="34"/>
    <row r="142" customFormat="1" s="34"/>
    <row r="143" customFormat="1" s="34"/>
    <row r="144" customFormat="1" s="34"/>
    <row r="145" customFormat="1" s="34"/>
    <row r="146" customFormat="1" s="34"/>
    <row r="147" customFormat="1" s="34"/>
    <row r="148" customFormat="1" s="34"/>
    <row r="149" customFormat="1" s="34"/>
    <row r="150" customFormat="1" s="34"/>
    <row r="151" customFormat="1" s="34"/>
    <row r="152" customFormat="1" s="34"/>
    <row r="153" customFormat="1" s="34"/>
    <row r="154" customFormat="1" s="34"/>
    <row r="155" customFormat="1" s="34"/>
    <row r="156" customFormat="1" s="34"/>
    <row r="157" customFormat="1" s="34"/>
    <row r="158" customFormat="1" s="34"/>
    <row r="159" customFormat="1" s="34"/>
    <row r="160" customFormat="1" s="34"/>
    <row r="161" customFormat="1" s="34"/>
    <row r="162" customFormat="1" s="34"/>
    <row r="163" customFormat="1" s="34"/>
    <row r="164" customFormat="1" s="34"/>
    <row r="165" customFormat="1" s="34"/>
    <row r="166" customFormat="1" s="34"/>
    <row r="167" customFormat="1" s="34"/>
    <row r="168" customFormat="1" s="34"/>
    <row r="169" customFormat="1" s="34"/>
    <row r="170" customFormat="1" s="34"/>
    <row r="171" customFormat="1" s="34"/>
    <row r="172" customFormat="1" s="34"/>
    <row r="173" customFormat="1" s="34"/>
    <row r="174" customFormat="1" s="34"/>
    <row r="175" customFormat="1" s="34"/>
    <row r="176" customFormat="1" s="34"/>
    <row r="177" customFormat="1" s="34"/>
    <row r="178" customFormat="1" s="34"/>
    <row r="179" customFormat="1" s="34"/>
    <row r="180" customFormat="1" s="34"/>
    <row r="181" customFormat="1" s="34"/>
    <row r="182" customFormat="1" s="34"/>
    <row r="183" customFormat="1" s="34"/>
    <row r="184" customFormat="1" s="34"/>
    <row r="185" customFormat="1" s="34"/>
    <row r="186" customFormat="1" s="34"/>
    <row r="187" customFormat="1" s="34"/>
    <row r="188" customFormat="1" s="34"/>
    <row r="189" customFormat="1" s="34"/>
    <row r="190" customFormat="1" s="34"/>
    <row r="191" customFormat="1" s="34"/>
    <row r="192" customFormat="1" s="34"/>
    <row r="193" customFormat="1" s="34"/>
    <row r="194" customFormat="1" s="34"/>
    <row r="195" customFormat="1" s="34"/>
    <row r="196" customFormat="1" s="34"/>
    <row r="197" customFormat="1" s="34"/>
    <row r="198" customFormat="1" s="34"/>
    <row r="199" customFormat="1" s="34"/>
    <row r="200" customFormat="1" s="34"/>
    <row r="201" customFormat="1" s="34"/>
    <row r="202" customFormat="1" s="34"/>
    <row r="203" customFormat="1" s="34"/>
    <row r="204" customFormat="1" s="34"/>
    <row r="205" customFormat="1" s="34"/>
    <row r="206" customFormat="1" s="34"/>
    <row r="207" customFormat="1" s="34"/>
    <row r="208" customFormat="1" s="34"/>
    <row r="209" customFormat="1" s="34"/>
    <row r="210" customFormat="1" s="34"/>
    <row r="211" customFormat="1" s="34"/>
    <row r="212" customFormat="1" s="34"/>
    <row r="213" customFormat="1" s="34"/>
    <row r="214" customFormat="1" s="34"/>
    <row r="215" customFormat="1" s="34"/>
    <row r="216" customFormat="1" s="34"/>
    <row r="217" customFormat="1" s="34"/>
    <row r="218" customFormat="1" s="34"/>
    <row r="219" customFormat="1" s="34"/>
    <row r="220" customFormat="1" s="34"/>
    <row r="221" customFormat="1" s="34"/>
    <row r="222" customFormat="1" s="34"/>
    <row r="223" customFormat="1" s="34"/>
    <row r="224" customFormat="1" s="34"/>
    <row r="225" customFormat="1" s="34"/>
    <row r="226" customFormat="1" s="34"/>
    <row r="227" customFormat="1" s="34"/>
    <row r="228" customFormat="1" s="34"/>
    <row r="229" customFormat="1" s="34"/>
    <row r="230" customFormat="1" s="34"/>
    <row r="231" customFormat="1" s="34"/>
    <row r="232" customFormat="1" s="34"/>
    <row r="233" customFormat="1" s="34"/>
    <row r="234" customFormat="1" s="34"/>
    <row r="235" customFormat="1" s="34"/>
    <row r="236" customFormat="1" s="34"/>
    <row r="237" customFormat="1" s="34"/>
    <row r="238" customFormat="1" s="34"/>
    <row r="239" customFormat="1" s="34"/>
    <row r="240" customFormat="1" s="34"/>
    <row r="241" customFormat="1" s="34"/>
    <row r="242" customFormat="1" s="34"/>
    <row r="243" customFormat="1" s="34"/>
    <row r="244" customFormat="1" s="34"/>
    <row r="245" customFormat="1" s="34"/>
    <row r="246" customFormat="1" s="34"/>
    <row r="247" customFormat="1" s="34"/>
    <row r="248" customFormat="1" s="34"/>
    <row r="249" customFormat="1" s="34"/>
    <row r="250" customFormat="1" s="34"/>
    <row r="251" customFormat="1" s="34"/>
    <row r="252" customFormat="1" s="34"/>
    <row r="253" customFormat="1" s="34"/>
    <row r="254" customFormat="1" s="34"/>
    <row r="255" customFormat="1" s="34"/>
    <row r="256" customFormat="1" s="34"/>
    <row r="257" customFormat="1" s="34"/>
    <row r="258" customFormat="1" s="34"/>
    <row r="259" customFormat="1" s="34"/>
    <row r="260" customFormat="1" s="34"/>
    <row r="261" customFormat="1" s="34"/>
    <row r="262" customFormat="1" s="34"/>
    <row r="263" customFormat="1" s="34"/>
    <row r="264" customFormat="1" s="34"/>
    <row r="265" customFormat="1" s="34"/>
    <row r="266" customFormat="1" s="34"/>
    <row r="267" customFormat="1" s="34"/>
    <row r="268" customFormat="1" s="34"/>
    <row r="269" customFormat="1" s="34"/>
    <row r="270" customFormat="1" s="34"/>
    <row r="271" customFormat="1" s="34"/>
    <row r="272" customFormat="1" s="34"/>
    <row r="273" customFormat="1" s="34"/>
    <row r="274" customFormat="1" s="34"/>
    <row r="275" customFormat="1" s="34"/>
    <row r="276" customFormat="1" s="34"/>
    <row r="277" customFormat="1" s="34"/>
    <row r="278" customFormat="1" s="34"/>
    <row r="279" customFormat="1" s="34"/>
    <row r="280" customFormat="1" s="34"/>
    <row r="281" customFormat="1" s="34"/>
    <row r="282" customFormat="1" s="34"/>
    <row r="283" customFormat="1" s="34"/>
    <row r="284" customFormat="1" s="34"/>
    <row r="285" customFormat="1" s="34"/>
    <row r="286" customFormat="1" s="34"/>
    <row r="287" customFormat="1" s="34"/>
    <row r="288" customFormat="1" s="34"/>
    <row r="289" customFormat="1" s="34"/>
    <row r="290" customFormat="1" s="34"/>
    <row r="291" customFormat="1" s="34"/>
    <row r="292" customFormat="1" s="34"/>
    <row r="293" customFormat="1" s="34"/>
    <row r="294" customFormat="1" s="34"/>
    <row r="295" customFormat="1" s="34"/>
    <row r="296" customFormat="1" s="34"/>
    <row r="297" customFormat="1" s="34"/>
    <row r="298" customFormat="1" s="34"/>
    <row r="299" customFormat="1" s="34"/>
    <row r="300" customFormat="1" s="34"/>
    <row r="301" customFormat="1" s="34"/>
    <row r="302" customFormat="1" s="34"/>
    <row r="303" customFormat="1" s="34"/>
    <row r="304" customFormat="1" s="34"/>
    <row r="305" customFormat="1" s="34"/>
    <row r="306" customFormat="1" s="34"/>
    <row r="307" customFormat="1" s="34"/>
    <row r="308" customFormat="1" s="34"/>
    <row r="309" customFormat="1" s="34"/>
    <row r="310" customFormat="1" s="34"/>
    <row r="311" customFormat="1" s="34"/>
    <row r="312" customFormat="1" s="34"/>
    <row r="313" customFormat="1" s="34"/>
    <row r="314" customFormat="1" s="34"/>
    <row r="315" customFormat="1" s="34"/>
    <row r="316" customFormat="1" s="34"/>
    <row r="317" customFormat="1" s="34"/>
    <row r="318" customFormat="1" s="34"/>
    <row r="319" customFormat="1" s="34"/>
    <row r="320" customFormat="1" s="34"/>
    <row r="321" customFormat="1" s="34"/>
    <row r="322" customFormat="1" s="34"/>
    <row r="323" customFormat="1" s="34"/>
    <row r="324" customFormat="1" s="34"/>
    <row r="325" customFormat="1" s="34"/>
    <row r="326" customFormat="1" s="34"/>
    <row r="327" customFormat="1" s="34"/>
    <row r="328" customFormat="1" s="34"/>
    <row r="329" customFormat="1" s="34"/>
    <row r="330" customFormat="1" s="34"/>
    <row r="331" customFormat="1" s="34"/>
    <row r="332" customFormat="1" s="34"/>
    <row r="333" customFormat="1" s="34"/>
    <row r="334" customFormat="1" s="34"/>
    <row r="335" customFormat="1" s="34"/>
    <row r="336" customFormat="1" s="34"/>
    <row r="337" customFormat="1" s="34"/>
    <row r="338" customFormat="1" s="34"/>
    <row r="339" customFormat="1" s="34"/>
    <row r="340" customFormat="1" s="34"/>
    <row r="341" customFormat="1" s="34"/>
    <row r="342" customFormat="1" s="34"/>
    <row r="343" customFormat="1" s="34"/>
    <row r="344" customFormat="1" s="34"/>
    <row r="345" customFormat="1" s="34"/>
    <row r="346" customFormat="1" s="34"/>
    <row r="347" customFormat="1" s="34"/>
    <row r="348" customFormat="1" s="34"/>
    <row r="349" customFormat="1" s="34"/>
    <row r="350" customFormat="1" s="34"/>
    <row r="351" customFormat="1" s="34"/>
    <row r="352" customFormat="1" s="34"/>
    <row r="353" customFormat="1" s="34"/>
    <row r="354" customFormat="1" s="34"/>
    <row r="355" customFormat="1" s="34"/>
    <row r="356" customFormat="1" s="34"/>
    <row r="357" customFormat="1" s="34"/>
    <row r="358" customFormat="1" s="34"/>
    <row r="359" customFormat="1" s="34"/>
    <row r="360" customFormat="1" s="34"/>
    <row r="361" customFormat="1" s="34"/>
    <row r="362" customFormat="1" s="34"/>
    <row r="363" customFormat="1" s="34"/>
    <row r="364" customFormat="1" s="34"/>
    <row r="365" customFormat="1" s="34"/>
    <row r="366" customFormat="1" s="34"/>
    <row r="367" customFormat="1" s="34"/>
    <row r="368" customFormat="1" s="34"/>
    <row r="369" customFormat="1" s="34"/>
    <row r="370" customFormat="1" s="34"/>
    <row r="371" customFormat="1" s="34"/>
    <row r="372" customFormat="1" s="34"/>
    <row r="373" customFormat="1" s="34"/>
    <row r="374" customFormat="1" s="34"/>
    <row r="375" customFormat="1" s="34"/>
    <row r="376" customFormat="1" s="34"/>
    <row r="377" customFormat="1" s="34"/>
    <row r="378" customFormat="1" s="34"/>
    <row r="379" customFormat="1" s="34"/>
    <row r="380" customFormat="1" s="34"/>
    <row r="381" customFormat="1" s="34"/>
    <row r="382" customFormat="1" s="34"/>
    <row r="383" customFormat="1" s="34"/>
    <row r="384" customFormat="1" s="34"/>
    <row r="385" customFormat="1" s="34"/>
    <row r="386" customFormat="1" s="34"/>
    <row r="387" customFormat="1" s="34"/>
    <row r="388" customFormat="1" s="34"/>
    <row r="389" customFormat="1" s="34"/>
    <row r="390" customFormat="1" s="34"/>
    <row r="391" customFormat="1" s="34"/>
    <row r="392" customFormat="1" s="34"/>
    <row r="393" customFormat="1" s="34"/>
    <row r="394" customFormat="1" s="34"/>
    <row r="395" customFormat="1" s="34"/>
    <row r="396" customFormat="1" s="34"/>
    <row r="397" customFormat="1" s="34"/>
    <row r="398" customFormat="1" s="34"/>
    <row r="399" customFormat="1" s="34"/>
    <row r="400" customFormat="1" s="34"/>
    <row r="401" customFormat="1" s="34"/>
    <row r="402" customFormat="1" s="34"/>
    <row r="403" customFormat="1" s="34"/>
    <row r="404" customFormat="1" s="34"/>
    <row r="405" customFormat="1" s="34"/>
    <row r="406" customFormat="1" s="34"/>
    <row r="407" customFormat="1" s="34"/>
    <row r="408" customFormat="1" s="34"/>
    <row r="409" customFormat="1" s="34"/>
    <row r="410" customFormat="1" s="34"/>
    <row r="411" customFormat="1" s="34"/>
    <row r="412" customFormat="1" s="34"/>
    <row r="413" customFormat="1" s="34"/>
    <row r="414" customFormat="1" s="34"/>
    <row r="415" customFormat="1" s="34"/>
    <row r="416" customFormat="1" s="34"/>
    <row r="417" customFormat="1" s="34"/>
    <row r="418" customFormat="1" s="34"/>
    <row r="419" customFormat="1" s="34"/>
    <row r="420" customFormat="1" s="34"/>
    <row r="421" customFormat="1" s="34"/>
    <row r="422" customFormat="1" s="34"/>
    <row r="423" customFormat="1" s="34"/>
    <row r="424" customFormat="1" s="34"/>
    <row r="425" customFormat="1" s="34"/>
    <row r="426" customFormat="1" s="34"/>
    <row r="427" customFormat="1" s="34"/>
    <row r="428" customFormat="1" s="34"/>
    <row r="429" customFormat="1" s="34"/>
    <row r="430" customFormat="1" s="34"/>
    <row r="431" customFormat="1" s="34"/>
    <row r="432" customFormat="1" s="34"/>
    <row r="433" customFormat="1" s="34"/>
    <row r="434" customFormat="1" s="34"/>
    <row r="435" customFormat="1" s="34"/>
    <row r="436" customFormat="1" s="34"/>
    <row r="437" customFormat="1" s="34"/>
    <row r="438" customFormat="1" s="34"/>
    <row r="439" customFormat="1" s="34"/>
    <row r="440" customFormat="1" s="34"/>
    <row r="441" customFormat="1" s="34"/>
    <row r="442" customFormat="1" s="34"/>
    <row r="443" customFormat="1" s="34"/>
    <row r="444" customFormat="1" s="34"/>
    <row r="445" customFormat="1" s="34"/>
    <row r="446" customFormat="1" s="34"/>
    <row r="447" customFormat="1" s="34"/>
    <row r="448" customFormat="1" s="34"/>
    <row r="449" customFormat="1" s="34"/>
    <row r="450" customFormat="1" s="34"/>
    <row r="451" customFormat="1" s="34"/>
    <row r="452" customFormat="1" s="34"/>
    <row r="453" customFormat="1" s="34"/>
    <row r="454" customFormat="1" s="34"/>
    <row r="455" customFormat="1" s="34"/>
    <row r="456" customFormat="1" s="34"/>
    <row r="457" customFormat="1" s="34"/>
    <row r="458" customFormat="1" s="34"/>
    <row r="459" customFormat="1" s="34"/>
    <row r="460" customFormat="1" s="34"/>
    <row r="461" customFormat="1" s="34"/>
    <row r="462" customFormat="1" s="34"/>
    <row r="463" customFormat="1" s="34"/>
    <row r="464" customFormat="1" s="34"/>
    <row r="465" customFormat="1" s="34"/>
    <row r="466" customFormat="1" s="34"/>
    <row r="467" customFormat="1" s="34"/>
    <row r="468" customFormat="1" s="34"/>
    <row r="469" customFormat="1" s="34"/>
    <row r="470" customFormat="1" s="34"/>
    <row r="471" customFormat="1" s="34"/>
    <row r="472" customFormat="1" s="34"/>
    <row r="473" customFormat="1" s="34"/>
    <row r="474" customFormat="1" s="34"/>
    <row r="475" customFormat="1" s="34"/>
    <row r="476" customFormat="1" s="34"/>
    <row r="477" customFormat="1" s="34"/>
    <row r="478" customFormat="1" s="34"/>
    <row r="479" customFormat="1" s="34"/>
    <row r="480" customFormat="1" s="34"/>
    <row r="481" customFormat="1" s="34"/>
    <row r="482" customFormat="1" s="34"/>
    <row r="483" customFormat="1" s="34"/>
    <row r="484" customFormat="1" s="34"/>
    <row r="485" customFormat="1" s="34"/>
    <row r="486" customFormat="1" s="34"/>
    <row r="487" customFormat="1" s="34"/>
    <row r="488" customFormat="1" s="34"/>
    <row r="489" customFormat="1" s="34"/>
    <row r="490" customFormat="1" s="34"/>
    <row r="491" customFormat="1" s="34"/>
    <row r="492" customFormat="1" s="34"/>
    <row r="493" customFormat="1" s="34"/>
    <row r="494" customFormat="1" s="34"/>
    <row r="495" customFormat="1" s="34"/>
    <row r="496" customFormat="1" s="34"/>
    <row r="497" customFormat="1" s="34"/>
    <row r="498" customFormat="1" s="34"/>
    <row r="499" customFormat="1" s="34"/>
    <row r="500" customFormat="1" s="34"/>
    <row r="501" customFormat="1" s="34"/>
    <row r="502" customFormat="1" s="34"/>
    <row r="503" customFormat="1" s="34"/>
    <row r="504" customFormat="1" s="34"/>
    <row r="505" customFormat="1" s="34"/>
    <row r="506" customFormat="1" s="34"/>
    <row r="507" customFormat="1" s="34"/>
    <row r="508" customFormat="1" s="34"/>
    <row r="509" customFormat="1" s="34"/>
    <row r="510" customFormat="1" s="34"/>
    <row r="511" customFormat="1" s="34"/>
    <row r="512" customFormat="1" s="34"/>
    <row r="513" customFormat="1" s="34"/>
    <row r="514" customFormat="1" s="34"/>
    <row r="515" customFormat="1" s="34"/>
    <row r="516" customFormat="1" s="34"/>
    <row r="517" customFormat="1" s="34"/>
    <row r="518" customFormat="1" s="34"/>
    <row r="519" customFormat="1" s="34"/>
    <row r="520" customFormat="1" s="34"/>
    <row r="521" customFormat="1" s="34"/>
    <row r="522" customFormat="1" s="34"/>
    <row r="523" customFormat="1" s="34"/>
    <row r="524" customFormat="1" s="34"/>
    <row r="525" customFormat="1" s="34"/>
    <row r="526" customFormat="1" s="34"/>
    <row r="527" customFormat="1" s="34"/>
    <row r="528" customFormat="1" s="34"/>
    <row r="529" customFormat="1" s="34"/>
    <row r="530" customFormat="1" s="34"/>
    <row r="531" customFormat="1" s="34"/>
    <row r="532" customFormat="1" s="34"/>
    <row r="533" customFormat="1" s="34"/>
    <row r="534" customFormat="1" s="34"/>
    <row r="535" customFormat="1" s="34"/>
    <row r="536" customFormat="1" s="34"/>
    <row r="537" customFormat="1" s="34"/>
    <row r="538" customFormat="1" s="34"/>
    <row r="539" customFormat="1" s="34"/>
    <row r="540" customFormat="1" s="34"/>
    <row r="541" customFormat="1" s="34"/>
    <row r="542" customFormat="1" s="34"/>
    <row r="543" customFormat="1" s="34"/>
    <row r="544" customFormat="1" s="34"/>
    <row r="545" customFormat="1" s="34"/>
    <row r="546" customFormat="1" s="34"/>
    <row r="547" customFormat="1" s="34"/>
    <row r="548" customFormat="1" s="34"/>
    <row r="549" customFormat="1" s="34"/>
    <row r="550" customFormat="1" s="34"/>
    <row r="551" customFormat="1" s="34"/>
    <row r="552" customFormat="1" s="34"/>
    <row r="553" customFormat="1" s="34"/>
    <row r="554" customFormat="1" s="34"/>
    <row r="555" customFormat="1" s="34"/>
    <row r="556" customFormat="1" s="34"/>
    <row r="557" customFormat="1" s="34"/>
    <row r="558" customFormat="1" s="34"/>
    <row r="559" customFormat="1" s="34"/>
    <row r="560" customFormat="1" s="34"/>
    <row r="561" customFormat="1" s="34"/>
    <row r="562" customFormat="1" s="34"/>
    <row r="563" customFormat="1" s="34"/>
    <row r="564" customFormat="1" s="34"/>
    <row r="565" customFormat="1" s="34"/>
    <row r="566" customFormat="1" s="34"/>
    <row r="567" customFormat="1" s="34"/>
    <row r="568" customFormat="1" s="34"/>
    <row r="569" customFormat="1" s="34"/>
    <row r="570" customFormat="1" s="34"/>
    <row r="571" customFormat="1" s="34"/>
    <row r="572" customFormat="1" s="34"/>
    <row r="573" customFormat="1" s="34"/>
    <row r="574" customFormat="1" s="34"/>
    <row r="575" customFormat="1" s="34"/>
    <row r="576" customFormat="1" s="34"/>
    <row r="577" customFormat="1" s="34"/>
    <row r="578" customFormat="1" s="34"/>
    <row r="579" customFormat="1" s="34"/>
    <row r="580" customFormat="1" s="34"/>
    <row r="581" customFormat="1" s="34"/>
    <row r="582" customFormat="1" s="34"/>
    <row r="583" customFormat="1" s="34"/>
    <row r="584" customFormat="1" s="34"/>
    <row r="585" customFormat="1" s="34"/>
    <row r="586" customFormat="1" s="34"/>
    <row r="587" customFormat="1" s="34"/>
    <row r="588" customFormat="1" s="34"/>
    <row r="589" customFormat="1" s="34"/>
    <row r="590" customFormat="1" s="34"/>
    <row r="591" customFormat="1" s="34"/>
    <row r="592" customFormat="1" s="34"/>
    <row r="593" customFormat="1" s="34"/>
    <row r="594" customFormat="1" s="34"/>
    <row r="595" customFormat="1" s="34"/>
    <row r="596" customFormat="1" s="34"/>
    <row r="597" customFormat="1" s="34"/>
    <row r="598" customFormat="1" s="34"/>
    <row r="599" customFormat="1" s="34"/>
    <row r="600" customFormat="1" s="34"/>
    <row r="601" customFormat="1" s="34"/>
    <row r="602" customFormat="1" s="34"/>
    <row r="603" customFormat="1" s="34"/>
    <row r="604" customFormat="1" s="34"/>
    <row r="605" customFormat="1" s="34"/>
    <row r="606" customFormat="1" s="34"/>
    <row r="607" customFormat="1" s="34"/>
    <row r="608" customFormat="1" s="34"/>
    <row r="609" customFormat="1" s="34"/>
    <row r="610" customFormat="1" s="34"/>
    <row r="611" customFormat="1" s="34"/>
    <row r="612" customFormat="1" s="34"/>
    <row r="613" customFormat="1" s="34"/>
    <row r="614" customFormat="1" s="34"/>
    <row r="615" customFormat="1" s="34"/>
    <row r="616" customFormat="1" s="34"/>
    <row r="617" customFormat="1" s="34"/>
    <row r="618" customFormat="1" s="34"/>
    <row r="619" customFormat="1" s="34"/>
    <row r="620" customFormat="1" s="34"/>
    <row r="621" customFormat="1" s="34"/>
    <row r="622" customFormat="1" s="34"/>
    <row r="623" customFormat="1" s="34"/>
    <row r="624" customFormat="1" s="34"/>
    <row r="625" customFormat="1" s="34"/>
    <row r="626" customFormat="1" s="34"/>
    <row r="627" customFormat="1" s="34"/>
    <row r="628" customFormat="1" s="34"/>
    <row r="629" customFormat="1" s="34"/>
    <row r="630" customFormat="1" s="34"/>
    <row r="631" customFormat="1" s="34"/>
    <row r="632" customFormat="1" s="34"/>
    <row r="633" customFormat="1" s="34"/>
    <row r="634" customFormat="1" s="34"/>
    <row r="635" customFormat="1" s="34"/>
    <row r="636" customFormat="1" s="34"/>
    <row r="637" customFormat="1" s="34"/>
    <row r="638" customFormat="1" s="34"/>
    <row r="639" customFormat="1" s="34"/>
    <row r="640" customFormat="1" s="34"/>
    <row r="641" customFormat="1" s="34"/>
    <row r="642" customFormat="1" s="34"/>
    <row r="643" customFormat="1" s="34"/>
    <row r="644" customFormat="1" s="34"/>
    <row r="645" customFormat="1" s="34"/>
    <row r="646" customFormat="1" s="34"/>
    <row r="647" customFormat="1" s="34"/>
    <row r="648" customFormat="1" s="34"/>
    <row r="649" customFormat="1" s="34"/>
    <row r="650" customFormat="1" s="34"/>
    <row r="651" customFormat="1" s="34"/>
    <row r="652" customFormat="1" s="34"/>
    <row r="653" customFormat="1" s="34"/>
    <row r="654" customFormat="1" s="34"/>
    <row r="655" customFormat="1" s="34"/>
    <row r="656" customFormat="1" s="34"/>
    <row r="657" customFormat="1" s="34"/>
    <row r="658" customFormat="1" s="34"/>
    <row r="659" customFormat="1" s="34"/>
    <row r="660" customFormat="1" s="34"/>
    <row r="661" customFormat="1" s="34"/>
    <row r="662" customFormat="1" s="34"/>
    <row r="663" customFormat="1" s="34"/>
    <row r="664" customFormat="1" s="34"/>
    <row r="665" customFormat="1" s="34"/>
    <row r="666" customFormat="1" s="34"/>
    <row r="667" customFormat="1" s="34"/>
    <row r="668" customFormat="1" s="34"/>
    <row r="669" customFormat="1" s="34"/>
    <row r="670" customFormat="1" s="34"/>
    <row r="671" customFormat="1" s="34"/>
    <row r="672" customFormat="1" s="34"/>
    <row r="673" customFormat="1" s="34"/>
    <row r="674" customFormat="1" s="34"/>
    <row r="675" customFormat="1" s="34"/>
    <row r="676" customFormat="1" s="34"/>
    <row r="677" customFormat="1" s="34"/>
    <row r="678" customFormat="1" s="34"/>
    <row r="679" customFormat="1" s="34"/>
    <row r="680" customFormat="1" s="34"/>
    <row r="681" customFormat="1" s="34"/>
    <row r="682" customFormat="1" s="34"/>
    <row r="683" customFormat="1" s="34"/>
    <row r="684" customFormat="1" s="34"/>
    <row r="685" customFormat="1" s="34"/>
    <row r="686" customFormat="1" s="34"/>
    <row r="687" customFormat="1" s="34"/>
    <row r="688" customFormat="1" s="34"/>
    <row r="689" customFormat="1" s="34"/>
    <row r="690" customFormat="1" s="34"/>
    <row r="691" customFormat="1" s="34"/>
    <row r="692" customFormat="1" s="34"/>
    <row r="693" customFormat="1" s="34"/>
    <row r="694" customFormat="1" s="34"/>
    <row r="695" customFormat="1" s="34"/>
    <row r="696" customFormat="1" s="34"/>
    <row r="697" customFormat="1" s="34"/>
    <row r="698" customFormat="1" s="34"/>
    <row r="699" customFormat="1" s="34"/>
    <row r="700" customFormat="1" s="34"/>
    <row r="701" customFormat="1" s="34"/>
    <row r="702" customFormat="1" s="34"/>
    <row r="703" customFormat="1" s="34"/>
    <row r="704" customFormat="1" s="34"/>
    <row r="705" customFormat="1" s="34"/>
    <row r="706" customFormat="1" s="34"/>
    <row r="707" customFormat="1" s="34"/>
    <row r="708" customFormat="1" s="34"/>
    <row r="709" customFormat="1" s="34"/>
    <row r="710" customFormat="1" s="34"/>
    <row r="711" customFormat="1" s="34"/>
    <row r="712" customFormat="1" s="34"/>
    <row r="713" customFormat="1" s="34"/>
    <row r="714" customFormat="1" s="34"/>
    <row r="715" customFormat="1" s="34"/>
    <row r="716" customFormat="1" s="34"/>
    <row r="717" customFormat="1" s="34"/>
    <row r="718" customFormat="1" s="34"/>
    <row r="719" customFormat="1" s="34"/>
    <row r="720" customFormat="1" s="34"/>
    <row r="721" customFormat="1" s="34"/>
    <row r="722" customFormat="1" s="34"/>
    <row r="723" customFormat="1" s="34"/>
    <row r="724" customFormat="1" s="34"/>
    <row r="725" customFormat="1" s="34"/>
    <row r="726" customFormat="1" s="34"/>
    <row r="727" customFormat="1" s="34"/>
    <row r="728" customFormat="1" s="34"/>
    <row r="729" customFormat="1" s="34"/>
    <row r="730" customFormat="1" s="34"/>
    <row r="731" customFormat="1" s="34"/>
    <row r="732" customFormat="1" s="34"/>
    <row r="733" customFormat="1" s="34"/>
    <row r="734" customFormat="1" s="34"/>
    <row r="735" customFormat="1" s="34"/>
    <row r="736" customFormat="1" s="34"/>
    <row r="737" customFormat="1" s="34"/>
    <row r="738" customFormat="1" s="34"/>
    <row r="739" customFormat="1" s="34"/>
    <row r="740" customFormat="1" s="34"/>
    <row r="741" customFormat="1" s="34"/>
    <row r="742" customFormat="1" s="34"/>
    <row r="743" customFormat="1" s="34"/>
    <row r="744" customFormat="1" s="34"/>
    <row r="745" customFormat="1" s="34"/>
    <row r="746" customFormat="1" s="34"/>
    <row r="747" customFormat="1" s="34"/>
    <row r="748" customFormat="1" s="34"/>
    <row r="749" customFormat="1" s="34"/>
    <row r="750" customFormat="1" s="34"/>
    <row r="751" customFormat="1" s="34"/>
    <row r="752" customFormat="1" s="34"/>
    <row r="753" customFormat="1" s="34"/>
    <row r="754" customFormat="1" s="34"/>
    <row r="755" customFormat="1" s="34"/>
    <row r="756" customFormat="1" s="34"/>
    <row r="757" customFormat="1" s="34"/>
    <row r="758" customFormat="1" s="34"/>
    <row r="759" customFormat="1" s="34"/>
    <row r="760" customFormat="1" s="34"/>
    <row r="761" customFormat="1" s="34"/>
    <row r="762" customFormat="1" s="34"/>
    <row r="763" customFormat="1" s="34"/>
    <row r="764" customFormat="1" s="34"/>
    <row r="765" customFormat="1" s="34"/>
    <row r="766" customFormat="1" s="34"/>
    <row r="767" customFormat="1" s="34"/>
    <row r="768" customFormat="1" s="34"/>
    <row r="769" customFormat="1" s="34"/>
    <row r="770" customFormat="1" s="34"/>
    <row r="771" customFormat="1" s="34"/>
    <row r="772" customFormat="1" s="34"/>
    <row r="773" customFormat="1" s="34"/>
    <row r="774" customFormat="1" s="34"/>
    <row r="775" customFormat="1" s="34"/>
    <row r="776" customFormat="1" s="34"/>
    <row r="777" customFormat="1" s="34"/>
    <row r="778" customFormat="1" s="34"/>
    <row r="779" customFormat="1" s="34"/>
    <row r="780" customFormat="1" s="34"/>
    <row r="781" customFormat="1" s="34"/>
    <row r="782" customFormat="1" s="34"/>
    <row r="783" customFormat="1" s="34"/>
    <row r="784" customFormat="1" s="34"/>
    <row r="785" customFormat="1" s="34"/>
    <row r="786" customFormat="1" s="34"/>
    <row r="787" customFormat="1" s="34"/>
    <row r="788" customFormat="1" s="34"/>
    <row r="789" customFormat="1" s="34"/>
    <row r="790" customFormat="1" s="34"/>
    <row r="791" customFormat="1" s="34"/>
    <row r="792" customFormat="1" s="34"/>
    <row r="793" customFormat="1" s="34"/>
    <row r="794" customFormat="1" s="34"/>
    <row r="795" customFormat="1" s="34"/>
    <row r="796" customFormat="1" s="34"/>
    <row r="797" customFormat="1" s="34"/>
    <row r="798" customFormat="1" s="34"/>
    <row r="799" customFormat="1" s="34"/>
    <row r="800" customFormat="1" s="34"/>
    <row r="801" customFormat="1" s="34"/>
    <row r="802" customFormat="1" s="34"/>
    <row r="803" customFormat="1" s="34"/>
    <row r="804" customFormat="1" s="34"/>
    <row r="805" customFormat="1" s="34"/>
    <row r="806" customFormat="1" s="34"/>
    <row r="807" customFormat="1" s="34"/>
    <row r="808" customFormat="1" s="34"/>
    <row r="809" customFormat="1" s="34"/>
    <row r="810" customFormat="1" s="34"/>
    <row r="811" customFormat="1" s="34"/>
    <row r="812" customFormat="1" s="34"/>
    <row r="813" customFormat="1" s="34"/>
    <row r="814" customFormat="1" s="34"/>
    <row r="815" customFormat="1" s="34"/>
    <row r="816" customFormat="1" s="34"/>
    <row r="817" customFormat="1" s="34"/>
    <row r="818" customFormat="1" s="34"/>
    <row r="819" customFormat="1" s="34"/>
    <row r="820" customFormat="1" s="34"/>
    <row r="821" customFormat="1" s="34"/>
    <row r="822" customFormat="1" s="34"/>
    <row r="823" customFormat="1" s="34"/>
    <row r="824" customFormat="1" s="34"/>
    <row r="825" customFormat="1" s="34"/>
    <row r="826" customFormat="1" s="34"/>
    <row r="827" customFormat="1" s="34"/>
    <row r="828" customFormat="1" s="34"/>
    <row r="829" customFormat="1" s="34"/>
    <row r="830" customFormat="1" s="34"/>
    <row r="831" customFormat="1" s="34"/>
    <row r="832" customFormat="1" s="34"/>
    <row r="833" customFormat="1" s="34"/>
    <row r="834" customFormat="1" s="34"/>
    <row r="835" customFormat="1" s="34"/>
    <row r="836" customFormat="1" s="34"/>
    <row r="837" customFormat="1" s="34"/>
    <row r="838" customFormat="1" s="34"/>
    <row r="839" customFormat="1" s="34"/>
    <row r="840" customFormat="1" s="34"/>
    <row r="841" customFormat="1" s="34"/>
    <row r="842" customFormat="1" s="34"/>
    <row r="843" customFormat="1" s="34"/>
    <row r="844" customFormat="1" s="34"/>
    <row r="845" customFormat="1" s="34"/>
    <row r="846" customFormat="1" s="34"/>
    <row r="847" customFormat="1" s="34"/>
    <row r="848" customFormat="1" s="34"/>
    <row r="849" customFormat="1" s="34"/>
    <row r="850" customFormat="1" s="34"/>
    <row r="851" customFormat="1" s="34"/>
    <row r="852" customFormat="1" s="34"/>
    <row r="853" customFormat="1" s="34"/>
    <row r="854" customFormat="1" s="34"/>
    <row r="855" customFormat="1" s="34"/>
    <row r="856" customFormat="1" s="34"/>
    <row r="857" customFormat="1" s="34"/>
    <row r="858" customFormat="1" s="34"/>
    <row r="859" customFormat="1" s="34"/>
    <row r="860" customFormat="1" s="34"/>
    <row r="861" customFormat="1" s="34"/>
    <row r="862" customFormat="1" s="34"/>
    <row r="863" customFormat="1" s="34"/>
    <row r="864" customFormat="1" s="34"/>
    <row r="865" customFormat="1" s="34"/>
    <row r="866" customFormat="1" s="34"/>
    <row r="867" customFormat="1" s="34"/>
    <row r="868" customFormat="1" s="34"/>
    <row r="869" customFormat="1" s="34"/>
    <row r="870" customFormat="1" s="34"/>
    <row r="871" customFormat="1" s="34"/>
    <row r="872" customFormat="1" s="34"/>
    <row r="873" customFormat="1" s="34"/>
    <row r="874" customFormat="1" s="34"/>
    <row r="875" customFormat="1" s="34"/>
    <row r="876" customFormat="1" s="34"/>
    <row r="877" customFormat="1" s="34"/>
    <row r="878" customFormat="1" s="34"/>
    <row r="879" customFormat="1" s="34"/>
    <row r="880" customFormat="1" s="34"/>
    <row r="881" customFormat="1" s="34"/>
    <row r="882" customFormat="1" s="34"/>
    <row r="883" customFormat="1" s="34"/>
    <row r="884" customFormat="1" s="34"/>
    <row r="885" customFormat="1" s="34"/>
    <row r="886" customFormat="1" s="34"/>
    <row r="887" customFormat="1" s="34"/>
    <row r="888" customFormat="1" s="34"/>
    <row r="889" customFormat="1" s="34"/>
    <row r="890" customFormat="1" s="34"/>
    <row r="891" customFormat="1" s="34"/>
    <row r="892" customFormat="1" s="34"/>
    <row r="893" customFormat="1" s="34"/>
    <row r="894" customFormat="1" s="34"/>
    <row r="895" customFormat="1" s="34"/>
    <row r="896" customFormat="1" s="34"/>
    <row r="897" customFormat="1" s="34"/>
    <row r="898" customFormat="1" s="34"/>
    <row r="899" customFormat="1" s="34"/>
    <row r="900" customFormat="1" s="34"/>
    <row r="901" customFormat="1" s="34"/>
    <row r="902" customFormat="1" s="34"/>
    <row r="903" customFormat="1" s="34"/>
    <row r="904" customFormat="1" s="34"/>
    <row r="905" customFormat="1" s="34"/>
    <row r="906" customFormat="1" s="34"/>
    <row r="907" customFormat="1" s="34"/>
    <row r="908" customFormat="1" s="34"/>
    <row r="909" customFormat="1" s="34"/>
    <row r="910" customFormat="1" s="34"/>
    <row r="911" customFormat="1" s="34"/>
    <row r="912" customFormat="1" s="34"/>
    <row r="913" customFormat="1" s="34"/>
    <row r="914" customFormat="1" s="34"/>
    <row r="915" customFormat="1" s="34"/>
    <row r="916" customFormat="1" s="34"/>
    <row r="917" customFormat="1" s="34"/>
    <row r="918" customFormat="1" s="34"/>
    <row r="919" customFormat="1" s="34"/>
    <row r="920" customFormat="1" s="34"/>
    <row r="921" customFormat="1" s="34"/>
    <row r="922" customFormat="1" s="34"/>
    <row r="923" customFormat="1" s="34"/>
    <row r="924" customFormat="1" s="34"/>
    <row r="925" customFormat="1" s="34"/>
    <row r="926" customFormat="1" s="34"/>
    <row r="927" customFormat="1" s="34"/>
    <row r="928" customFormat="1" s="34"/>
    <row r="929" customFormat="1" s="34"/>
    <row r="930" customFormat="1" s="34"/>
    <row r="931" customFormat="1" s="34"/>
    <row r="932" customFormat="1" s="34"/>
    <row r="933" customFormat="1" s="34"/>
    <row r="934" customFormat="1" s="34"/>
    <row r="935" customFormat="1" s="34"/>
    <row r="936" customFormat="1" s="34"/>
    <row r="937" customFormat="1" s="34"/>
    <row r="938" customFormat="1" s="34"/>
    <row r="939" customFormat="1" s="34"/>
    <row r="940" customFormat="1" s="34"/>
    <row r="941" customFormat="1" s="34"/>
    <row r="942" customFormat="1" s="34"/>
    <row r="943" customFormat="1" s="34"/>
    <row r="944" customFormat="1" s="34"/>
    <row r="945" customFormat="1" s="34"/>
    <row r="946" customFormat="1" s="34"/>
    <row r="947" customFormat="1" s="34"/>
    <row r="948" customFormat="1" s="34"/>
    <row r="949" customFormat="1" s="34"/>
    <row r="950" customFormat="1" s="34"/>
    <row r="951" customFormat="1" s="34"/>
    <row r="952" customFormat="1" s="34"/>
    <row r="953" customFormat="1" s="34"/>
    <row r="954" customFormat="1" s="34"/>
    <row r="955" customFormat="1" s="34"/>
    <row r="956" customFormat="1" s="34"/>
    <row r="957" customFormat="1" s="34"/>
    <row r="958" customFormat="1" s="34"/>
    <row r="959" customFormat="1" s="34"/>
    <row r="960" customFormat="1" s="34"/>
    <row r="961" customFormat="1" s="34"/>
    <row r="962" customFormat="1" s="34"/>
    <row r="963" customFormat="1" s="34"/>
    <row r="964" customFormat="1" s="34"/>
    <row r="965" customFormat="1" s="34"/>
    <row r="966" customFormat="1" s="34"/>
    <row r="967" customFormat="1" s="34"/>
    <row r="968" customFormat="1" s="34"/>
    <row r="969" customFormat="1" s="34"/>
    <row r="970" customFormat="1" s="34"/>
    <row r="971" customFormat="1" s="34"/>
    <row r="972" customFormat="1" s="34"/>
    <row r="973" customFormat="1" s="34"/>
    <row r="974" customFormat="1" s="34"/>
    <row r="975" customFormat="1" s="34"/>
    <row r="976" customFormat="1" s="34"/>
    <row r="977" customFormat="1" s="34"/>
    <row r="978" customFormat="1" s="34"/>
    <row r="979" customFormat="1" s="34"/>
    <row r="980" customFormat="1" s="34"/>
    <row r="981" customFormat="1" s="34"/>
    <row r="982" customFormat="1" s="34"/>
    <row r="983" customFormat="1" s="34"/>
    <row r="984" customFormat="1" s="34"/>
    <row r="985" customFormat="1" s="34"/>
    <row r="986" customFormat="1" s="34"/>
    <row r="987" customFormat="1" s="34"/>
    <row r="988" customFormat="1" s="34"/>
    <row r="989" customFormat="1" s="34"/>
    <row r="990" customFormat="1" s="34"/>
    <row r="991" customFormat="1" s="34"/>
    <row r="992" customFormat="1" s="34"/>
    <row r="993" customFormat="1" s="34"/>
    <row r="994" customFormat="1" s="34"/>
    <row r="995" customFormat="1" s="34"/>
    <row r="996" customFormat="1" s="34"/>
    <row r="997" customFormat="1" s="34"/>
    <row r="998" customFormat="1" s="34"/>
    <row r="999" customFormat="1" s="34"/>
    <row r="1000" customFormat="1" s="34"/>
    <row r="1001" customFormat="1" s="34"/>
    <row r="1002" customFormat="1" s="34"/>
    <row r="1003" customFormat="1" s="34"/>
    <row r="1004" customFormat="1" s="34"/>
    <row r="1005" customFormat="1" s="34"/>
    <row r="1006" customFormat="1" s="34"/>
    <row r="1007" customFormat="1" s="34"/>
    <row r="1008" customFormat="1" s="34"/>
    <row r="1009" customFormat="1" s="34"/>
    <row r="1010" customFormat="1" s="34"/>
    <row r="1011" customFormat="1" s="34"/>
    <row r="1012" customFormat="1" s="34"/>
    <row r="1013" customFormat="1" s="34"/>
    <row r="1014" customFormat="1" s="34"/>
    <row r="1015" customFormat="1" s="34"/>
    <row r="1016" customFormat="1" s="34"/>
    <row r="1017" customFormat="1" s="34"/>
    <row r="1018" customFormat="1" s="34"/>
    <row r="1019" customFormat="1" s="34"/>
    <row r="1020" customFormat="1" s="34"/>
    <row r="1021" customFormat="1" s="34"/>
    <row r="1022" customFormat="1" s="34"/>
    <row r="1023" customFormat="1" s="34"/>
    <row r="1024" customFormat="1" s="34"/>
    <row r="1025" customFormat="1" s="34"/>
    <row r="1026" customFormat="1" s="34"/>
    <row r="1027" customFormat="1" s="34"/>
    <row r="1028" customFormat="1" s="34"/>
    <row r="1029" customFormat="1" s="34"/>
    <row r="1030" customFormat="1" s="34"/>
    <row r="1031" customFormat="1" s="34"/>
    <row r="1032" customFormat="1" s="34"/>
    <row r="1033" customFormat="1" s="34"/>
    <row r="1034" customFormat="1" s="34"/>
    <row r="1035" customFormat="1" s="34"/>
    <row r="1036" customFormat="1" s="34"/>
    <row r="1037" customFormat="1" s="34"/>
    <row r="1038" customFormat="1" s="34"/>
    <row r="1039" customFormat="1" s="34"/>
    <row r="1040" customFormat="1" s="34"/>
    <row r="1041" customFormat="1" s="34"/>
    <row r="1042" customFormat="1" s="34"/>
    <row r="1043" customFormat="1" s="34"/>
    <row r="1044" customFormat="1" s="34"/>
    <row r="1045" customFormat="1" s="34"/>
    <row r="1046" customFormat="1" s="34"/>
    <row r="1047" customFormat="1" s="34"/>
    <row r="1048" customFormat="1" s="34"/>
    <row r="1049" customFormat="1" s="34"/>
    <row r="1050" customFormat="1" s="34"/>
    <row r="1051" customFormat="1" s="34"/>
    <row r="1052" customFormat="1" s="34"/>
    <row r="1053" customFormat="1" s="34"/>
    <row r="1054" customFormat="1" s="34"/>
    <row r="1055" customFormat="1" s="34"/>
    <row r="1056" customFormat="1" s="34"/>
    <row r="1057" customFormat="1" s="34"/>
    <row r="1058" customFormat="1" s="34"/>
    <row r="1059" customFormat="1" s="34"/>
    <row r="1060" customFormat="1" s="34"/>
    <row r="1061" customFormat="1" s="34"/>
    <row r="1062" customFormat="1" s="34"/>
    <row r="1063" customFormat="1" s="34"/>
    <row r="1064" customFormat="1" s="34"/>
    <row r="1065" customFormat="1" s="34"/>
    <row r="1066" customFormat="1" s="34"/>
    <row r="1067" customFormat="1" s="34"/>
    <row r="1068" customFormat="1" s="34"/>
    <row r="1069" customFormat="1" s="34"/>
    <row r="1070" customFormat="1" s="34"/>
    <row r="1071" customFormat="1" s="34"/>
    <row r="1072" customFormat="1" s="34"/>
    <row r="1073" customFormat="1" s="34"/>
    <row r="1074" customFormat="1" s="34"/>
    <row r="1075" customFormat="1" s="34"/>
    <row r="1076" customFormat="1" s="34"/>
    <row r="1077" customFormat="1" s="34"/>
    <row r="1078" customFormat="1" s="34"/>
    <row r="1079" customFormat="1" s="34"/>
    <row r="1080" customFormat="1" s="34"/>
    <row r="1081" customFormat="1" s="34"/>
    <row r="1082" customFormat="1" s="34"/>
    <row r="1083" customFormat="1" s="34"/>
    <row r="1084" customFormat="1" s="34"/>
    <row r="1085" customFormat="1" s="34"/>
    <row r="1086" customFormat="1" s="34"/>
    <row r="1087" customFormat="1" s="34"/>
    <row r="1088" customFormat="1" s="34"/>
    <row r="1089" customFormat="1" s="34"/>
    <row r="1090" customFormat="1" s="34"/>
    <row r="1091" customFormat="1" s="34"/>
    <row r="1092" customFormat="1" s="34"/>
    <row r="1093" customFormat="1" s="34"/>
    <row r="1094" customFormat="1" s="34"/>
    <row r="1095" customFormat="1" s="34"/>
    <row r="1096" customFormat="1" s="34"/>
    <row r="1097" customFormat="1" s="34"/>
    <row r="1098" customFormat="1" s="34"/>
    <row r="1099" customFormat="1" s="34"/>
    <row r="1100" customFormat="1" s="34"/>
    <row r="1101" customFormat="1" s="34"/>
    <row r="1102" customFormat="1" s="34"/>
    <row r="1103" customFormat="1" s="34"/>
    <row r="1104" customFormat="1" s="34"/>
    <row r="1105" customFormat="1" s="34"/>
    <row r="1106" customFormat="1" s="34"/>
    <row r="1107" customFormat="1" s="34"/>
    <row r="1108" customFormat="1" s="34"/>
    <row r="1109" customFormat="1" s="34"/>
    <row r="1110" customFormat="1" s="34"/>
    <row r="1111" customFormat="1" s="34"/>
    <row r="1112" customFormat="1" s="34"/>
    <row r="1113" customFormat="1" s="34"/>
    <row r="1114" customFormat="1" s="34"/>
    <row r="1115" customFormat="1" s="34"/>
    <row r="1116" customFormat="1" s="34"/>
    <row r="1117" customFormat="1" s="34"/>
    <row r="1118" customFormat="1" s="34"/>
    <row r="1119" customFormat="1" s="34"/>
    <row r="1120" customFormat="1" s="34"/>
    <row r="1121" customFormat="1" s="34"/>
    <row r="1122" customFormat="1" s="34"/>
    <row r="1123" customFormat="1" s="34"/>
    <row r="1124" customFormat="1" s="34"/>
    <row r="1125" customFormat="1" s="34"/>
    <row r="1126" customFormat="1" s="34"/>
    <row r="1127" customFormat="1" s="34"/>
    <row r="1128" customFormat="1" s="34"/>
    <row r="1129" customFormat="1" s="34"/>
    <row r="1130" customFormat="1" s="34"/>
    <row r="1131" customFormat="1" s="34"/>
    <row r="1132" customFormat="1" s="34"/>
    <row r="1133" customFormat="1" s="34"/>
    <row r="1134" customFormat="1" s="34"/>
    <row r="1135" customFormat="1" s="34"/>
    <row r="1136" customFormat="1" s="34"/>
    <row r="1137" customFormat="1" s="34"/>
    <row r="1138" customFormat="1" s="34"/>
    <row r="1139" customFormat="1" s="34"/>
    <row r="1140" customFormat="1" s="34"/>
    <row r="1141" customFormat="1" s="34"/>
    <row r="1142" customFormat="1" s="34"/>
    <row r="1143" customFormat="1" s="34"/>
    <row r="1144" customFormat="1" s="34"/>
    <row r="1145" customFormat="1" s="34"/>
    <row r="1146" customFormat="1" s="34"/>
    <row r="1147" customFormat="1" s="34"/>
    <row r="1148" customFormat="1" s="34"/>
    <row r="1149" customFormat="1" s="34"/>
    <row r="1150" customFormat="1" s="34"/>
    <row r="1151" customFormat="1" s="34"/>
    <row r="1152" customFormat="1" s="34"/>
    <row r="1153" customFormat="1" s="34"/>
    <row r="1154" customFormat="1" s="34"/>
    <row r="1155" customFormat="1" s="34"/>
    <row r="1156" customFormat="1" s="34"/>
    <row r="1157" customFormat="1" s="34"/>
    <row r="1158" customFormat="1" s="34"/>
    <row r="1159" customFormat="1" s="34"/>
    <row r="1160" customFormat="1" s="34"/>
    <row r="1161" customFormat="1" s="34"/>
    <row r="1162" customFormat="1" s="34"/>
    <row r="1163" customFormat="1" s="34"/>
    <row r="1164" customFormat="1" s="34"/>
    <row r="1165" customFormat="1" s="34"/>
    <row r="1166" customFormat="1" s="34"/>
    <row r="1167" customFormat="1" s="34"/>
    <row r="1168" customFormat="1" s="34"/>
    <row r="1169" customFormat="1" s="34"/>
    <row r="1170" customFormat="1" s="34"/>
    <row r="1171" customFormat="1" s="34"/>
    <row r="1172" customFormat="1" s="34"/>
    <row r="1173" customFormat="1" s="34"/>
    <row r="1174" customFormat="1" s="34"/>
    <row r="1175" customFormat="1" s="34"/>
    <row r="1176" customFormat="1" s="34"/>
    <row r="1177" customFormat="1" s="34"/>
    <row r="1178" customFormat="1" s="34"/>
    <row r="1179" customFormat="1" s="34"/>
    <row r="1180" customFormat="1" s="34"/>
    <row r="1181" customFormat="1" s="34"/>
    <row r="1182" customFormat="1" s="34"/>
    <row r="1183" customFormat="1" s="34"/>
    <row r="1184" customFormat="1" s="34"/>
    <row r="1185" customFormat="1" s="34"/>
    <row r="1186" customFormat="1" s="34"/>
    <row r="1187" customFormat="1" s="34"/>
    <row r="1188" customFormat="1" s="34"/>
    <row r="1189" customFormat="1" s="34"/>
    <row r="1190" customFormat="1" s="34"/>
    <row r="1191" customFormat="1" s="34"/>
    <row r="1192" customFormat="1" s="34"/>
    <row r="1193" customFormat="1" s="34"/>
    <row r="1194" customFormat="1" s="34"/>
    <row r="1195" customFormat="1" s="34"/>
    <row r="1196" customFormat="1" s="34"/>
    <row r="1197" customFormat="1" s="34"/>
    <row r="1198" customFormat="1" s="34"/>
    <row r="1199" customFormat="1" s="34"/>
    <row r="1200" customFormat="1" s="34"/>
    <row r="1201" customFormat="1" s="34"/>
    <row r="1202" customFormat="1" s="34"/>
    <row r="1203" customFormat="1" s="34"/>
    <row r="1204" customFormat="1" s="34"/>
    <row r="1205" customFormat="1" s="34"/>
    <row r="1206" customFormat="1" s="34"/>
    <row r="1207" customFormat="1" s="34"/>
    <row r="1208" customFormat="1" s="34"/>
    <row r="1209" customFormat="1" s="34"/>
    <row r="1210" customFormat="1" s="34"/>
    <row r="1211" customFormat="1" s="34"/>
    <row r="1212" customFormat="1" s="34"/>
    <row r="1213" customFormat="1" s="34"/>
    <row r="1214" customFormat="1" s="34"/>
    <row r="1215" customFormat="1" s="34"/>
    <row r="1216" customFormat="1" s="34"/>
    <row r="1217" customFormat="1" s="34"/>
    <row r="1218" customFormat="1" s="34"/>
    <row r="1219" customFormat="1" s="34"/>
    <row r="1220" customFormat="1" s="34"/>
    <row r="1221" customFormat="1" s="34"/>
    <row r="1222" customFormat="1" s="34"/>
    <row r="1223" customFormat="1" s="34"/>
    <row r="1224" customFormat="1" s="34"/>
    <row r="1225" customFormat="1" s="34"/>
    <row r="1226" customFormat="1" s="34"/>
    <row r="1227" customFormat="1" s="34"/>
    <row r="1228" customFormat="1" s="34"/>
    <row r="1229" customFormat="1" s="34"/>
    <row r="1230" customFormat="1" s="34"/>
    <row r="1231" customFormat="1" s="34"/>
    <row r="1232" customFormat="1" s="34"/>
    <row r="1233" customFormat="1" s="34"/>
    <row r="1234" customFormat="1" s="34"/>
    <row r="1235" customFormat="1" s="34"/>
    <row r="1236" customFormat="1" s="34"/>
    <row r="1237" customFormat="1" s="34"/>
    <row r="1238" customFormat="1" s="34"/>
    <row r="1239" customFormat="1" s="34"/>
    <row r="1240" customFormat="1" s="34"/>
    <row r="1241" customFormat="1" s="34"/>
    <row r="1242" customFormat="1" s="34"/>
    <row r="1243" customFormat="1" s="34"/>
    <row r="1244" customFormat="1" s="34"/>
    <row r="1245" customFormat="1" s="34"/>
    <row r="1246" customFormat="1" s="34"/>
    <row r="1247" customFormat="1" s="34"/>
    <row r="1248" customFormat="1" s="34"/>
    <row r="1249" customFormat="1" s="34"/>
    <row r="1250" customFormat="1" s="34"/>
    <row r="1251" customFormat="1" s="34"/>
    <row r="1252" customFormat="1" s="34"/>
    <row r="1253" customFormat="1" s="34"/>
    <row r="1254" customFormat="1" s="34"/>
    <row r="1255" customFormat="1" s="34"/>
    <row r="1256" customFormat="1" s="34"/>
    <row r="1257" customFormat="1" s="34"/>
    <row r="1258" customFormat="1" s="34"/>
    <row r="1259" customFormat="1" s="34"/>
    <row r="1260" customFormat="1" s="34"/>
    <row r="1261" customFormat="1" s="34"/>
    <row r="1262" customFormat="1" s="34"/>
    <row r="1263" customFormat="1" s="34"/>
    <row r="1264" customFormat="1" s="34"/>
    <row r="1265" customFormat="1" s="34"/>
    <row r="1266" customFormat="1" s="34"/>
    <row r="1267" customFormat="1" s="34"/>
    <row r="1268" customFormat="1" s="34"/>
    <row r="1269" customFormat="1" s="34"/>
    <row r="1270" customFormat="1" s="34"/>
    <row r="1271" customFormat="1" s="34"/>
    <row r="1272" customFormat="1" s="34"/>
    <row r="1273" customFormat="1" s="34"/>
    <row r="1274" customFormat="1" s="34"/>
    <row r="1275" customFormat="1" s="34"/>
    <row r="1276" customFormat="1" s="34"/>
    <row r="1277" customFormat="1" s="34"/>
    <row r="1278" customFormat="1" s="34"/>
    <row r="1279" customFormat="1" s="34"/>
    <row r="1280" customFormat="1" s="34"/>
    <row r="1281" customFormat="1" s="34"/>
    <row r="1282" customFormat="1" s="34"/>
    <row r="1283" customFormat="1" s="34"/>
    <row r="1284" customFormat="1" s="34"/>
    <row r="1285" customFormat="1" s="34"/>
    <row r="1286" customFormat="1" s="34"/>
    <row r="1287" customFormat="1" s="34"/>
    <row r="1288" customFormat="1" s="34"/>
    <row r="1289" customFormat="1" s="34"/>
    <row r="1290" customFormat="1" s="34"/>
    <row r="1291" customFormat="1" s="34"/>
    <row r="1292" customFormat="1" s="34"/>
    <row r="1293" customFormat="1" s="34"/>
    <row r="1294" customFormat="1" s="34"/>
    <row r="1295" customFormat="1" s="34"/>
    <row r="1296" customFormat="1" s="34"/>
    <row r="1297" customFormat="1" s="34"/>
    <row r="1298" customFormat="1" s="34"/>
    <row r="1299" customFormat="1" s="34"/>
    <row r="1300" customFormat="1" s="34"/>
    <row r="1301" customFormat="1" s="34"/>
    <row r="1302" customFormat="1" s="34"/>
    <row r="1303" customFormat="1" s="34"/>
    <row r="1304" customFormat="1" s="34"/>
    <row r="1305" customFormat="1" s="34"/>
    <row r="1306" customFormat="1" s="34"/>
    <row r="1307" customFormat="1" s="34"/>
    <row r="1308" customFormat="1" s="34"/>
    <row r="1309" customFormat="1" s="34"/>
    <row r="1310" customFormat="1" s="34"/>
    <row r="1311" customFormat="1" s="34"/>
    <row r="1312" customFormat="1" s="34"/>
    <row r="1313" customFormat="1" s="34"/>
    <row r="1314" customFormat="1" s="34"/>
    <row r="1315" customFormat="1" s="34"/>
    <row r="1316" customFormat="1" s="34"/>
    <row r="1317" customFormat="1" s="34"/>
    <row r="1318" customFormat="1" s="34"/>
    <row r="1319" customFormat="1" s="34"/>
    <row r="1320" customFormat="1" s="34"/>
    <row r="1321" customFormat="1" s="34"/>
    <row r="1322" customFormat="1" s="34"/>
    <row r="1323" customFormat="1" s="34"/>
    <row r="1324" customFormat="1" s="34"/>
    <row r="1325" customFormat="1" s="34"/>
    <row r="1326" customFormat="1" s="34"/>
    <row r="1327" customFormat="1" s="34"/>
    <row r="1328" customFormat="1" s="34"/>
    <row r="1329" customFormat="1" s="34"/>
    <row r="1330" customFormat="1" s="34"/>
    <row r="1331" customFormat="1" s="34"/>
    <row r="1332" customFormat="1" s="34"/>
    <row r="1333" customFormat="1" s="34"/>
    <row r="1334" customFormat="1" s="34"/>
    <row r="1335" customFormat="1" s="34"/>
    <row r="1336" customFormat="1" s="34"/>
    <row r="1337" customFormat="1" s="34"/>
    <row r="1338" customFormat="1" s="34"/>
    <row r="1339" customFormat="1" s="34"/>
    <row r="1340" customFormat="1" s="34"/>
    <row r="1341" customFormat="1" s="34"/>
    <row r="1342" customFormat="1" s="34"/>
    <row r="1343" customFormat="1" s="34"/>
    <row r="1344" customFormat="1" s="34"/>
    <row r="1345" customFormat="1" s="34"/>
    <row r="1346" customFormat="1" s="34"/>
    <row r="1347" customFormat="1" s="34"/>
    <row r="1348" customFormat="1" s="34"/>
    <row r="1349" customFormat="1" s="34"/>
    <row r="1350" customFormat="1" s="34"/>
    <row r="1351" customFormat="1" s="34"/>
    <row r="1352" customFormat="1" s="34"/>
    <row r="1353" customFormat="1" s="34"/>
    <row r="1354" customFormat="1" s="34"/>
    <row r="1355" customFormat="1" s="34"/>
    <row r="1356" customFormat="1" s="34"/>
    <row r="1357" customFormat="1" s="34"/>
    <row r="1358" customFormat="1" s="34"/>
    <row r="1359" customFormat="1" s="34"/>
    <row r="1360" customFormat="1" s="34"/>
    <row r="1361" customFormat="1" s="34"/>
    <row r="1362" customFormat="1" s="34"/>
    <row r="1363" customFormat="1" s="34"/>
    <row r="1364" customFormat="1" s="34"/>
    <row r="1365" customFormat="1" s="34"/>
    <row r="1366" customFormat="1" s="34"/>
    <row r="1367" customFormat="1" s="34"/>
    <row r="1368" customFormat="1" s="34"/>
    <row r="1369" customFormat="1" s="34"/>
    <row r="1370" customFormat="1" s="34"/>
    <row r="1371" customFormat="1" s="34"/>
    <row r="1372" customFormat="1" s="34"/>
    <row r="1373" customFormat="1" s="34"/>
    <row r="1374" customFormat="1" s="34"/>
    <row r="1375" customFormat="1" s="34"/>
    <row r="1376" customFormat="1" s="34"/>
    <row r="1377" customFormat="1" s="34"/>
    <row r="1378" customFormat="1" s="34"/>
    <row r="1379" customFormat="1" s="34"/>
    <row r="1380" customFormat="1" s="34"/>
    <row r="1381" customFormat="1" s="34"/>
    <row r="1382" customFormat="1" s="34"/>
    <row r="1383" customFormat="1" s="34"/>
    <row r="1384" customFormat="1" s="34"/>
    <row r="1385" customFormat="1" s="34"/>
    <row r="1386" customFormat="1" s="34"/>
    <row r="1387" customFormat="1" s="34"/>
    <row r="1388" customFormat="1" s="34"/>
    <row r="1389" customFormat="1" s="34"/>
    <row r="1390" customFormat="1" s="34"/>
    <row r="1391" customFormat="1" s="34"/>
    <row r="1392" customFormat="1" s="34"/>
    <row r="1393" customFormat="1" s="34"/>
    <row r="1394" customFormat="1" s="34"/>
    <row r="1395" customFormat="1" s="34"/>
    <row r="1396" customFormat="1" s="34"/>
    <row r="1397" customFormat="1" s="34"/>
    <row r="1398" customFormat="1" s="34"/>
    <row r="1399" customFormat="1" s="34"/>
    <row r="1400" customFormat="1" s="34"/>
    <row r="1401" customFormat="1" s="34"/>
    <row r="1402" customFormat="1" s="34"/>
    <row r="1403" customFormat="1" s="34"/>
    <row r="1404" customFormat="1" s="34"/>
    <row r="1405" customFormat="1" s="34"/>
    <row r="1406" customFormat="1" s="34"/>
    <row r="1407" customFormat="1" s="34"/>
    <row r="1408" customFormat="1" s="34"/>
    <row r="1409" customFormat="1" s="34"/>
    <row r="1410" customFormat="1" s="34"/>
    <row r="1411" customFormat="1" s="34"/>
    <row r="1412" customFormat="1" s="34"/>
    <row r="1413" customFormat="1" s="34"/>
    <row r="1414" customFormat="1" s="34"/>
    <row r="1415" customFormat="1" s="34"/>
    <row r="1416" customFormat="1" s="34"/>
    <row r="1417" customFormat="1" s="34"/>
    <row r="1418" customFormat="1" s="34"/>
    <row r="1419" customFormat="1" s="34"/>
    <row r="1420" customFormat="1" s="34"/>
    <row r="1421" customFormat="1" s="34"/>
    <row r="1422" customFormat="1" s="34"/>
    <row r="1423" customFormat="1" s="34"/>
    <row r="1424" customFormat="1" s="34"/>
    <row r="1425" customFormat="1" s="34"/>
    <row r="1426" customFormat="1" s="34"/>
    <row r="1427" customFormat="1" s="34"/>
    <row r="1428" customFormat="1" s="34"/>
    <row r="1429" customFormat="1" s="34"/>
    <row r="1430" customFormat="1" s="34"/>
    <row r="1431" customFormat="1" s="34"/>
    <row r="1432" customFormat="1" s="34"/>
    <row r="1433" customFormat="1" s="34"/>
    <row r="1434" customFormat="1" s="34"/>
    <row r="1435" customFormat="1" s="34"/>
    <row r="1436" customFormat="1" s="34"/>
    <row r="1437" customFormat="1" s="34"/>
    <row r="1438" customFormat="1" s="34"/>
    <row r="1439" customFormat="1" s="34"/>
    <row r="1440" customFormat="1" s="34"/>
    <row r="1441" customFormat="1" s="34"/>
    <row r="1442" customFormat="1" s="34"/>
    <row r="1443" customFormat="1" s="34"/>
    <row r="1444" customFormat="1" s="34"/>
    <row r="1445" customFormat="1" s="34"/>
    <row r="1446" customFormat="1" s="34"/>
    <row r="1447" customFormat="1" s="34"/>
    <row r="1448" customFormat="1" s="34"/>
    <row r="1449" customFormat="1" s="34"/>
    <row r="1450" customFormat="1" s="34"/>
    <row r="1451" customFormat="1" s="34"/>
    <row r="1452" customFormat="1" s="34"/>
    <row r="1453" customFormat="1" s="34"/>
    <row r="1454" customFormat="1" s="34"/>
    <row r="1455" customFormat="1" s="34"/>
    <row r="1456" customFormat="1" s="34"/>
    <row r="1457" customFormat="1" s="34"/>
    <row r="1458" customFormat="1" s="34"/>
    <row r="1459" customFormat="1" s="34"/>
    <row r="1460" customFormat="1" s="34"/>
    <row r="1461" customFormat="1" s="34"/>
    <row r="1462" customFormat="1" s="34"/>
    <row r="1463" customFormat="1" s="34"/>
    <row r="1464" customFormat="1" s="34"/>
    <row r="1465" customFormat="1" s="34"/>
    <row r="1466" customFormat="1" s="34"/>
    <row r="1467" customFormat="1" s="34"/>
    <row r="1468" customFormat="1" s="34"/>
    <row r="1469" customFormat="1" s="34"/>
    <row r="1470" customFormat="1" s="34"/>
    <row r="1471" customFormat="1" s="34"/>
    <row r="1472" customFormat="1" s="34"/>
    <row r="1473" customFormat="1" s="34"/>
    <row r="1474" customFormat="1" s="34"/>
    <row r="1475" customFormat="1" s="34"/>
    <row r="1476" customFormat="1" s="34"/>
    <row r="1477" customFormat="1" s="34"/>
    <row r="1478" customFormat="1" s="34"/>
    <row r="1479" customFormat="1" s="34"/>
    <row r="1480" customFormat="1" s="34"/>
    <row r="1481" customFormat="1" s="34"/>
    <row r="1482" customFormat="1" s="34"/>
    <row r="1483" customFormat="1" s="34"/>
    <row r="1484" customFormat="1" s="34"/>
    <row r="1485" customFormat="1" s="34"/>
    <row r="1486" customFormat="1" s="34"/>
    <row r="1487" customFormat="1" s="34"/>
    <row r="1488" customFormat="1" s="34"/>
    <row r="1489" customFormat="1" s="34"/>
    <row r="1490" customFormat="1" s="34"/>
    <row r="1491" customFormat="1" s="34"/>
    <row r="1492" customFormat="1" s="34"/>
    <row r="1493" customFormat="1" s="34"/>
    <row r="1494" customFormat="1" s="34"/>
    <row r="1495" customFormat="1" s="34"/>
    <row r="1496" customFormat="1" s="34"/>
    <row r="1497" customFormat="1" s="34"/>
    <row r="1498" customFormat="1" s="34"/>
    <row r="1499" customFormat="1" s="34"/>
    <row r="1500" customFormat="1" s="34"/>
    <row r="1501" customFormat="1" s="34"/>
    <row r="1502" customFormat="1" s="34"/>
    <row r="1503" customFormat="1" s="34"/>
    <row r="1504" customFormat="1" s="34"/>
    <row r="1505" customFormat="1" s="34"/>
    <row r="1506" customFormat="1" s="34"/>
    <row r="1507" customFormat="1" s="34"/>
    <row r="1508" customFormat="1" s="34"/>
    <row r="1509" customFormat="1" s="34"/>
    <row r="1510" customFormat="1" s="34"/>
    <row r="1511" customFormat="1" s="34"/>
    <row r="1512" customFormat="1" s="34"/>
    <row r="1513" customFormat="1" s="34"/>
    <row r="1514" customFormat="1" s="34"/>
    <row r="1515" customFormat="1" s="34"/>
    <row r="1516" customFormat="1" s="34"/>
    <row r="1517" customFormat="1" s="34"/>
    <row r="1518" customFormat="1" s="34"/>
    <row r="1519" customFormat="1" s="34"/>
    <row r="1520" customFormat="1" s="34"/>
    <row r="1521" customFormat="1" s="34"/>
    <row r="1522" customFormat="1" s="34"/>
    <row r="1523" customFormat="1" s="34"/>
    <row r="1524" customFormat="1" s="34"/>
    <row r="1525" customFormat="1" s="34"/>
    <row r="1526" customFormat="1" s="34"/>
    <row r="1527" customFormat="1" s="34"/>
    <row r="1528" customFormat="1" s="34"/>
    <row r="1529" customFormat="1" s="34"/>
    <row r="1530" customFormat="1" s="34"/>
    <row r="1531" customFormat="1" s="34"/>
    <row r="1532" customFormat="1" s="34"/>
    <row r="1533" customFormat="1" s="34"/>
    <row r="1534" customFormat="1" s="34"/>
    <row r="1535" customFormat="1" s="34"/>
    <row r="1536" customFormat="1" s="34"/>
    <row r="1537" customFormat="1" s="34"/>
    <row r="1538" customFormat="1" s="34"/>
    <row r="1539" customFormat="1" s="34"/>
    <row r="1540" customFormat="1" s="34"/>
    <row r="1541" customFormat="1" s="34"/>
    <row r="1542" customFormat="1" s="34"/>
    <row r="1543" customFormat="1" s="34"/>
    <row r="1544" customFormat="1" s="34"/>
    <row r="1545" customFormat="1" s="34"/>
    <row r="1546" customFormat="1" s="34"/>
    <row r="1547" customFormat="1" s="34"/>
    <row r="1548" customFormat="1" s="34"/>
    <row r="1549" customFormat="1" s="34"/>
    <row r="1550" customFormat="1" s="34"/>
    <row r="1551" customFormat="1" s="34"/>
    <row r="1552" customFormat="1" s="34"/>
    <row r="1553" customFormat="1" s="34"/>
    <row r="1554" customFormat="1" s="34"/>
    <row r="1555" customFormat="1" s="34"/>
    <row r="1556" customFormat="1" s="34"/>
    <row r="1557" customFormat="1" s="34"/>
    <row r="1558" customFormat="1" s="34"/>
    <row r="1559" customFormat="1" s="34"/>
    <row r="1560" customFormat="1" s="34"/>
    <row r="1561" customFormat="1" s="34"/>
    <row r="1562" customFormat="1" s="34"/>
    <row r="1563" customFormat="1" s="34"/>
    <row r="1564" customFormat="1" s="34"/>
    <row r="1565" customFormat="1" s="34"/>
    <row r="1566" customFormat="1" s="34"/>
    <row r="1567" customFormat="1" s="34"/>
    <row r="1568" customFormat="1" s="34"/>
    <row r="1569" customFormat="1" s="34"/>
    <row r="1570" customFormat="1" s="34"/>
    <row r="1571" customFormat="1" s="34"/>
    <row r="1572" customFormat="1" s="34"/>
    <row r="1573" customFormat="1" s="34"/>
    <row r="1574" customFormat="1" s="34"/>
    <row r="1575" customFormat="1" s="34"/>
    <row r="1576" customFormat="1" s="34"/>
    <row r="1577" customFormat="1" s="34"/>
    <row r="1578" customFormat="1" s="34"/>
    <row r="1579" customFormat="1" s="34"/>
    <row r="1580" customFormat="1" s="34"/>
    <row r="1581" customFormat="1" s="34"/>
    <row r="1582" customFormat="1" s="34"/>
    <row r="1583" customFormat="1" s="34"/>
    <row r="1584" customFormat="1" s="34"/>
    <row r="1585" customFormat="1" s="34"/>
    <row r="1586" customFormat="1" s="34"/>
    <row r="1587" customFormat="1" s="34"/>
    <row r="1588" customFormat="1" s="34"/>
    <row r="1589" customFormat="1" s="34"/>
    <row r="1590" customFormat="1" s="34"/>
    <row r="1591" customFormat="1" s="34"/>
    <row r="1592" customFormat="1" s="34"/>
    <row r="1593" customFormat="1" s="34"/>
    <row r="1594" customFormat="1" s="34"/>
    <row r="1595" customFormat="1" s="34"/>
    <row r="1596" customFormat="1" s="34"/>
    <row r="1597" customFormat="1" s="34"/>
    <row r="1598" customFormat="1" s="34"/>
    <row r="1599" customFormat="1" s="34"/>
    <row r="1600" customFormat="1" s="34"/>
    <row r="1601" customFormat="1" s="34"/>
    <row r="1602" customFormat="1" s="34"/>
    <row r="1603" customFormat="1" s="34"/>
    <row r="1604" customFormat="1" s="34"/>
    <row r="1605" customFormat="1" s="34"/>
    <row r="1606" customFormat="1" s="34"/>
    <row r="1607" customFormat="1" s="34"/>
    <row r="1608" customFormat="1" s="34"/>
    <row r="1609" customFormat="1" s="34"/>
    <row r="1610" customFormat="1" s="34"/>
    <row r="1611" customFormat="1" s="34"/>
    <row r="1612" customFormat="1" s="34"/>
    <row r="1613" customFormat="1" s="34"/>
    <row r="1614" customFormat="1" s="34"/>
    <row r="1615" customFormat="1" s="34"/>
    <row r="1616" customFormat="1" s="34"/>
    <row r="1617" customFormat="1" s="34"/>
    <row r="1618" customFormat="1" s="34"/>
    <row r="1619" customFormat="1" s="34"/>
    <row r="1620" customFormat="1" s="34"/>
    <row r="1621" customFormat="1" s="34"/>
    <row r="1622" customFormat="1" s="34"/>
    <row r="1623" customFormat="1" s="34"/>
    <row r="1624" customFormat="1" s="34"/>
    <row r="1625" customFormat="1" s="34"/>
    <row r="1626" customFormat="1" s="34"/>
    <row r="1627" customFormat="1" s="34"/>
    <row r="1628" customFormat="1" s="34"/>
    <row r="1629" customFormat="1" s="34"/>
    <row r="1630" customFormat="1" s="34"/>
    <row r="1631" customFormat="1" s="34"/>
    <row r="1632" customFormat="1" s="34"/>
    <row r="1633" customFormat="1" s="34"/>
    <row r="1634" customFormat="1" s="34"/>
    <row r="1635" customFormat="1" s="34"/>
    <row r="1636" customFormat="1" s="34"/>
    <row r="1637" customFormat="1" s="34"/>
    <row r="1638" customFormat="1" s="34"/>
    <row r="1639" customFormat="1" s="34"/>
    <row r="1640" customFormat="1" s="34"/>
    <row r="1641" customFormat="1" s="34"/>
    <row r="1642" customFormat="1" s="34"/>
    <row r="1643" customFormat="1" s="34"/>
    <row r="1644" customFormat="1" s="34"/>
    <row r="1645" customFormat="1" s="34"/>
    <row r="1646" customFormat="1" s="34"/>
    <row r="1647" customFormat="1" s="34"/>
    <row r="1648" customFormat="1" s="34"/>
    <row r="1649" customFormat="1" s="34"/>
    <row r="1650" customFormat="1" s="34"/>
    <row r="1651" customFormat="1" s="34"/>
    <row r="1652" customFormat="1" s="34"/>
    <row r="1653" customFormat="1" s="34"/>
    <row r="1654" customFormat="1" s="34"/>
    <row r="1655" customFormat="1" s="34"/>
    <row r="1656" customFormat="1" s="34"/>
    <row r="1657" customFormat="1" s="34"/>
    <row r="1658" customFormat="1" s="34"/>
    <row r="1659" customFormat="1" s="34"/>
    <row r="1660" customFormat="1" s="34"/>
    <row r="1661" customFormat="1" s="34"/>
    <row r="1662" customFormat="1" s="34"/>
    <row r="1663" customFormat="1" s="34"/>
    <row r="1664" customFormat="1" s="34"/>
    <row r="1665" customFormat="1" s="34"/>
    <row r="1666" customFormat="1" s="34"/>
    <row r="1667" customFormat="1" s="34"/>
    <row r="1668" customFormat="1" s="34"/>
    <row r="1669" customFormat="1" s="34"/>
    <row r="1670" customFormat="1" s="34"/>
    <row r="1671" customFormat="1" s="34"/>
    <row r="1672" customFormat="1" s="34"/>
    <row r="1673" customFormat="1" s="34"/>
    <row r="1674" customFormat="1" s="34"/>
    <row r="1675" customFormat="1" s="34"/>
    <row r="1676" customFormat="1" s="34"/>
    <row r="1677" customFormat="1" s="34"/>
    <row r="1678" customFormat="1" s="34"/>
    <row r="1679" customFormat="1" s="34"/>
    <row r="1680" customFormat="1" s="34"/>
    <row r="1681" customFormat="1" s="34"/>
    <row r="1682" customFormat="1" s="34"/>
    <row r="1683" customFormat="1" s="34"/>
    <row r="1684" customFormat="1" s="34"/>
    <row r="1685" customFormat="1" s="34"/>
    <row r="1686" customFormat="1" s="34"/>
    <row r="1687" customFormat="1" s="34"/>
    <row r="1688" customFormat="1" s="34"/>
    <row r="1689" customFormat="1" s="34"/>
    <row r="1690" customFormat="1" s="34"/>
    <row r="1691" customFormat="1" s="34"/>
    <row r="1692" customFormat="1" s="34"/>
    <row r="1693" customFormat="1" s="34"/>
    <row r="1694" customFormat="1" s="34"/>
    <row r="1695" customFormat="1" s="34"/>
    <row r="1696" customFormat="1" s="34"/>
    <row r="1697" customFormat="1" s="34"/>
    <row r="1698" customFormat="1" s="34"/>
    <row r="1699" customFormat="1" s="34"/>
    <row r="1700" customFormat="1" s="34"/>
    <row r="1701" customFormat="1" s="34"/>
    <row r="1702" customFormat="1" s="34"/>
    <row r="1703" customFormat="1" s="34"/>
    <row r="1704" customFormat="1" s="34"/>
    <row r="1705" customFormat="1" s="34"/>
    <row r="1706" customFormat="1" s="34"/>
    <row r="1707" customFormat="1" s="34"/>
    <row r="1708" customFormat="1" s="34"/>
    <row r="1709" customFormat="1" s="34"/>
    <row r="1710" customFormat="1" s="34"/>
    <row r="1711" customFormat="1" s="34"/>
    <row r="1712" customFormat="1" s="34"/>
    <row r="1713" customFormat="1" s="34"/>
    <row r="1714" customFormat="1" s="34"/>
    <row r="1715" customFormat="1" s="34"/>
    <row r="1716" customFormat="1" s="34"/>
    <row r="1717" customFormat="1" s="34"/>
    <row r="1718" customFormat="1" s="34"/>
    <row r="1719" customFormat="1" s="34"/>
    <row r="1720" customFormat="1" s="34"/>
    <row r="1721" customFormat="1" s="34"/>
    <row r="1722" customFormat="1" s="34"/>
    <row r="1723" customFormat="1" s="34"/>
    <row r="1724" customFormat="1" s="34"/>
    <row r="1725" customFormat="1" s="34"/>
    <row r="1726" customFormat="1" s="34"/>
    <row r="1727" customFormat="1" s="34"/>
    <row r="1728" customFormat="1" s="34"/>
    <row r="1729" customFormat="1" s="34"/>
    <row r="1730" customFormat="1" s="34"/>
    <row r="1731" customFormat="1" s="34"/>
    <row r="1732" customFormat="1" s="34"/>
    <row r="1733" customFormat="1" s="34"/>
    <row r="1734" customFormat="1" s="34"/>
    <row r="1735" customFormat="1" s="34"/>
    <row r="1736" customFormat="1" s="34"/>
    <row r="1737" customFormat="1" s="34"/>
    <row r="1738" customFormat="1" s="34"/>
    <row r="1739" customFormat="1" s="34"/>
    <row r="1740" customFormat="1" s="34"/>
    <row r="1741" customFormat="1" s="34"/>
    <row r="1742" customFormat="1" s="34"/>
    <row r="1743" customFormat="1" s="34"/>
    <row r="1744" customFormat="1" s="34"/>
    <row r="1745" customFormat="1" s="34"/>
    <row r="1746" customFormat="1" s="34"/>
    <row r="1747" customFormat="1" s="34"/>
    <row r="1748" customFormat="1" s="34"/>
    <row r="1749" customFormat="1" s="34"/>
    <row r="1750" customFormat="1" s="34"/>
    <row r="1751" customFormat="1" s="34"/>
    <row r="1752" customFormat="1" s="34"/>
    <row r="1753" customFormat="1" s="34"/>
    <row r="1754" customFormat="1" s="34"/>
    <row r="1755" customFormat="1" s="34"/>
    <row r="1756" customFormat="1" s="34"/>
    <row r="1757" customFormat="1" s="34"/>
    <row r="1758" customFormat="1" s="34"/>
    <row r="1759" customFormat="1" s="34"/>
    <row r="1760" customFormat="1" s="34"/>
    <row r="1761" customFormat="1" s="34"/>
    <row r="1762" customFormat="1" s="34"/>
    <row r="1763" customFormat="1" s="34"/>
    <row r="1764" customFormat="1" s="34"/>
    <row r="1765" customFormat="1" s="34"/>
    <row r="1766" customFormat="1" s="34"/>
    <row r="1767" customFormat="1" s="34"/>
    <row r="1768" customFormat="1" s="34"/>
    <row r="1769" customFormat="1" s="34"/>
    <row r="1770" customFormat="1" s="34"/>
    <row r="1771" customFormat="1" s="34"/>
    <row r="1772" customFormat="1" s="34"/>
    <row r="1773" customFormat="1" s="34"/>
    <row r="1774" customFormat="1" s="34"/>
    <row r="1775" customFormat="1" s="34"/>
    <row r="1776" customFormat="1" s="34"/>
    <row r="1777" customFormat="1" s="34"/>
    <row r="1778" customFormat="1" s="34"/>
    <row r="1779" customFormat="1" s="34"/>
    <row r="1780" customFormat="1" s="34"/>
    <row r="1781" customFormat="1" s="34"/>
    <row r="1782" customFormat="1" s="34"/>
    <row r="1783" customFormat="1" s="34"/>
    <row r="1784" customFormat="1" s="34"/>
    <row r="1785" customFormat="1" s="34"/>
    <row r="1786" customFormat="1" s="34"/>
    <row r="1787" customFormat="1" s="34"/>
    <row r="1788" customFormat="1" s="34"/>
    <row r="1789" customFormat="1" s="34"/>
    <row r="1790" customFormat="1" s="34"/>
    <row r="1791" customFormat="1" s="34"/>
    <row r="1792" customFormat="1" s="34"/>
    <row r="1793" customFormat="1" s="34"/>
    <row r="1794" customFormat="1" s="34"/>
    <row r="1795" customFormat="1" s="34"/>
    <row r="1796" customFormat="1" s="34"/>
    <row r="1797" customFormat="1" s="34"/>
    <row r="1798" customFormat="1" s="34"/>
    <row r="1799" customFormat="1" s="34"/>
    <row r="1800" customFormat="1" s="34"/>
    <row r="1801" customFormat="1" s="34"/>
    <row r="1802" customFormat="1" s="34"/>
    <row r="1803" customFormat="1" s="34"/>
    <row r="1804" customFormat="1" s="34"/>
    <row r="1805" customFormat="1" s="34"/>
    <row r="1806" customFormat="1" s="34"/>
    <row r="1807" customFormat="1" s="34"/>
    <row r="1808" customFormat="1" s="34"/>
    <row r="1809" customFormat="1" s="34"/>
    <row r="1810" customFormat="1" s="34"/>
    <row r="1811" customFormat="1" s="34"/>
    <row r="1812" customFormat="1" s="34"/>
    <row r="1813" customFormat="1" s="34"/>
    <row r="1814" customFormat="1" s="34"/>
    <row r="1815" customFormat="1" s="34"/>
    <row r="1816" customFormat="1" s="34"/>
    <row r="1817" customFormat="1" s="34"/>
    <row r="1818" customFormat="1" s="34"/>
    <row r="1819" customFormat="1" s="34"/>
    <row r="1820" customFormat="1" s="34"/>
    <row r="1821" customFormat="1" s="34"/>
    <row r="1822" customFormat="1" s="34"/>
    <row r="1823" customFormat="1" s="34"/>
    <row r="1824" customFormat="1" s="34"/>
    <row r="1825" customFormat="1" s="34"/>
    <row r="1826" customFormat="1" s="34"/>
    <row r="1827" customFormat="1" s="34"/>
    <row r="1828" customFormat="1" s="34"/>
    <row r="1829" customFormat="1" s="34"/>
    <row r="1830" customFormat="1" s="34"/>
    <row r="1831" customFormat="1" s="34"/>
    <row r="1832" customFormat="1" s="34"/>
    <row r="1833" customFormat="1" s="34"/>
    <row r="1834" customFormat="1" s="34"/>
    <row r="1835" customFormat="1" s="34"/>
    <row r="1836" customFormat="1" s="34"/>
    <row r="1837" customFormat="1" s="34"/>
    <row r="1838" customFormat="1" s="34"/>
    <row r="1839" customFormat="1" s="34"/>
    <row r="1840" customFormat="1" s="34"/>
    <row r="1841" customFormat="1" s="34"/>
    <row r="1842" customFormat="1" s="34"/>
    <row r="1843" customFormat="1" s="34"/>
    <row r="1844" customFormat="1" s="34"/>
    <row r="1845" customFormat="1" s="34"/>
    <row r="1846" customFormat="1" s="34"/>
    <row r="1847" customFormat="1" s="34"/>
    <row r="1848" customFormat="1" s="34"/>
    <row r="1849" customFormat="1" s="34"/>
    <row r="1850" customFormat="1" s="34"/>
    <row r="1851" customFormat="1" s="34"/>
    <row r="1852" customFormat="1" s="34"/>
    <row r="1853" customFormat="1" s="34"/>
    <row r="1854" customFormat="1" s="34"/>
    <row r="1855" customFormat="1" s="34"/>
    <row r="1856" customFormat="1" s="34"/>
    <row r="1857" customFormat="1" s="34"/>
    <row r="1858" customFormat="1" s="34"/>
    <row r="1859" customFormat="1" s="34"/>
    <row r="1860" customFormat="1" s="34"/>
    <row r="1861" customFormat="1" s="34"/>
    <row r="1862" customFormat="1" s="34"/>
    <row r="1863" customFormat="1" s="34"/>
    <row r="1864" customFormat="1" s="34"/>
    <row r="1865" customFormat="1" s="34"/>
    <row r="1866" customFormat="1" s="34"/>
    <row r="1867" customFormat="1" s="34"/>
    <row r="1868" customFormat="1" s="34"/>
    <row r="1869" customFormat="1" s="34"/>
    <row r="1870" customFormat="1" s="34"/>
    <row r="1871" customFormat="1" s="34"/>
    <row r="1872" customFormat="1" s="34"/>
    <row r="1873" customFormat="1" s="34"/>
    <row r="1874" customFormat="1" s="34"/>
    <row r="1875" customFormat="1" s="34"/>
    <row r="1876" customFormat="1" s="34"/>
    <row r="1877" customFormat="1" s="34"/>
    <row r="1878" customFormat="1" s="34"/>
    <row r="1879" customFormat="1" s="34"/>
    <row r="1880" customFormat="1" s="34"/>
    <row r="1881" customFormat="1" s="34"/>
    <row r="1882" customFormat="1" s="34"/>
    <row r="1883" customFormat="1" s="34"/>
    <row r="1884" customFormat="1" s="34"/>
    <row r="1885" customFormat="1" s="34"/>
    <row r="1886" customFormat="1" s="34"/>
    <row r="1887" customFormat="1" s="34"/>
    <row r="1888" customFormat="1" s="34"/>
    <row r="1889" customFormat="1" s="34"/>
    <row r="1890" customFormat="1" s="34"/>
    <row r="1891" customFormat="1" s="34"/>
    <row r="1892" customFormat="1" s="34"/>
    <row r="1893" customFormat="1" s="34"/>
    <row r="1894" customFormat="1" s="34"/>
    <row r="1895" customFormat="1" s="34"/>
    <row r="1896" customFormat="1" s="34"/>
    <row r="1897" customFormat="1" s="34"/>
    <row r="1898" customFormat="1" s="34"/>
    <row r="1899" customFormat="1" s="34"/>
    <row r="1900" customFormat="1" s="34"/>
    <row r="1901" customFormat="1" s="34"/>
    <row r="1902" customFormat="1" s="34"/>
    <row r="1903" customFormat="1" s="34"/>
    <row r="1904" customFormat="1" s="34"/>
    <row r="1905" customFormat="1" s="34"/>
    <row r="1906" customFormat="1" s="34"/>
    <row r="1907" customFormat="1" s="34"/>
    <row r="1908" customFormat="1" s="34"/>
    <row r="1909" customFormat="1" s="34"/>
    <row r="1910" customFormat="1" s="34"/>
    <row r="1911" customFormat="1" s="34"/>
    <row r="1912" customFormat="1" s="34"/>
    <row r="1913" customFormat="1" s="34"/>
    <row r="1914" customFormat="1" s="34"/>
    <row r="1915" customFormat="1" s="34"/>
    <row r="1916" customFormat="1" s="34"/>
    <row r="1917" customFormat="1" s="34"/>
    <row r="1918" customFormat="1" s="34"/>
    <row r="1919" customFormat="1" s="34"/>
    <row r="1920" customFormat="1" s="34"/>
    <row r="1921" customFormat="1" s="34"/>
    <row r="1922" customFormat="1" s="34"/>
    <row r="1923" customFormat="1" s="34"/>
    <row r="1924" customFormat="1" s="34"/>
    <row r="1925" customFormat="1" s="34"/>
    <row r="1926" customFormat="1" s="34"/>
    <row r="1927" customFormat="1" s="34"/>
    <row r="1928" customFormat="1" s="34"/>
    <row r="1929" customFormat="1" s="34"/>
    <row r="1930" customFormat="1" s="34"/>
    <row r="1931" customFormat="1" s="34"/>
    <row r="1932" customFormat="1" s="34"/>
    <row r="1933" customFormat="1" s="34"/>
    <row r="1934" customFormat="1" s="34"/>
    <row r="1935" customFormat="1" s="34"/>
    <row r="1936" customFormat="1" s="34"/>
    <row r="1937" customFormat="1" s="34"/>
    <row r="1938" customFormat="1" s="34"/>
    <row r="1939" customFormat="1" s="34"/>
    <row r="1940" customFormat="1" s="34"/>
    <row r="1941" customFormat="1" s="34"/>
    <row r="1942" customFormat="1" s="34"/>
    <row r="1943" customFormat="1" s="34"/>
    <row r="1944" customFormat="1" s="34"/>
    <row r="1945" customFormat="1" s="34"/>
    <row r="1946" customFormat="1" s="34"/>
    <row r="1947" customFormat="1" s="34"/>
    <row r="1948" customFormat="1" s="34"/>
    <row r="1949" customFormat="1" s="34"/>
    <row r="1950" customFormat="1" s="34"/>
    <row r="1951" customFormat="1" s="34"/>
    <row r="1952" customFormat="1" s="34"/>
    <row r="1953" customFormat="1" s="34"/>
    <row r="1954" customFormat="1" s="34"/>
    <row r="1955" customFormat="1" s="34"/>
    <row r="1956" customFormat="1" s="34"/>
    <row r="1957" customFormat="1" s="34"/>
    <row r="1958" customFormat="1" s="34"/>
    <row r="1959" customFormat="1" s="34"/>
    <row r="1960" customFormat="1" s="34"/>
    <row r="1961" customFormat="1" s="34"/>
    <row r="1962" customFormat="1" s="34"/>
    <row r="1963" customFormat="1" s="34"/>
    <row r="1964" customFormat="1" s="34"/>
    <row r="1965" customFormat="1" s="34"/>
    <row r="1966" customFormat="1" s="34"/>
    <row r="1967" customFormat="1" s="34"/>
    <row r="1968" customFormat="1" s="34"/>
    <row r="1969" customFormat="1" s="34"/>
    <row r="1970" customFormat="1" s="34"/>
    <row r="1971" customFormat="1" s="34"/>
    <row r="1972" customFormat="1" s="34"/>
    <row r="1973" customFormat="1" s="34"/>
    <row r="1974" customFormat="1" s="34"/>
    <row r="1975" customFormat="1" s="34"/>
    <row r="1976" customFormat="1" s="34"/>
    <row r="1977" customFormat="1" s="34"/>
    <row r="1978" customFormat="1" s="34"/>
    <row r="1979" customFormat="1" s="34"/>
    <row r="1980" customFormat="1" s="34"/>
    <row r="1981" customFormat="1" s="34"/>
    <row r="1982" customFormat="1" s="34"/>
    <row r="1983" customFormat="1" s="34"/>
    <row r="1984" customFormat="1" s="34"/>
    <row r="1985" customFormat="1" s="34"/>
    <row r="1986" customFormat="1" s="34"/>
    <row r="1987" customFormat="1" s="34"/>
    <row r="1988" customFormat="1" s="34"/>
    <row r="1989" customFormat="1" s="34"/>
    <row r="1990" customFormat="1" s="34"/>
    <row r="1991" customFormat="1" s="34"/>
    <row r="1992" customFormat="1" s="34"/>
    <row r="1993" customFormat="1" s="34"/>
    <row r="1994" customFormat="1" s="34"/>
    <row r="1995" customFormat="1" s="34"/>
    <row r="1996" customFormat="1" s="34"/>
    <row r="1997" customFormat="1" s="34"/>
    <row r="1998" customFormat="1" s="34"/>
    <row r="1999" customFormat="1" s="34"/>
    <row r="2000" customFormat="1" s="34"/>
    <row r="262083">
      <c r="B262083" s="66"/>
      <c r="G262083" s="66"/>
    </row>
    <row r="262084">
      <c r="B262084" s="66"/>
      <c r="G262084" s="66"/>
    </row>
  </sheetData>
  <autoFilter ref="A1:W87"/>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X1"/>
  <sheetViews>
    <sheetView workbookViewId="0"/>
  </sheetViews>
  <sheetFormatPr defaultRowHeight="14.0" customHeight="1"/>
  <cols>
    <col min="1" max="1" style="34" width="10.2"/>
    <col min="2" max="2" style="34" width="9.0"/>
    <col min="3" max="3" style="34" width="12.18"/>
    <col min="4" max="4" style="34" width="38.82"/>
    <col min="5" max="6" style="34" width="13.24"/>
    <col min="7" max="7" style="34" width="62.14"/>
    <col min="8" max="8" style="34" width="53.92"/>
    <col min="9" max="10" style="34" width="13.24"/>
    <col min="11" max="11" style="34" width="16.42"/>
    <col min="12" max="12" style="34" width="13.64"/>
    <col min="13" max="13" style="34" width="27.82"/>
    <col min="14" max="14" style="34" width="21.33"/>
    <col min="15" max="15" style="34" width="16.69"/>
    <col min="16" max="19" style="34" width="13.24"/>
    <col min="20" max="20" style="34" width="49.42"/>
    <col min="21" max="21" style="34" width="51.8"/>
    <col min="22" max="22" style="34" width="36.3"/>
    <col min="23" max="23" style="34" width="51.8"/>
    <col min="24" max="24" style="34" width="37.09"/>
    <col min="25" max="2048" style="34" width="13.24"/>
  </cols>
  <sheetData>
    <row r="1" ht="27.0">
      <c r="A1" s="35" t="s">
        <v>41</v>
      </c>
      <c r="B1" s="35" t="s">
        <v>31</v>
      </c>
      <c r="C1" s="35" t="s">
        <v>42</v>
      </c>
      <c r="D1" s="35" t="s">
        <v>43</v>
      </c>
      <c r="E1" s="35" t="s">
        <v>44</v>
      </c>
      <c r="F1" s="35" t="s">
        <v>45</v>
      </c>
      <c r="G1" s="35" t="s">
        <v>46</v>
      </c>
      <c r="H1" s="35" t="s">
        <v>47</v>
      </c>
      <c r="I1" s="35" t="s">
        <v>48</v>
      </c>
      <c r="J1" s="35" t="s">
        <v>49</v>
      </c>
      <c r="K1" s="35" t="s">
        <v>50</v>
      </c>
      <c r="L1" s="35" t="s">
        <v>51</v>
      </c>
      <c r="M1" s="35" t="s">
        <v>52</v>
      </c>
      <c r="N1" s="35" t="s">
        <v>53</v>
      </c>
      <c r="O1" s="35" t="s">
        <v>54</v>
      </c>
      <c r="P1" s="35" t="s">
        <v>55</v>
      </c>
      <c r="Q1" s="35" t="s">
        <v>56</v>
      </c>
      <c r="R1" s="35" t="s">
        <v>57</v>
      </c>
      <c r="S1" s="35" t="s">
        <v>58</v>
      </c>
      <c r="T1" s="35" t="s">
        <v>59</v>
      </c>
      <c r="U1" s="35" t="s">
        <v>60</v>
      </c>
      <c r="V1" s="35" t="s">
        <v>61</v>
      </c>
      <c r="W1" s="35" t="s">
        <v>52</v>
      </c>
      <c r="X1" s="78" t="s">
        <v>62</v>
      </c>
    </row>
    <row r="2">
      <c r="A2" s="36"/>
      <c r="B2" s="34"/>
      <c r="C2" s="34"/>
      <c r="D2" s="37"/>
      <c r="K2" s="34"/>
      <c r="M2" s="34"/>
      <c r="N2" s="34"/>
      <c r="O2" s="34"/>
      <c r="P2" s="34"/>
      <c r="S2" s="40"/>
      <c r="X2" s="79"/>
    </row>
    <row r="3">
      <c r="A3" s="36"/>
      <c r="B3" s="34"/>
      <c r="C3" s="34"/>
      <c r="D3" s="37"/>
      <c r="K3" s="34"/>
      <c r="M3" s="34"/>
      <c r="N3" s="34"/>
      <c r="O3" s="34"/>
      <c r="P3" s="34"/>
      <c r="S3" s="40"/>
    </row>
    <row r="4">
      <c r="A4" s="36"/>
      <c r="B4" s="34"/>
      <c r="C4" s="34"/>
      <c r="D4" s="37"/>
      <c r="K4" s="34"/>
      <c r="M4" s="34"/>
      <c r="N4" s="34"/>
      <c r="O4" s="34"/>
      <c r="P4" s="34"/>
      <c r="S4" s="40"/>
    </row>
    <row r="5">
      <c r="A5" s="36"/>
      <c r="B5" s="34"/>
      <c r="C5" s="34"/>
      <c r="D5" s="37"/>
      <c r="K5" s="34"/>
      <c r="M5" s="34"/>
      <c r="N5" s="34"/>
      <c r="O5" s="34"/>
      <c r="P5" s="34"/>
      <c r="S5" s="40"/>
    </row>
    <row r="6">
      <c r="A6" s="36"/>
      <c r="B6" s="34"/>
      <c r="C6" s="34"/>
      <c r="D6" s="37"/>
      <c r="K6" s="34"/>
      <c r="M6" s="34"/>
      <c r="N6" s="34"/>
      <c r="O6" s="34"/>
      <c r="P6" s="34"/>
      <c r="S6" s="40"/>
    </row>
    <row r="7">
      <c r="A7" s="36"/>
      <c r="B7" s="34"/>
      <c r="C7" s="34"/>
      <c r="D7" s="37"/>
      <c r="G7" s="42"/>
      <c r="K7" s="34"/>
      <c r="M7" s="34"/>
      <c r="N7" s="34"/>
      <c r="O7" s="34"/>
      <c r="P7" s="34"/>
      <c r="S7" s="40"/>
    </row>
    <row r="8">
      <c r="A8" s="36"/>
      <c r="B8" s="34"/>
      <c r="C8" s="34"/>
      <c r="D8" s="37"/>
      <c r="G8" s="42"/>
      <c r="K8" s="34"/>
      <c r="M8" s="34"/>
      <c r="N8" s="34"/>
      <c r="O8" s="34"/>
      <c r="P8" s="34"/>
      <c r="Q8" s="54"/>
      <c r="S8" s="40"/>
    </row>
    <row r="9">
      <c r="A9" s="36"/>
      <c r="B9" s="34"/>
      <c r="C9" s="34"/>
      <c r="D9" s="37"/>
      <c r="G9" s="42"/>
      <c r="K9" s="34"/>
      <c r="M9" s="34"/>
      <c r="N9" s="34"/>
      <c r="O9" s="34"/>
      <c r="P9" s="34"/>
      <c r="Q9" s="54"/>
      <c r="S9" s="40"/>
    </row>
    <row r="10">
      <c r="A10" s="36"/>
      <c r="B10" s="34"/>
      <c r="C10" s="34"/>
      <c r="D10" s="37"/>
      <c r="K10" s="34"/>
      <c r="M10" s="34"/>
      <c r="N10" s="34"/>
      <c r="O10" s="34"/>
      <c r="P10" s="34"/>
      <c r="Q10" s="43"/>
      <c r="S10" s="40"/>
    </row>
    <row r="11">
      <c r="A11" s="36"/>
      <c r="B11" s="34"/>
      <c r="C11" s="34"/>
      <c r="D11" s="37"/>
      <c r="G11" s="42"/>
      <c r="K11" s="34"/>
      <c r="M11" s="34"/>
      <c r="N11" s="34"/>
      <c r="O11" s="34"/>
      <c r="P11" s="34"/>
      <c r="S11" s="40"/>
    </row>
    <row r="12" customFormat="1" s="34">
      <c r="A12" s="36"/>
      <c r="B12" s="34"/>
      <c r="C12" s="34"/>
      <c r="D12" s="37"/>
      <c r="K12" s="34"/>
      <c r="M12" s="34"/>
      <c r="N12" s="34"/>
      <c r="O12" s="34"/>
      <c r="P12" s="34"/>
      <c r="S12" s="40"/>
    </row>
    <row r="13" customFormat="1" s="34">
      <c r="A13" s="36"/>
      <c r="B13" s="34"/>
      <c r="C13" s="34"/>
      <c r="D13" s="37"/>
      <c r="K13" s="34"/>
      <c r="M13" s="34"/>
      <c r="N13" s="34"/>
      <c r="O13" s="34"/>
      <c r="P13" s="34"/>
      <c r="S13" s="40"/>
    </row>
    <row r="14" customFormat="1" s="34">
      <c r="A14" s="36"/>
      <c r="B14" s="34"/>
      <c r="C14" s="34"/>
      <c r="K14" s="34"/>
      <c r="M14" s="34"/>
      <c r="N14" s="34"/>
      <c r="O14" s="34"/>
      <c r="P14" s="34"/>
      <c r="S14" s="40"/>
    </row>
    <row r="15" customFormat="1" s="34">
      <c r="A15" s="36"/>
      <c r="B15" s="34"/>
      <c r="C15" s="34"/>
      <c r="D15" s="37"/>
      <c r="K15" s="34"/>
      <c r="M15" s="34"/>
      <c r="N15" s="34"/>
      <c r="O15" s="34"/>
      <c r="P15" s="34"/>
      <c r="S15" s="40"/>
    </row>
    <row r="16" customFormat="1" s="34">
      <c r="A16" s="36"/>
      <c r="B16" s="34"/>
      <c r="C16" s="34"/>
      <c r="D16" s="37"/>
      <c r="K16" s="34"/>
      <c r="M16" s="34"/>
      <c r="N16" s="34"/>
      <c r="O16" s="34"/>
      <c r="P16" s="34"/>
      <c r="S16" s="40"/>
    </row>
    <row r="17" customFormat="1" s="34">
      <c r="A17" s="36"/>
      <c r="B17" s="34"/>
      <c r="C17" s="34"/>
      <c r="D17" s="37"/>
      <c r="K17" s="34"/>
      <c r="M17" s="34"/>
      <c r="N17" s="34"/>
      <c r="O17" s="34"/>
      <c r="P17" s="34"/>
      <c r="S17" s="40"/>
    </row>
    <row r="18" customFormat="1" s="34">
      <c r="A18" s="36"/>
      <c r="B18" s="34"/>
      <c r="C18" s="34"/>
      <c r="D18" s="37"/>
      <c r="K18" s="34"/>
      <c r="M18" s="34"/>
      <c r="N18" s="34"/>
      <c r="O18" s="34"/>
      <c r="P18" s="34"/>
      <c r="S18" s="40"/>
    </row>
    <row r="19">
      <c r="A19" s="36"/>
      <c r="B19" s="34"/>
      <c r="C19" s="34"/>
      <c r="D19" s="37"/>
      <c r="K19" s="34"/>
      <c r="M19" s="34"/>
      <c r="N19" s="34"/>
      <c r="O19" s="34"/>
      <c r="P19" s="34"/>
      <c r="Q19" s="43"/>
      <c r="S19" s="40"/>
    </row>
    <row r="20" customFormat="1" s="34">
      <c r="A20" s="36"/>
      <c r="B20" s="34"/>
      <c r="C20" s="34"/>
      <c r="D20" s="37"/>
      <c r="K20" s="34"/>
      <c r="M20" s="34"/>
      <c r="N20" s="34"/>
      <c r="O20" s="34"/>
      <c r="P20" s="34"/>
      <c r="S20" s="40"/>
    </row>
    <row r="21" customFormat="1" s="34">
      <c r="A21" s="36"/>
      <c r="B21" s="34"/>
      <c r="C21" s="34"/>
      <c r="D21" s="37"/>
      <c r="K21" s="34"/>
      <c r="M21" s="34"/>
      <c r="N21" s="34"/>
      <c r="O21" s="34"/>
      <c r="P21" s="34"/>
      <c r="S21" s="40"/>
    </row>
    <row r="22" customFormat="1" s="34">
      <c r="A22" s="36"/>
      <c r="B22" s="34"/>
      <c r="C22" s="34"/>
      <c r="D22" s="37"/>
      <c r="K22" s="34"/>
      <c r="M22" s="34"/>
      <c r="N22" s="34"/>
      <c r="O22" s="34"/>
      <c r="P22" s="34"/>
      <c r="S22" s="40"/>
    </row>
    <row r="23" customFormat="1" s="34">
      <c r="A23" s="36"/>
      <c r="B23" s="34"/>
      <c r="C23" s="34"/>
      <c r="D23" s="59"/>
      <c r="K23" s="34"/>
      <c r="M23" s="34"/>
      <c r="N23" s="34"/>
      <c r="O23" s="34"/>
      <c r="P23" s="34"/>
      <c r="S23" s="40"/>
    </row>
    <row r="24" customFormat="1" s="34">
      <c r="A24" s="36"/>
      <c r="B24" s="34"/>
      <c r="C24" s="34"/>
      <c r="D24" s="37"/>
      <c r="K24" s="34"/>
      <c r="M24" s="34"/>
      <c r="N24" s="34"/>
      <c r="O24" s="34"/>
      <c r="P24" s="34"/>
      <c r="S24" s="40"/>
    </row>
    <row r="25" customFormat="1" s="34">
      <c r="A25" s="36"/>
      <c r="B25" s="34"/>
      <c r="C25" s="34"/>
      <c r="D25" s="37"/>
      <c r="K25" s="34"/>
      <c r="M25" s="34"/>
      <c r="N25" s="34"/>
      <c r="O25" s="34"/>
      <c r="P25" s="34"/>
      <c r="S25" s="40"/>
    </row>
    <row r="26" customFormat="1" s="34">
      <c r="A26" s="36"/>
      <c r="B26" s="34"/>
      <c r="C26" s="34"/>
      <c r="D26" s="37"/>
      <c r="K26" s="34"/>
      <c r="M26" s="34"/>
      <c r="N26" s="34"/>
      <c r="O26" s="34"/>
      <c r="P26" s="34"/>
      <c r="S26" s="40"/>
    </row>
    <row r="27" customFormat="1" s="34">
      <c r="A27" s="36"/>
      <c r="B27" s="34"/>
      <c r="C27" s="34"/>
      <c r="D27" s="37"/>
      <c r="K27" s="34"/>
      <c r="M27" s="34"/>
      <c r="N27" s="34"/>
      <c r="O27" s="34"/>
      <c r="P27" s="34"/>
      <c r="S27" s="40"/>
    </row>
    <row r="28" customFormat="1" s="34">
      <c r="A28" s="36"/>
      <c r="B28" s="34"/>
      <c r="C28" s="34"/>
      <c r="D28" s="37"/>
      <c r="K28" s="34"/>
      <c r="M28" s="34"/>
      <c r="N28" s="34"/>
      <c r="O28" s="34"/>
      <c r="P28" s="34"/>
      <c r="S28" s="40"/>
    </row>
    <row r="29" customFormat="1" s="34">
      <c r="A29" s="36"/>
      <c r="B29" s="34"/>
      <c r="C29" s="34"/>
      <c r="D29" s="37"/>
      <c r="K29" s="34"/>
      <c r="M29" s="34"/>
      <c r="N29" s="34"/>
      <c r="O29" s="34"/>
      <c r="P29" s="34"/>
      <c r="S29" s="40"/>
    </row>
    <row r="30" customFormat="1" s="34">
      <c r="A30" s="36"/>
      <c r="B30" s="34"/>
      <c r="C30" s="34"/>
      <c r="D30" s="37"/>
      <c r="K30" s="34"/>
      <c r="M30" s="34"/>
      <c r="N30" s="34"/>
      <c r="O30" s="34"/>
      <c r="P30" s="34"/>
      <c r="S30" s="40"/>
    </row>
    <row r="31" customFormat="1" s="34">
      <c r="A31" s="36"/>
      <c r="B31" s="34"/>
      <c r="C31" s="34"/>
      <c r="D31" s="37"/>
      <c r="K31" s="34"/>
      <c r="M31" s="34"/>
      <c r="N31" s="34"/>
      <c r="O31" s="34"/>
      <c r="P31" s="34"/>
      <c r="S31" s="40"/>
    </row>
    <row r="32" customFormat="1" s="34">
      <c r="A32" s="36"/>
      <c r="B32" s="34"/>
      <c r="C32" s="34"/>
      <c r="D32" s="37"/>
      <c r="K32" s="34"/>
      <c r="M32" s="34"/>
      <c r="N32" s="34"/>
      <c r="O32" s="34"/>
      <c r="P32" s="34"/>
      <c r="S32" s="40"/>
    </row>
    <row r="33" customFormat="1" s="34">
      <c r="A33" s="36"/>
      <c r="B33" s="34"/>
      <c r="C33" s="34"/>
      <c r="D33" s="37"/>
      <c r="K33" s="34"/>
      <c r="M33" s="34"/>
      <c r="N33" s="34"/>
      <c r="O33" s="34"/>
      <c r="P33" s="34"/>
      <c r="S33" s="40"/>
    </row>
    <row r="34" customFormat="1" s="34">
      <c r="A34" s="36"/>
      <c r="B34" s="34"/>
      <c r="C34" s="34"/>
      <c r="D34" s="37"/>
      <c r="K34" s="34"/>
      <c r="M34" s="34"/>
      <c r="N34" s="34"/>
      <c r="O34" s="34"/>
      <c r="P34" s="34"/>
      <c r="S34" s="40"/>
    </row>
    <row r="35" customFormat="1" s="34">
      <c r="A35" s="36"/>
      <c r="B35" s="34"/>
      <c r="C35" s="34"/>
      <c r="D35" s="37"/>
      <c r="K35" s="34"/>
      <c r="M35" s="34"/>
      <c r="N35" s="34"/>
      <c r="O35" s="34"/>
      <c r="P35" s="34"/>
      <c r="S35" s="40"/>
    </row>
    <row r="36" customFormat="1" s="34">
      <c r="A36" s="36"/>
      <c r="B36" s="34"/>
      <c r="C36" s="34"/>
      <c r="D36" s="37"/>
      <c r="K36" s="34"/>
      <c r="M36" s="34"/>
      <c r="N36" s="34"/>
      <c r="O36" s="34"/>
      <c r="P36" s="34"/>
      <c r="S36" s="40"/>
    </row>
    <row r="37" customFormat="1" s="34">
      <c r="A37" s="36"/>
      <c r="B37" s="34"/>
      <c r="C37" s="34"/>
      <c r="D37" s="37"/>
      <c r="K37" s="34"/>
      <c r="M37" s="34"/>
      <c r="N37" s="34"/>
      <c r="O37" s="34"/>
      <c r="P37" s="34"/>
      <c r="S37" s="40"/>
    </row>
    <row r="38" customFormat="1" s="34">
      <c r="A38" s="36"/>
      <c r="B38" s="34"/>
      <c r="C38" s="34"/>
      <c r="D38" s="37"/>
      <c r="K38" s="34"/>
      <c r="M38" s="34"/>
      <c r="N38" s="34"/>
      <c r="O38" s="34"/>
      <c r="P38" s="34"/>
      <c r="S38" s="40"/>
    </row>
    <row r="39" customFormat="1" s="34">
      <c r="A39" s="36"/>
      <c r="B39" s="34"/>
      <c r="C39" s="34"/>
      <c r="D39" s="37"/>
      <c r="K39" s="34"/>
      <c r="M39" s="34"/>
      <c r="N39" s="34"/>
      <c r="O39" s="34"/>
      <c r="P39" s="34"/>
      <c r="S39" s="40"/>
    </row>
    <row r="40" customFormat="1" s="34">
      <c r="A40" s="36"/>
      <c r="B40" s="34"/>
      <c r="C40" s="34"/>
      <c r="D40" s="37"/>
      <c r="K40" s="34"/>
      <c r="M40" s="34"/>
      <c r="N40" s="34"/>
      <c r="O40" s="34"/>
      <c r="P40" s="34"/>
      <c r="S40" s="40"/>
    </row>
    <row r="41" customFormat="1" s="34">
      <c r="A41" s="36"/>
      <c r="B41" s="34"/>
      <c r="C41" s="34"/>
      <c r="D41" s="37"/>
      <c r="K41" s="34"/>
      <c r="M41" s="34"/>
      <c r="N41" s="34"/>
      <c r="O41" s="34"/>
      <c r="P41" s="34"/>
      <c r="S41" s="40"/>
    </row>
    <row r="42" customFormat="1" s="34">
      <c r="A42" s="36"/>
      <c r="B42" s="34"/>
      <c r="C42" s="34"/>
      <c r="D42" s="37"/>
      <c r="K42" s="34"/>
      <c r="M42" s="34"/>
      <c r="N42" s="34"/>
      <c r="O42" s="34"/>
      <c r="P42" s="34"/>
      <c r="S42" s="40"/>
    </row>
    <row r="43" customFormat="1" s="34">
      <c r="A43" s="36"/>
      <c r="B43" s="34"/>
      <c r="C43" s="34"/>
      <c r="D43" s="37"/>
      <c r="K43" s="34"/>
      <c r="M43" s="34"/>
      <c r="N43" s="34"/>
      <c r="O43" s="34"/>
      <c r="P43" s="34"/>
      <c r="S43" s="40"/>
    </row>
    <row r="44" customFormat="1" s="34">
      <c r="A44" s="36"/>
      <c r="B44" s="34"/>
      <c r="C44" s="34"/>
      <c r="D44" s="37"/>
      <c r="K44" s="34"/>
      <c r="M44" s="34"/>
      <c r="N44" s="34"/>
      <c r="O44" s="34"/>
      <c r="P44" s="34"/>
      <c r="S44" s="40"/>
    </row>
    <row r="45" customFormat="1" s="34">
      <c r="A45" s="36"/>
      <c r="B45" s="34"/>
      <c r="C45" s="34"/>
      <c r="D45" s="37"/>
      <c r="K45" s="34"/>
      <c r="M45" s="34"/>
      <c r="N45" s="34"/>
      <c r="O45" s="34"/>
      <c r="P45" s="34"/>
      <c r="S45" s="40"/>
    </row>
    <row r="46" customFormat="1" s="34">
      <c r="A46" s="36"/>
      <c r="B46" s="34"/>
      <c r="C46" s="34"/>
      <c r="D46" s="37"/>
      <c r="K46" s="34"/>
      <c r="M46" s="34"/>
      <c r="N46" s="34"/>
      <c r="O46" s="34"/>
      <c r="P46" s="34"/>
      <c r="S46" s="40"/>
    </row>
    <row r="47" customFormat="1" s="34">
      <c r="A47" s="36"/>
      <c r="B47" s="34"/>
      <c r="C47" s="34"/>
      <c r="D47" s="37"/>
      <c r="K47" s="34"/>
      <c r="M47" s="34"/>
      <c r="N47" s="34"/>
      <c r="O47" s="34"/>
      <c r="P47" s="34"/>
      <c r="S47" s="40"/>
    </row>
    <row r="48" customFormat="1" s="34">
      <c r="A48" s="36"/>
      <c r="B48" s="34"/>
      <c r="C48" s="34"/>
      <c r="D48" s="37"/>
      <c r="K48" s="34"/>
      <c r="M48" s="34"/>
      <c r="N48" s="34"/>
      <c r="O48" s="34"/>
      <c r="P48" s="34"/>
      <c r="S48" s="40"/>
    </row>
    <row r="49" customFormat="1" s="34">
      <c r="A49" s="36"/>
      <c r="B49" s="34"/>
      <c r="C49" s="34"/>
      <c r="D49" s="37"/>
      <c r="K49" s="34"/>
      <c r="M49" s="34"/>
      <c r="N49" s="34"/>
      <c r="O49" s="34"/>
      <c r="P49" s="34"/>
      <c r="S49" s="40"/>
    </row>
    <row r="50" customFormat="1" s="34">
      <c r="A50" s="36"/>
      <c r="B50" s="34"/>
      <c r="C50" s="34"/>
      <c r="D50" s="37"/>
      <c r="K50" s="34"/>
      <c r="M50" s="34"/>
      <c r="N50" s="34"/>
      <c r="O50" s="34"/>
      <c r="P50" s="34"/>
      <c r="S50" s="40"/>
    </row>
    <row r="51" customFormat="1" s="34">
      <c r="A51" s="36"/>
      <c r="B51" s="34"/>
      <c r="C51" s="34"/>
      <c r="D51" s="37"/>
      <c r="K51" s="34"/>
      <c r="M51" s="34"/>
      <c r="N51" s="34"/>
      <c r="O51" s="34"/>
      <c r="P51" s="34"/>
      <c r="S51" s="40"/>
    </row>
    <row r="52" customFormat="1" s="34">
      <c r="A52" s="36"/>
      <c r="B52" s="34"/>
      <c r="C52" s="34"/>
      <c r="D52" s="37"/>
      <c r="K52" s="34"/>
      <c r="M52" s="34"/>
      <c r="N52" s="34"/>
      <c r="O52" s="34"/>
      <c r="P52" s="34"/>
      <c r="S52" s="40"/>
    </row>
    <row r="53" customFormat="1" s="34">
      <c r="A53" s="36"/>
      <c r="B53" s="34"/>
      <c r="C53" s="34"/>
      <c r="D53" s="37"/>
      <c r="K53" s="34"/>
      <c r="M53" s="34"/>
      <c r="N53" s="34"/>
      <c r="O53" s="34"/>
      <c r="P53" s="34"/>
      <c r="S53" s="40"/>
    </row>
    <row r="54" customFormat="1" s="34">
      <c r="A54" s="36"/>
      <c r="B54" s="34"/>
      <c r="C54" s="34"/>
      <c r="D54" s="37"/>
      <c r="K54" s="34"/>
      <c r="M54" s="34"/>
      <c r="N54" s="34"/>
      <c r="O54" s="34"/>
      <c r="P54" s="34"/>
      <c r="S54" s="40"/>
    </row>
    <row r="55" customFormat="1" s="34">
      <c r="A55" s="36"/>
      <c r="B55" s="34"/>
      <c r="C55" s="34"/>
      <c r="D55" s="37"/>
      <c r="K55" s="34"/>
      <c r="M55" s="34"/>
      <c r="N55" s="34"/>
      <c r="O55" s="34"/>
      <c r="P55" s="34"/>
      <c r="S55" s="40"/>
    </row>
    <row r="56" customFormat="1" s="34">
      <c r="A56" s="36"/>
      <c r="B56" s="34"/>
      <c r="C56" s="34"/>
      <c r="D56" s="37"/>
      <c r="K56" s="34"/>
      <c r="M56" s="34"/>
      <c r="N56" s="34"/>
      <c r="O56" s="34"/>
      <c r="P56" s="34"/>
      <c r="S56" s="40"/>
    </row>
    <row r="57" customFormat="1" s="34">
      <c r="A57" s="36"/>
      <c r="B57" s="34"/>
      <c r="C57" s="34"/>
      <c r="D57" s="37"/>
      <c r="K57" s="34"/>
      <c r="M57" s="34"/>
      <c r="N57" s="34"/>
      <c r="O57" s="34"/>
      <c r="P57" s="34"/>
      <c r="S57" s="40"/>
    </row>
    <row r="58" customFormat="1" s="34">
      <c r="A58" s="36"/>
      <c r="B58" s="34"/>
      <c r="C58" s="34"/>
      <c r="D58" s="37"/>
      <c r="K58" s="34"/>
      <c r="M58" s="34"/>
      <c r="N58" s="34"/>
      <c r="O58" s="34"/>
      <c r="P58" s="34"/>
      <c r="S58" s="40"/>
    </row>
    <row r="59" customFormat="1" s="34">
      <c r="A59" s="36"/>
      <c r="B59" s="34"/>
      <c r="C59" s="34"/>
      <c r="D59" s="37"/>
      <c r="K59" s="34"/>
      <c r="M59" s="34"/>
      <c r="N59" s="34"/>
      <c r="O59" s="34"/>
      <c r="P59" s="34"/>
      <c r="S59" s="40"/>
    </row>
    <row r="60" customFormat="1" s="34">
      <c r="A60" s="36"/>
      <c r="B60" s="34"/>
      <c r="C60" s="34"/>
      <c r="D60" s="37"/>
      <c r="K60" s="34"/>
      <c r="M60" s="34"/>
      <c r="N60" s="34"/>
      <c r="O60" s="34"/>
      <c r="P60" s="34"/>
      <c r="S60" s="40"/>
    </row>
    <row r="61" customFormat="1" s="34">
      <c r="A61" s="36"/>
      <c r="B61" s="34"/>
      <c r="C61" s="34"/>
      <c r="D61" s="37"/>
      <c r="K61" s="34"/>
      <c r="M61" s="34"/>
      <c r="N61" s="34"/>
      <c r="O61" s="34"/>
      <c r="P61" s="34"/>
      <c r="S61" s="40"/>
    </row>
    <row r="62" customFormat="1" s="34">
      <c r="A62" s="36"/>
      <c r="B62" s="34"/>
      <c r="C62" s="34"/>
      <c r="D62" s="37"/>
      <c r="K62" s="34"/>
      <c r="M62" s="34"/>
      <c r="N62" s="34"/>
      <c r="O62" s="34"/>
      <c r="P62" s="34"/>
      <c r="S62" s="40"/>
    </row>
    <row r="63" customFormat="1" s="34">
      <c r="A63" s="36"/>
      <c r="B63" s="34"/>
      <c r="C63" s="34"/>
      <c r="D63" s="37"/>
      <c r="K63" s="34"/>
      <c r="M63" s="34"/>
      <c r="N63" s="34"/>
      <c r="O63" s="34"/>
      <c r="P63" s="34"/>
      <c r="S63" s="40"/>
    </row>
    <row r="64" customFormat="1" s="34">
      <c r="A64" s="36"/>
      <c r="B64" s="34"/>
      <c r="C64" s="34"/>
      <c r="D64" s="37"/>
      <c r="K64" s="34"/>
      <c r="M64" s="34"/>
      <c r="N64" s="34"/>
      <c r="O64" s="34"/>
      <c r="P64" s="34"/>
      <c r="S64" s="40"/>
    </row>
    <row r="65" customFormat="1" s="34">
      <c r="A65" s="36"/>
      <c r="B65" s="34"/>
      <c r="C65" s="34"/>
      <c r="D65" s="37"/>
      <c r="K65" s="34"/>
      <c r="M65" s="34"/>
      <c r="N65" s="34"/>
      <c r="O65" s="34"/>
      <c r="P65" s="34"/>
      <c r="S65" s="40"/>
    </row>
    <row r="66" customFormat="1" s="34">
      <c r="A66" s="36"/>
      <c r="B66" s="34"/>
      <c r="C66" s="34"/>
      <c r="D66" s="37"/>
      <c r="K66" s="34"/>
      <c r="M66" s="34"/>
      <c r="N66" s="34"/>
      <c r="O66" s="34"/>
      <c r="P66" s="34"/>
      <c r="S66" s="40"/>
    </row>
    <row r="67" customFormat="1" s="34">
      <c r="A67" s="36"/>
      <c r="B67" s="34"/>
      <c r="C67" s="34"/>
      <c r="D67" s="37"/>
      <c r="K67" s="34"/>
      <c r="M67" s="34"/>
      <c r="N67" s="34"/>
      <c r="O67" s="34"/>
      <c r="P67" s="34"/>
      <c r="S67" s="40"/>
    </row>
    <row r="68" customFormat="1" s="34">
      <c r="A68" s="36"/>
      <c r="B68" s="34"/>
      <c r="C68" s="34"/>
      <c r="D68" s="37"/>
      <c r="K68" s="34"/>
      <c r="M68" s="34"/>
      <c r="N68" s="34"/>
      <c r="O68" s="34"/>
      <c r="P68" s="34"/>
      <c r="S68" s="40"/>
    </row>
    <row r="69" customFormat="1" s="34">
      <c r="A69" s="36"/>
      <c r="B69" s="34"/>
      <c r="C69" s="34"/>
      <c r="D69" s="37"/>
      <c r="K69" s="34"/>
      <c r="M69" s="34"/>
      <c r="N69" s="34"/>
      <c r="O69" s="34"/>
      <c r="P69" s="34"/>
      <c r="S69" s="40"/>
    </row>
    <row r="70" customFormat="1" s="34">
      <c r="A70" s="36"/>
      <c r="B70" s="34"/>
      <c r="C70" s="34"/>
      <c r="D70" s="37"/>
      <c r="K70" s="34"/>
      <c r="M70" s="34"/>
      <c r="N70" s="34"/>
      <c r="O70" s="34"/>
      <c r="P70" s="34"/>
      <c r="S70" s="40"/>
    </row>
    <row r="71" customFormat="1" s="34">
      <c r="A71" s="36"/>
      <c r="B71" s="34"/>
      <c r="C71" s="34"/>
      <c r="D71" s="37"/>
      <c r="K71" s="34"/>
      <c r="M71" s="34"/>
      <c r="N71" s="34"/>
      <c r="O71" s="34"/>
      <c r="P71" s="34"/>
      <c r="S71" s="40"/>
    </row>
    <row r="72" customFormat="1" s="34">
      <c r="A72" s="36"/>
      <c r="B72" s="34"/>
      <c r="C72" s="34"/>
      <c r="D72" s="37"/>
      <c r="K72" s="34"/>
      <c r="M72" s="34"/>
      <c r="N72" s="34"/>
      <c r="O72" s="34"/>
      <c r="P72" s="34"/>
      <c r="S72" s="40"/>
    </row>
    <row r="73" customFormat="1" s="34">
      <c r="A73" s="36"/>
      <c r="B73" s="34"/>
      <c r="C73" s="34"/>
      <c r="D73" s="37"/>
      <c r="K73" s="34"/>
      <c r="M73" s="34"/>
      <c r="N73" s="34"/>
      <c r="O73" s="34"/>
      <c r="P73" s="34"/>
      <c r="S73" s="40"/>
    </row>
    <row r="74" customFormat="1" s="34">
      <c r="A74" s="36"/>
      <c r="B74" s="34"/>
      <c r="C74" s="34"/>
      <c r="D74" s="37"/>
      <c r="K74" s="34"/>
      <c r="M74" s="34"/>
      <c r="N74" s="34"/>
      <c r="O74" s="34"/>
      <c r="P74" s="34"/>
      <c r="S74" s="40"/>
    </row>
    <row r="75" customFormat="1" s="34">
      <c r="A75" s="36"/>
      <c r="B75" s="34"/>
      <c r="C75" s="34"/>
      <c r="D75" s="37"/>
      <c r="K75" s="34"/>
      <c r="M75" s="34"/>
      <c r="N75" s="34"/>
      <c r="O75" s="34"/>
      <c r="P75" s="34"/>
      <c r="S75" s="40"/>
    </row>
    <row r="76" customFormat="1" s="34">
      <c r="A76" s="36"/>
      <c r="B76" s="34"/>
      <c r="C76" s="34"/>
      <c r="D76" s="37"/>
      <c r="K76" s="34"/>
      <c r="M76" s="34"/>
      <c r="N76" s="34"/>
      <c r="O76" s="34"/>
      <c r="P76" s="34"/>
      <c r="S76" s="40"/>
    </row>
    <row r="77" customFormat="1" s="34">
      <c r="A77" s="36"/>
      <c r="B77" s="34"/>
      <c r="C77" s="34"/>
      <c r="D77" s="37"/>
      <c r="K77" s="34"/>
      <c r="M77" s="34"/>
      <c r="N77" s="34"/>
      <c r="O77" s="34"/>
      <c r="P77" s="34"/>
      <c r="S77" s="40"/>
    </row>
    <row r="78" customFormat="1" s="34">
      <c r="A78" s="36"/>
      <c r="B78" s="34"/>
      <c r="C78" s="34"/>
      <c r="D78" s="37"/>
      <c r="K78" s="34"/>
      <c r="M78" s="34"/>
      <c r="N78" s="34"/>
      <c r="O78" s="34"/>
      <c r="P78" s="34"/>
      <c r="S78" s="40"/>
    </row>
    <row r="79" customFormat="1" s="34">
      <c r="A79" s="36"/>
      <c r="B79" s="34"/>
      <c r="C79" s="34"/>
      <c r="D79" s="37"/>
      <c r="K79" s="34"/>
      <c r="M79" s="34"/>
      <c r="N79" s="34"/>
      <c r="O79" s="34"/>
      <c r="P79" s="34"/>
      <c r="S79" s="40"/>
    </row>
    <row r="80" customFormat="1" s="34">
      <c r="A80" s="36"/>
      <c r="B80" s="34"/>
      <c r="C80" s="34"/>
      <c r="D80" s="37"/>
      <c r="K80" s="34"/>
      <c r="M80" s="34"/>
      <c r="N80" s="34"/>
      <c r="O80" s="34"/>
      <c r="P80" s="34"/>
      <c r="S80" s="40"/>
    </row>
    <row r="81" customFormat="1" s="34">
      <c r="A81" s="36"/>
      <c r="B81" s="34"/>
      <c r="C81" s="34"/>
      <c r="D81" s="37"/>
      <c r="K81" s="34"/>
      <c r="M81" s="34"/>
      <c r="N81" s="34"/>
      <c r="O81" s="34"/>
      <c r="P81" s="34"/>
      <c r="S81" s="40"/>
    </row>
    <row r="82" customFormat="1" s="34">
      <c r="A82" s="36"/>
      <c r="B82" s="34"/>
      <c r="C82" s="34"/>
      <c r="D82" s="37"/>
      <c r="K82" s="34"/>
      <c r="M82" s="34"/>
      <c r="N82" s="34"/>
      <c r="O82" s="34"/>
      <c r="P82" s="34"/>
      <c r="S82" s="40"/>
    </row>
    <row r="83" customFormat="1" s="34">
      <c r="A83" s="36"/>
      <c r="B83" s="34"/>
      <c r="C83" s="34"/>
      <c r="D83" s="37"/>
      <c r="K83" s="34"/>
      <c r="M83" s="34"/>
      <c r="N83" s="34"/>
      <c r="O83" s="34"/>
      <c r="P83" s="34"/>
      <c r="S83" s="40"/>
    </row>
    <row r="84" customFormat="1" s="34">
      <c r="A84" s="36"/>
      <c r="B84" s="34"/>
      <c r="C84" s="34"/>
      <c r="D84" s="37"/>
      <c r="K84" s="34"/>
      <c r="M84" s="34"/>
      <c r="N84" s="34"/>
      <c r="O84" s="34"/>
      <c r="P84" s="34"/>
      <c r="S84" s="40"/>
    </row>
    <row r="85" customFormat="1" s="34">
      <c r="A85" s="36"/>
      <c r="B85" s="34"/>
      <c r="C85" s="34"/>
      <c r="D85" s="37"/>
      <c r="K85" s="34"/>
      <c r="M85" s="34"/>
      <c r="N85" s="34"/>
      <c r="O85" s="34"/>
      <c r="P85" s="34"/>
      <c r="S85" s="40"/>
    </row>
    <row r="86" customFormat="1" s="34">
      <c r="A86" s="36"/>
      <c r="B86" s="34"/>
      <c r="C86" s="34"/>
      <c r="D86" s="37"/>
      <c r="K86" s="34"/>
      <c r="M86" s="34"/>
      <c r="N86" s="34"/>
      <c r="O86" s="34"/>
      <c r="P86" s="34"/>
      <c r="S86" s="40"/>
    </row>
    <row r="87" customFormat="1" s="34">
      <c r="A87" s="36"/>
      <c r="B87" s="34"/>
      <c r="C87" s="34"/>
      <c r="D87" s="37"/>
      <c r="K87" s="34"/>
      <c r="M87" s="34"/>
      <c r="N87" s="34"/>
      <c r="O87" s="34"/>
      <c r="P87" s="34"/>
      <c r="S87" s="40"/>
    </row>
    <row r="88" customFormat="1" s="34"/>
    <row r="89" customFormat="1" s="34"/>
    <row r="90" customFormat="1" s="34"/>
    <row r="91" customFormat="1" s="34"/>
    <row r="92" customFormat="1" s="34"/>
    <row r="93" customFormat="1" s="34"/>
    <row r="94" customFormat="1" s="34"/>
    <row r="95" customFormat="1" s="34"/>
    <row r="96" customFormat="1" s="34"/>
    <row r="97" customFormat="1" s="34"/>
    <row r="98" customFormat="1" s="34"/>
    <row r="99" customFormat="1" s="34"/>
    <row r="100" customFormat="1" s="34"/>
    <row r="101" customFormat="1" s="34"/>
    <row r="102" customFormat="1" s="34"/>
    <row r="103" customFormat="1" s="34"/>
    <row r="104" customFormat="1" s="34"/>
    <row r="105" customFormat="1" s="34"/>
    <row r="106" customFormat="1" s="34"/>
    <row r="107" customFormat="1" s="34"/>
    <row r="108" customFormat="1" s="34"/>
    <row r="109" customFormat="1" s="34"/>
    <row r="110" customFormat="1" s="34"/>
    <row r="111" customFormat="1" s="34"/>
    <row r="112" customFormat="1" s="34"/>
    <row r="113" customFormat="1" s="34"/>
    <row r="114" customFormat="1" s="34"/>
    <row r="115" customFormat="1" s="34"/>
    <row r="116" customFormat="1" s="34"/>
    <row r="117" customFormat="1" s="34"/>
    <row r="118" customFormat="1" s="34"/>
    <row r="119" customFormat="1" s="34"/>
    <row r="120" customFormat="1" s="34"/>
    <row r="121" customFormat="1" s="34"/>
    <row r="122" customFormat="1" s="34"/>
    <row r="123" customFormat="1" s="34"/>
    <row r="124" customFormat="1" s="34"/>
    <row r="125" customFormat="1" s="34"/>
    <row r="126" customFormat="1" s="34"/>
    <row r="127" customFormat="1" s="34"/>
    <row r="128" customFormat="1" s="34"/>
    <row r="129" customFormat="1" s="34"/>
    <row r="130" customFormat="1" s="34"/>
    <row r="131" customFormat="1" s="34"/>
    <row r="132" customFormat="1" s="34"/>
    <row r="133" customFormat="1" s="34"/>
    <row r="134" customFormat="1" s="34"/>
    <row r="135" customFormat="1" s="34"/>
    <row r="136" customFormat="1" s="34"/>
    <row r="137" customFormat="1" s="34"/>
    <row r="138" customFormat="1" s="34"/>
    <row r="139" customFormat="1" s="34"/>
    <row r="140" customFormat="1" s="34"/>
    <row r="141" customFormat="1" s="34"/>
    <row r="142" customFormat="1" s="34"/>
    <row r="143" customFormat="1" s="34"/>
    <row r="144" customFormat="1" s="34"/>
    <row r="145" customFormat="1" s="34"/>
    <row r="146" customFormat="1" s="34"/>
    <row r="147" customFormat="1" s="34"/>
    <row r="148" customFormat="1" s="34"/>
    <row r="149" customFormat="1" s="34"/>
    <row r="150" customFormat="1" s="34"/>
    <row r="151" customFormat="1" s="34"/>
    <row r="152" customFormat="1" s="34"/>
    <row r="153" customFormat="1" s="34"/>
    <row r="154" customFormat="1" s="34"/>
    <row r="155" customFormat="1" s="34"/>
    <row r="156" customFormat="1" s="34"/>
    <row r="157" customFormat="1" s="34"/>
    <row r="158" customFormat="1" s="34"/>
    <row r="159" customFormat="1" s="34"/>
    <row r="160" customFormat="1" s="34"/>
    <row r="161" customFormat="1" s="34"/>
    <row r="162" customFormat="1" s="34"/>
    <row r="163" customFormat="1" s="34"/>
    <row r="164" customFormat="1" s="34"/>
    <row r="165" customFormat="1" s="34"/>
    <row r="166" customFormat="1" s="34"/>
    <row r="167" customFormat="1" s="34"/>
    <row r="168" customFormat="1" s="34"/>
    <row r="169" customFormat="1" s="34"/>
    <row r="170" customFormat="1" s="34"/>
    <row r="171" customFormat="1" s="34"/>
    <row r="172" customFormat="1" s="34"/>
    <row r="173" customFormat="1" s="34"/>
    <row r="174" customFormat="1" s="34"/>
    <row r="175" customFormat="1" s="34"/>
    <row r="176" customFormat="1" s="34"/>
    <row r="177" customFormat="1" s="34"/>
    <row r="178" customFormat="1" s="34"/>
    <row r="179" customFormat="1" s="34"/>
    <row r="180" customFormat="1" s="34"/>
    <row r="181" customFormat="1" s="34"/>
    <row r="182" customFormat="1" s="34"/>
    <row r="183" customFormat="1" s="34"/>
    <row r="184" customFormat="1" s="34"/>
    <row r="185" customFormat="1" s="34"/>
    <row r="186" customFormat="1" s="34"/>
    <row r="187" customFormat="1" s="34"/>
    <row r="188" customFormat="1" s="34"/>
    <row r="189" customFormat="1" s="34"/>
    <row r="190" customFormat="1" s="34"/>
    <row r="191" customFormat="1" s="34"/>
    <row r="192" customFormat="1" s="34"/>
    <row r="193" customFormat="1" s="34"/>
    <row r="194" customFormat="1" s="34"/>
    <row r="195" customFormat="1" s="34"/>
    <row r="196" customFormat="1" s="34"/>
    <row r="197" customFormat="1" s="34"/>
    <row r="198" customFormat="1" s="34"/>
    <row r="199" customFormat="1" s="34"/>
    <row r="200" customFormat="1" s="34"/>
    <row r="201" customFormat="1" s="34"/>
    <row r="202" customFormat="1" s="34"/>
    <row r="203" customFormat="1" s="34"/>
    <row r="204" customFormat="1" s="34"/>
    <row r="205" customFormat="1" s="34"/>
    <row r="206" customFormat="1" s="34"/>
    <row r="207" customFormat="1" s="34"/>
    <row r="208" customFormat="1" s="34"/>
    <row r="209" customFormat="1" s="34"/>
    <row r="210" customFormat="1" s="34"/>
    <row r="211" customFormat="1" s="34"/>
    <row r="212" customFormat="1" s="34"/>
    <row r="213" customFormat="1" s="34"/>
    <row r="214" customFormat="1" s="34"/>
    <row r="215" customFormat="1" s="34"/>
    <row r="216" customFormat="1" s="34"/>
    <row r="217" customFormat="1" s="34"/>
    <row r="218" customFormat="1" s="34"/>
    <row r="219" customFormat="1" s="34"/>
    <row r="220" customFormat="1" s="34"/>
    <row r="221" customFormat="1" s="34"/>
    <row r="222" customFormat="1" s="34"/>
    <row r="223" customFormat="1" s="34"/>
    <row r="224" customFormat="1" s="34"/>
    <row r="225" customFormat="1" s="34"/>
    <row r="226" customFormat="1" s="34"/>
    <row r="227" customFormat="1" s="34"/>
    <row r="228" customFormat="1" s="34"/>
    <row r="229" customFormat="1" s="34"/>
    <row r="230" customFormat="1" s="34"/>
    <row r="231" customFormat="1" s="34"/>
    <row r="232" customFormat="1" s="34"/>
    <row r="233" customFormat="1" s="34"/>
    <row r="234" customFormat="1" s="34"/>
    <row r="235" customFormat="1" s="34"/>
    <row r="236" customFormat="1" s="34"/>
    <row r="237" customFormat="1" s="34"/>
    <row r="238" customFormat="1" s="34"/>
    <row r="239" customFormat="1" s="34"/>
    <row r="240" customFormat="1" s="34"/>
    <row r="241" customFormat="1" s="34"/>
    <row r="242" customFormat="1" s="34"/>
    <row r="243" customFormat="1" s="34"/>
    <row r="244" customFormat="1" s="34"/>
    <row r="245" customFormat="1" s="34"/>
    <row r="246" customFormat="1" s="34"/>
    <row r="247" customFormat="1" s="34"/>
    <row r="248" customFormat="1" s="34"/>
    <row r="249" customFormat="1" s="34"/>
    <row r="250" customFormat="1" s="34"/>
    <row r="251" customFormat="1" s="34"/>
    <row r="252" customFormat="1" s="34"/>
    <row r="253" customFormat="1" s="34"/>
    <row r="254" customFormat="1" s="34"/>
    <row r="255" customFormat="1" s="34"/>
    <row r="256" customFormat="1" s="34"/>
    <row r="257" customFormat="1" s="34"/>
    <row r="258" customFormat="1" s="34"/>
    <row r="259" customFormat="1" s="34"/>
    <row r="260" customFormat="1" s="34"/>
    <row r="261" customFormat="1" s="34"/>
    <row r="262" customFormat="1" s="34"/>
    <row r="263" customFormat="1" s="34"/>
    <row r="264" customFormat="1" s="34"/>
    <row r="265" customFormat="1" s="34"/>
    <row r="266" customFormat="1" s="34"/>
    <row r="267" customFormat="1" s="34"/>
    <row r="268" customFormat="1" s="34"/>
    <row r="269" customFormat="1" s="34"/>
    <row r="270" customFormat="1" s="34"/>
    <row r="271" customFormat="1" s="34"/>
    <row r="272" customFormat="1" s="34"/>
    <row r="273" customFormat="1" s="34"/>
    <row r="274" customFormat="1" s="34"/>
    <row r="275" customFormat="1" s="34"/>
    <row r="276" customFormat="1" s="34"/>
    <row r="277" customFormat="1" s="34"/>
    <row r="278" customFormat="1" s="34"/>
    <row r="279" customFormat="1" s="34"/>
    <row r="280" customFormat="1" s="34"/>
    <row r="281" customFormat="1" s="34"/>
    <row r="282" customFormat="1" s="34"/>
    <row r="283" customFormat="1" s="34"/>
    <row r="284" customFormat="1" s="34"/>
    <row r="285" customFormat="1" s="34"/>
    <row r="286" customFormat="1" s="34"/>
    <row r="287" customFormat="1" s="34"/>
    <row r="288" customFormat="1" s="34"/>
    <row r="289" customFormat="1" s="34"/>
    <row r="290" customFormat="1" s="34"/>
    <row r="291" customFormat="1" s="34"/>
    <row r="292" customFormat="1" s="34"/>
    <row r="293" customFormat="1" s="34"/>
    <row r="294" customFormat="1" s="34"/>
    <row r="295" customFormat="1" s="34"/>
    <row r="296" customFormat="1" s="34"/>
    <row r="297" customFormat="1" s="34"/>
    <row r="298" customFormat="1" s="34"/>
    <row r="299" customFormat="1" s="34"/>
    <row r="300" customFormat="1" s="34"/>
    <row r="301" customFormat="1" s="34"/>
    <row r="302" customFormat="1" s="34"/>
    <row r="303" customFormat="1" s="34"/>
    <row r="304" customFormat="1" s="34"/>
    <row r="305" customFormat="1" s="34"/>
    <row r="306" customFormat="1" s="34"/>
    <row r="307" customFormat="1" s="34"/>
    <row r="308" customFormat="1" s="34"/>
    <row r="309" customFormat="1" s="34"/>
    <row r="310" customFormat="1" s="34"/>
    <row r="311" customFormat="1" s="34"/>
    <row r="312" customFormat="1" s="34"/>
    <row r="313" customFormat="1" s="34"/>
    <row r="314" customFormat="1" s="34"/>
    <row r="315" customFormat="1" s="34"/>
    <row r="316" customFormat="1" s="34"/>
    <row r="317" customFormat="1" s="34"/>
    <row r="318" customFormat="1" s="34"/>
    <row r="319" customFormat="1" s="34"/>
    <row r="320" customFormat="1" s="34"/>
    <row r="321" customFormat="1" s="34"/>
    <row r="322" customFormat="1" s="34"/>
    <row r="323" customFormat="1" s="34"/>
    <row r="324" customFormat="1" s="34"/>
    <row r="325" customFormat="1" s="34"/>
    <row r="326" customFormat="1" s="34"/>
    <row r="327" customFormat="1" s="34"/>
    <row r="328" customFormat="1" s="34"/>
    <row r="329" customFormat="1" s="34"/>
    <row r="330" customFormat="1" s="34"/>
    <row r="331" customFormat="1" s="34"/>
    <row r="332" customFormat="1" s="34"/>
    <row r="333" customFormat="1" s="34"/>
    <row r="334" customFormat="1" s="34"/>
    <row r="335" customFormat="1" s="34"/>
    <row r="336" customFormat="1" s="34"/>
    <row r="337" customFormat="1" s="34"/>
    <row r="338" customFormat="1" s="34"/>
    <row r="339" customFormat="1" s="34"/>
    <row r="340" customFormat="1" s="34"/>
    <row r="341" customFormat="1" s="34"/>
    <row r="342" customFormat="1" s="34"/>
    <row r="343" customFormat="1" s="34"/>
    <row r="344" customFormat="1" s="34"/>
    <row r="345" customFormat="1" s="34"/>
    <row r="346" customFormat="1" s="34"/>
    <row r="347" customFormat="1" s="34"/>
    <row r="348" customFormat="1" s="34"/>
    <row r="349" customFormat="1" s="34"/>
    <row r="350" customFormat="1" s="34"/>
    <row r="351" customFormat="1" s="34"/>
    <row r="352" customFormat="1" s="34"/>
    <row r="353" customFormat="1" s="34"/>
    <row r="354" customFormat="1" s="34"/>
    <row r="355" customFormat="1" s="34"/>
    <row r="356" customFormat="1" s="34"/>
    <row r="357" customFormat="1" s="34"/>
    <row r="358" customFormat="1" s="34"/>
    <row r="359" customFormat="1" s="34"/>
    <row r="360" customFormat="1" s="34"/>
    <row r="361" customFormat="1" s="34"/>
    <row r="362" customFormat="1" s="34"/>
    <row r="363" customFormat="1" s="34"/>
    <row r="364" customFormat="1" s="34"/>
    <row r="365" customFormat="1" s="34"/>
    <row r="366" customFormat="1" s="34"/>
    <row r="367" customFormat="1" s="34"/>
    <row r="368" customFormat="1" s="34"/>
    <row r="369" customFormat="1" s="34"/>
    <row r="370" customFormat="1" s="34"/>
    <row r="371" customFormat="1" s="34"/>
    <row r="372" customFormat="1" s="34"/>
    <row r="373" customFormat="1" s="34"/>
    <row r="374" customFormat="1" s="34"/>
    <row r="375" customFormat="1" s="34"/>
    <row r="376" customFormat="1" s="34"/>
    <row r="377" customFormat="1" s="34"/>
    <row r="378" customFormat="1" s="34"/>
    <row r="379" customFormat="1" s="34"/>
    <row r="380" customFormat="1" s="34"/>
    <row r="381" customFormat="1" s="34"/>
    <row r="382" customFormat="1" s="34"/>
    <row r="383" customFormat="1" s="34"/>
    <row r="384" customFormat="1" s="34"/>
    <row r="385" customFormat="1" s="34"/>
    <row r="386" customFormat="1" s="34"/>
    <row r="387" customFormat="1" s="34"/>
    <row r="388" customFormat="1" s="34"/>
    <row r="389" customFormat="1" s="34"/>
    <row r="390" customFormat="1" s="34"/>
    <row r="391" customFormat="1" s="34"/>
    <row r="392" customFormat="1" s="34"/>
    <row r="393" customFormat="1" s="34"/>
    <row r="394" customFormat="1" s="34"/>
    <row r="395" customFormat="1" s="34"/>
    <row r="396" customFormat="1" s="34"/>
    <row r="397" customFormat="1" s="34"/>
    <row r="398" customFormat="1" s="34"/>
    <row r="399" customFormat="1" s="34"/>
    <row r="400" customFormat="1" s="34"/>
    <row r="401" customFormat="1" s="34"/>
    <row r="402" customFormat="1" s="34"/>
    <row r="403" customFormat="1" s="34"/>
    <row r="404" customFormat="1" s="34"/>
    <row r="405" customFormat="1" s="34"/>
    <row r="406" customFormat="1" s="34"/>
    <row r="407" customFormat="1" s="34"/>
    <row r="408" customFormat="1" s="34"/>
    <row r="409" customFormat="1" s="34"/>
    <row r="410" customFormat="1" s="34"/>
    <row r="411" customFormat="1" s="34"/>
    <row r="412" customFormat="1" s="34"/>
    <row r="413" customFormat="1" s="34"/>
    <row r="414" customFormat="1" s="34"/>
    <row r="415" customFormat="1" s="34"/>
    <row r="416" customFormat="1" s="34"/>
    <row r="417" customFormat="1" s="34"/>
    <row r="418" customFormat="1" s="34"/>
    <row r="419" customFormat="1" s="34"/>
    <row r="420" customFormat="1" s="34"/>
    <row r="421" customFormat="1" s="34"/>
    <row r="422" customFormat="1" s="34"/>
    <row r="423" customFormat="1" s="34"/>
    <row r="424" customFormat="1" s="34"/>
    <row r="425" customFormat="1" s="34"/>
    <row r="426" customFormat="1" s="34"/>
    <row r="427" customFormat="1" s="34"/>
    <row r="428" customFormat="1" s="34"/>
    <row r="429" customFormat="1" s="34"/>
    <row r="430" customFormat="1" s="34"/>
    <row r="431" customFormat="1" s="34"/>
    <row r="432" customFormat="1" s="34"/>
    <row r="433" customFormat="1" s="34"/>
    <row r="434" customFormat="1" s="34"/>
    <row r="435" customFormat="1" s="34"/>
    <row r="436" customFormat="1" s="34"/>
    <row r="437" customFormat="1" s="34"/>
    <row r="438" customFormat="1" s="34"/>
    <row r="439" customFormat="1" s="34"/>
    <row r="440" customFormat="1" s="34"/>
    <row r="441" customFormat="1" s="34"/>
    <row r="442" customFormat="1" s="34"/>
    <row r="443" customFormat="1" s="34"/>
    <row r="444" customFormat="1" s="34"/>
    <row r="445" customFormat="1" s="34"/>
    <row r="446" customFormat="1" s="34"/>
    <row r="447" customFormat="1" s="34"/>
    <row r="448" customFormat="1" s="34"/>
    <row r="449" customFormat="1" s="34"/>
    <row r="450" customFormat="1" s="34"/>
    <row r="451" customFormat="1" s="34"/>
    <row r="452" customFormat="1" s="34"/>
    <row r="453" customFormat="1" s="34"/>
    <row r="454" customFormat="1" s="34"/>
    <row r="455" customFormat="1" s="34"/>
    <row r="456" customFormat="1" s="34"/>
    <row r="457" customFormat="1" s="34"/>
    <row r="458" customFormat="1" s="34"/>
    <row r="459" customFormat="1" s="34"/>
    <row r="460" customFormat="1" s="34"/>
    <row r="461" customFormat="1" s="34"/>
    <row r="462" customFormat="1" s="34"/>
    <row r="463" customFormat="1" s="34"/>
    <row r="464" customFormat="1" s="34"/>
    <row r="465" customFormat="1" s="34"/>
    <row r="466" customFormat="1" s="34"/>
    <row r="467" customFormat="1" s="34"/>
    <row r="468" customFormat="1" s="34"/>
    <row r="469" customFormat="1" s="34"/>
    <row r="470" customFormat="1" s="34"/>
    <row r="471" customFormat="1" s="34"/>
    <row r="472" customFormat="1" s="34"/>
    <row r="473" customFormat="1" s="34"/>
    <row r="474" customFormat="1" s="34"/>
    <row r="475" customFormat="1" s="34"/>
    <row r="476" customFormat="1" s="34"/>
    <row r="477" customFormat="1" s="34"/>
    <row r="478" customFormat="1" s="34"/>
    <row r="479" customFormat="1" s="34"/>
    <row r="480" customFormat="1" s="34"/>
    <row r="481" customFormat="1" s="34"/>
    <row r="482" customFormat="1" s="34"/>
    <row r="483" customFormat="1" s="34"/>
    <row r="484" customFormat="1" s="34"/>
    <row r="485" customFormat="1" s="34"/>
    <row r="486" customFormat="1" s="34"/>
    <row r="487" customFormat="1" s="34"/>
    <row r="488" customFormat="1" s="34"/>
    <row r="489" customFormat="1" s="34"/>
    <row r="490" customFormat="1" s="34"/>
    <row r="491" customFormat="1" s="34"/>
    <row r="492" customFormat="1" s="34"/>
    <row r="493" customFormat="1" s="34"/>
    <row r="494" customFormat="1" s="34"/>
    <row r="495" customFormat="1" s="34"/>
    <row r="496" customFormat="1" s="34"/>
    <row r="497" customFormat="1" s="34"/>
    <row r="498" customFormat="1" s="34"/>
    <row r="499" customFormat="1" s="34"/>
    <row r="500" customFormat="1" s="34"/>
    <row r="501" customFormat="1" s="34"/>
    <row r="502" customFormat="1" s="34"/>
    <row r="503" customFormat="1" s="34"/>
    <row r="504" customFormat="1" s="34"/>
    <row r="505" customFormat="1" s="34"/>
    <row r="506" customFormat="1" s="34"/>
    <row r="507" customFormat="1" s="34"/>
    <row r="508" customFormat="1" s="34"/>
    <row r="509" customFormat="1" s="34"/>
    <row r="510" customFormat="1" s="34"/>
    <row r="511" customFormat="1" s="34"/>
    <row r="512" customFormat="1" s="34"/>
    <row r="513" customFormat="1" s="34"/>
    <row r="514" customFormat="1" s="34"/>
    <row r="515" customFormat="1" s="34"/>
    <row r="516" customFormat="1" s="34"/>
    <row r="517" customFormat="1" s="34"/>
    <row r="518" customFormat="1" s="34"/>
    <row r="519" customFormat="1" s="34"/>
    <row r="520" customFormat="1" s="34"/>
    <row r="521" customFormat="1" s="34"/>
    <row r="522" customFormat="1" s="34"/>
    <row r="523" customFormat="1" s="34"/>
    <row r="524" customFormat="1" s="34"/>
    <row r="525" customFormat="1" s="34"/>
    <row r="526" customFormat="1" s="34"/>
    <row r="527" customFormat="1" s="34"/>
    <row r="528" customFormat="1" s="34"/>
    <row r="529" customFormat="1" s="34"/>
    <row r="530" customFormat="1" s="34"/>
    <row r="531" customFormat="1" s="34"/>
    <row r="532" customFormat="1" s="34"/>
    <row r="533" customFormat="1" s="34"/>
    <row r="534" customFormat="1" s="34"/>
    <row r="535" customFormat="1" s="34"/>
    <row r="536" customFormat="1" s="34"/>
    <row r="537" customFormat="1" s="34"/>
    <row r="538" customFormat="1" s="34"/>
    <row r="539" customFormat="1" s="34"/>
    <row r="540" customFormat="1" s="34"/>
    <row r="541" customFormat="1" s="34"/>
    <row r="542" customFormat="1" s="34"/>
    <row r="543" customFormat="1" s="34"/>
    <row r="544" customFormat="1" s="34"/>
    <row r="545" customFormat="1" s="34"/>
    <row r="546" customFormat="1" s="34"/>
    <row r="547" customFormat="1" s="34"/>
    <row r="548" customFormat="1" s="34"/>
    <row r="549" customFormat="1" s="34"/>
    <row r="550" customFormat="1" s="34"/>
    <row r="551" customFormat="1" s="34"/>
    <row r="552" customFormat="1" s="34"/>
    <row r="553" customFormat="1" s="34"/>
    <row r="554" customFormat="1" s="34"/>
    <row r="555" customFormat="1" s="34"/>
    <row r="556" customFormat="1" s="34"/>
    <row r="557" customFormat="1" s="34"/>
    <row r="558" customFormat="1" s="34"/>
    <row r="559" customFormat="1" s="34"/>
    <row r="560" customFormat="1" s="34"/>
    <row r="561" customFormat="1" s="34"/>
    <row r="562" customFormat="1" s="34"/>
    <row r="563" customFormat="1" s="34"/>
    <row r="564" customFormat="1" s="34"/>
    <row r="565" customFormat="1" s="34"/>
    <row r="566" customFormat="1" s="34"/>
    <row r="567" customFormat="1" s="34"/>
    <row r="568" customFormat="1" s="34"/>
    <row r="569" customFormat="1" s="34"/>
    <row r="570" customFormat="1" s="34"/>
    <row r="571" customFormat="1" s="34"/>
    <row r="572" customFormat="1" s="34"/>
    <row r="573" customFormat="1" s="34"/>
    <row r="574" customFormat="1" s="34"/>
    <row r="575" customFormat="1" s="34"/>
    <row r="576" customFormat="1" s="34"/>
    <row r="577" customFormat="1" s="34"/>
    <row r="578" customFormat="1" s="34"/>
    <row r="579" customFormat="1" s="34"/>
    <row r="580" customFormat="1" s="34"/>
    <row r="581" customFormat="1" s="34"/>
    <row r="582" customFormat="1" s="34"/>
    <row r="583" customFormat="1" s="34"/>
    <row r="584" customFormat="1" s="34"/>
    <row r="585" customFormat="1" s="34"/>
    <row r="586" customFormat="1" s="34"/>
    <row r="587" customFormat="1" s="34"/>
    <row r="588" customFormat="1" s="34"/>
    <row r="589" customFormat="1" s="34"/>
    <row r="590" customFormat="1" s="34"/>
    <row r="591" customFormat="1" s="34"/>
    <row r="592" customFormat="1" s="34"/>
    <row r="593" customFormat="1" s="34"/>
    <row r="594" customFormat="1" s="34"/>
    <row r="595" customFormat="1" s="34"/>
    <row r="596" customFormat="1" s="34"/>
    <row r="597" customFormat="1" s="34"/>
    <row r="598" customFormat="1" s="34"/>
    <row r="599" customFormat="1" s="34"/>
    <row r="600" customFormat="1" s="34"/>
    <row r="601" customFormat="1" s="34"/>
    <row r="602" customFormat="1" s="34"/>
    <row r="603" customFormat="1" s="34"/>
    <row r="604" customFormat="1" s="34"/>
    <row r="605" customFormat="1" s="34"/>
    <row r="606" customFormat="1" s="34"/>
    <row r="607" customFormat="1" s="34"/>
    <row r="608" customFormat="1" s="34"/>
    <row r="609" customFormat="1" s="34"/>
    <row r="610" customFormat="1" s="34"/>
    <row r="611" customFormat="1" s="34"/>
    <row r="612" customFormat="1" s="34"/>
    <row r="613" customFormat="1" s="34"/>
    <row r="614" customFormat="1" s="34"/>
    <row r="615" customFormat="1" s="34"/>
    <row r="616" customFormat="1" s="34"/>
    <row r="617" customFormat="1" s="34"/>
    <row r="618" customFormat="1" s="34"/>
    <row r="619" customFormat="1" s="34"/>
    <row r="620" customFormat="1" s="34"/>
    <row r="621" customFormat="1" s="34"/>
    <row r="622" customFormat="1" s="34"/>
    <row r="623" customFormat="1" s="34"/>
    <row r="624" customFormat="1" s="34"/>
    <row r="625" customFormat="1" s="34"/>
    <row r="626" customFormat="1" s="34"/>
    <row r="627" customFormat="1" s="34"/>
    <row r="628" customFormat="1" s="34"/>
    <row r="629" customFormat="1" s="34"/>
    <row r="630" customFormat="1" s="34"/>
    <row r="631" customFormat="1" s="34"/>
    <row r="632" customFormat="1" s="34"/>
    <row r="633" customFormat="1" s="34"/>
    <row r="634" customFormat="1" s="34"/>
    <row r="635" customFormat="1" s="34"/>
    <row r="636" customFormat="1" s="34"/>
    <row r="637" customFormat="1" s="34"/>
    <row r="638" customFormat="1" s="34"/>
    <row r="639" customFormat="1" s="34"/>
    <row r="640" customFormat="1" s="34"/>
    <row r="641" customFormat="1" s="34"/>
    <row r="642" customFormat="1" s="34"/>
    <row r="643" customFormat="1" s="34"/>
    <row r="644" customFormat="1" s="34"/>
    <row r="645" customFormat="1" s="34"/>
    <row r="646" customFormat="1" s="34"/>
    <row r="647" customFormat="1" s="34"/>
    <row r="648" customFormat="1" s="34"/>
    <row r="649" customFormat="1" s="34"/>
    <row r="650" customFormat="1" s="34"/>
    <row r="651" customFormat="1" s="34"/>
    <row r="652" customFormat="1" s="34"/>
    <row r="653" customFormat="1" s="34"/>
    <row r="654" customFormat="1" s="34"/>
    <row r="655" customFormat="1" s="34"/>
    <row r="656" customFormat="1" s="34"/>
    <row r="657" customFormat="1" s="34"/>
    <row r="658" customFormat="1" s="34"/>
    <row r="659" customFormat="1" s="34"/>
    <row r="660" customFormat="1" s="34"/>
    <row r="661" customFormat="1" s="34"/>
    <row r="662" customFormat="1" s="34"/>
    <row r="663" customFormat="1" s="34"/>
    <row r="664" customFormat="1" s="34"/>
    <row r="665" customFormat="1" s="34"/>
    <row r="666" customFormat="1" s="34"/>
    <row r="667" customFormat="1" s="34"/>
    <row r="668" customFormat="1" s="34"/>
    <row r="669" customFormat="1" s="34"/>
    <row r="670" customFormat="1" s="34"/>
    <row r="671" customFormat="1" s="34"/>
    <row r="672" customFormat="1" s="34"/>
    <row r="673" customFormat="1" s="34"/>
    <row r="674" customFormat="1" s="34"/>
    <row r="675" customFormat="1" s="34"/>
    <row r="676" customFormat="1" s="34"/>
    <row r="677" customFormat="1" s="34"/>
    <row r="678" customFormat="1" s="34"/>
    <row r="679" customFormat="1" s="34"/>
    <row r="680" customFormat="1" s="34"/>
    <row r="681" customFormat="1" s="34"/>
    <row r="682" customFormat="1" s="34"/>
    <row r="683" customFormat="1" s="34"/>
    <row r="684" customFormat="1" s="34"/>
    <row r="685" customFormat="1" s="34"/>
    <row r="686" customFormat="1" s="34"/>
    <row r="687" customFormat="1" s="34"/>
    <row r="688" customFormat="1" s="34"/>
    <row r="689" customFormat="1" s="34"/>
    <row r="690" customFormat="1" s="34"/>
    <row r="691" customFormat="1" s="34"/>
    <row r="692" customFormat="1" s="34"/>
    <row r="693" customFormat="1" s="34"/>
    <row r="694" customFormat="1" s="34"/>
    <row r="695" customFormat="1" s="34"/>
    <row r="696" customFormat="1" s="34"/>
    <row r="697" customFormat="1" s="34"/>
    <row r="698" customFormat="1" s="34"/>
    <row r="699" customFormat="1" s="34"/>
    <row r="700" customFormat="1" s="34"/>
    <row r="701" customFormat="1" s="34"/>
    <row r="702" customFormat="1" s="34"/>
    <row r="703" customFormat="1" s="34"/>
    <row r="704" customFormat="1" s="34"/>
    <row r="705" customFormat="1" s="34"/>
    <row r="706" customFormat="1" s="34"/>
    <row r="707" customFormat="1" s="34"/>
    <row r="708" customFormat="1" s="34"/>
    <row r="709" customFormat="1" s="34"/>
    <row r="710" customFormat="1" s="34"/>
    <row r="711" customFormat="1" s="34"/>
    <row r="712" customFormat="1" s="34"/>
    <row r="713" customFormat="1" s="34"/>
    <row r="714" customFormat="1" s="34"/>
    <row r="715" customFormat="1" s="34"/>
    <row r="716" customFormat="1" s="34"/>
    <row r="717" customFormat="1" s="34"/>
    <row r="718" customFormat="1" s="34"/>
    <row r="719" customFormat="1" s="34"/>
    <row r="720" customFormat="1" s="34"/>
    <row r="721" customFormat="1" s="34"/>
    <row r="722" customFormat="1" s="34"/>
    <row r="723" customFormat="1" s="34"/>
    <row r="724" customFormat="1" s="34"/>
    <row r="725" customFormat="1" s="34"/>
    <row r="726" customFormat="1" s="34"/>
    <row r="727" customFormat="1" s="34"/>
    <row r="728" customFormat="1" s="34"/>
    <row r="729" customFormat="1" s="34"/>
    <row r="730" customFormat="1" s="34"/>
    <row r="731" customFormat="1" s="34"/>
    <row r="732" customFormat="1" s="34"/>
    <row r="733" customFormat="1" s="34"/>
    <row r="734" customFormat="1" s="34"/>
    <row r="735" customFormat="1" s="34"/>
    <row r="736" customFormat="1" s="34"/>
    <row r="737" customFormat="1" s="34"/>
    <row r="738" customFormat="1" s="34"/>
    <row r="739" customFormat="1" s="34"/>
    <row r="740" customFormat="1" s="34"/>
    <row r="741" customFormat="1" s="34"/>
    <row r="742" customFormat="1" s="34"/>
    <row r="743" customFormat="1" s="34"/>
    <row r="744" customFormat="1" s="34"/>
    <row r="745" customFormat="1" s="34"/>
    <row r="746" customFormat="1" s="34"/>
    <row r="747" customFormat="1" s="34"/>
    <row r="748" customFormat="1" s="34"/>
    <row r="749" customFormat="1" s="34"/>
    <row r="750" customFormat="1" s="34"/>
    <row r="751" customFormat="1" s="34"/>
    <row r="752" customFormat="1" s="34"/>
    <row r="753" customFormat="1" s="34"/>
    <row r="754" customFormat="1" s="34"/>
    <row r="755" customFormat="1" s="34"/>
    <row r="756" customFormat="1" s="34"/>
    <row r="757" customFormat="1" s="34"/>
    <row r="758" customFormat="1" s="34"/>
    <row r="759" customFormat="1" s="34"/>
    <row r="760" customFormat="1" s="34"/>
    <row r="761" customFormat="1" s="34"/>
    <row r="762" customFormat="1" s="34"/>
    <row r="763" customFormat="1" s="34"/>
    <row r="764" customFormat="1" s="34"/>
    <row r="765" customFormat="1" s="34"/>
    <row r="766" customFormat="1" s="34"/>
    <row r="767" customFormat="1" s="34"/>
    <row r="768" customFormat="1" s="34"/>
    <row r="769" customFormat="1" s="34"/>
    <row r="770" customFormat="1" s="34"/>
    <row r="771" customFormat="1" s="34"/>
    <row r="772" customFormat="1" s="34"/>
    <row r="773" customFormat="1" s="34"/>
    <row r="774" customFormat="1" s="34"/>
    <row r="775" customFormat="1" s="34"/>
    <row r="776" customFormat="1" s="34"/>
    <row r="777" customFormat="1" s="34"/>
    <row r="778" customFormat="1" s="34"/>
    <row r="779" customFormat="1" s="34"/>
    <row r="780" customFormat="1" s="34"/>
    <row r="781" customFormat="1" s="34"/>
    <row r="782" customFormat="1" s="34"/>
    <row r="783" customFormat="1" s="34"/>
    <row r="784" customFormat="1" s="34"/>
    <row r="785" customFormat="1" s="34"/>
    <row r="786" customFormat="1" s="34"/>
    <row r="787" customFormat="1" s="34"/>
    <row r="788" customFormat="1" s="34"/>
    <row r="789" customFormat="1" s="34"/>
    <row r="790" customFormat="1" s="34"/>
    <row r="791" customFormat="1" s="34"/>
    <row r="792" customFormat="1" s="34"/>
    <row r="793" customFormat="1" s="34"/>
    <row r="794" customFormat="1" s="34"/>
    <row r="795" customFormat="1" s="34"/>
    <row r="796" customFormat="1" s="34"/>
    <row r="797" customFormat="1" s="34"/>
    <row r="798" customFormat="1" s="34"/>
    <row r="799" customFormat="1" s="34"/>
    <row r="800" customFormat="1" s="34"/>
    <row r="801" customFormat="1" s="34"/>
    <row r="802" customFormat="1" s="34"/>
    <row r="803" customFormat="1" s="34"/>
    <row r="804" customFormat="1" s="34"/>
    <row r="805" customFormat="1" s="34"/>
    <row r="806" customFormat="1" s="34"/>
    <row r="807" customFormat="1" s="34"/>
    <row r="808" customFormat="1" s="34"/>
    <row r="809" customFormat="1" s="34"/>
    <row r="810" customFormat="1" s="34"/>
    <row r="811" customFormat="1" s="34"/>
    <row r="812" customFormat="1" s="34"/>
    <row r="813" customFormat="1" s="34"/>
    <row r="814" customFormat="1" s="34"/>
    <row r="815" customFormat="1" s="34"/>
    <row r="816" customFormat="1" s="34"/>
    <row r="817" customFormat="1" s="34"/>
    <row r="818" customFormat="1" s="34"/>
    <row r="819" customFormat="1" s="34"/>
    <row r="820" customFormat="1" s="34"/>
    <row r="821" customFormat="1" s="34"/>
    <row r="822" customFormat="1" s="34"/>
    <row r="823" customFormat="1" s="34"/>
    <row r="824" customFormat="1" s="34"/>
    <row r="825" customFormat="1" s="34"/>
    <row r="826" customFormat="1" s="34"/>
    <row r="827" customFormat="1" s="34"/>
    <row r="828" customFormat="1" s="34"/>
    <row r="829" customFormat="1" s="34"/>
    <row r="830" customFormat="1" s="34"/>
    <row r="831" customFormat="1" s="34"/>
    <row r="832" customFormat="1" s="34"/>
    <row r="833" customFormat="1" s="34"/>
    <row r="834" customFormat="1" s="34"/>
    <row r="835" customFormat="1" s="34"/>
    <row r="836" customFormat="1" s="34"/>
    <row r="837" customFormat="1" s="34"/>
    <row r="838" customFormat="1" s="34"/>
    <row r="839" customFormat="1" s="34"/>
    <row r="840" customFormat="1" s="34"/>
    <row r="841" customFormat="1" s="34"/>
    <row r="842" customFormat="1" s="34"/>
    <row r="843" customFormat="1" s="34"/>
    <row r="844" customFormat="1" s="34"/>
    <row r="845" customFormat="1" s="34"/>
    <row r="846" customFormat="1" s="34"/>
    <row r="847" customFormat="1" s="34"/>
    <row r="848" customFormat="1" s="34"/>
    <row r="849" customFormat="1" s="34"/>
    <row r="850" customFormat="1" s="34"/>
    <row r="851" customFormat="1" s="34"/>
    <row r="852" customFormat="1" s="34"/>
    <row r="853" customFormat="1" s="34"/>
    <row r="854" customFormat="1" s="34"/>
    <row r="855" customFormat="1" s="34"/>
    <row r="856" customFormat="1" s="34"/>
    <row r="857" customFormat="1" s="34"/>
    <row r="858" customFormat="1" s="34"/>
    <row r="859" customFormat="1" s="34"/>
    <row r="860" customFormat="1" s="34"/>
    <row r="861" customFormat="1" s="34"/>
    <row r="862" customFormat="1" s="34"/>
    <row r="863" customFormat="1" s="34"/>
    <row r="864" customFormat="1" s="34"/>
    <row r="865" customFormat="1" s="34"/>
    <row r="866" customFormat="1" s="34"/>
    <row r="867" customFormat="1" s="34"/>
    <row r="868" customFormat="1" s="34"/>
    <row r="869" customFormat="1" s="34"/>
    <row r="870" customFormat="1" s="34"/>
    <row r="871" customFormat="1" s="34"/>
    <row r="872" customFormat="1" s="34"/>
    <row r="873" customFormat="1" s="34"/>
    <row r="874" customFormat="1" s="34"/>
    <row r="875" customFormat="1" s="34"/>
    <row r="876" customFormat="1" s="34"/>
    <row r="877" customFormat="1" s="34"/>
    <row r="878" customFormat="1" s="34"/>
    <row r="879" customFormat="1" s="34"/>
    <row r="880" customFormat="1" s="34"/>
    <row r="881" customFormat="1" s="34"/>
    <row r="882" customFormat="1" s="34"/>
    <row r="883" customFormat="1" s="34"/>
    <row r="884" customFormat="1" s="34"/>
    <row r="885" customFormat="1" s="34"/>
    <row r="886" customFormat="1" s="34"/>
    <row r="887" customFormat="1" s="34"/>
    <row r="888" customFormat="1" s="34"/>
    <row r="889" customFormat="1" s="34"/>
    <row r="890" customFormat="1" s="34"/>
    <row r="891" customFormat="1" s="34"/>
    <row r="892" customFormat="1" s="34"/>
    <row r="893" customFormat="1" s="34"/>
    <row r="894" customFormat="1" s="34"/>
    <row r="895" customFormat="1" s="34"/>
    <row r="896" customFormat="1" s="34"/>
    <row r="897" customFormat="1" s="34"/>
    <row r="898" customFormat="1" s="34"/>
    <row r="899" customFormat="1" s="34"/>
    <row r="900" customFormat="1" s="34"/>
    <row r="901" customFormat="1" s="34"/>
    <row r="902" customFormat="1" s="34"/>
    <row r="903" customFormat="1" s="34"/>
    <row r="904" customFormat="1" s="34"/>
    <row r="905" customFormat="1" s="34"/>
    <row r="906" customFormat="1" s="34"/>
    <row r="907" customFormat="1" s="34"/>
    <row r="908" customFormat="1" s="34"/>
    <row r="909" customFormat="1" s="34"/>
    <row r="910" customFormat="1" s="34"/>
    <row r="911" customFormat="1" s="34"/>
    <row r="912" customFormat="1" s="34"/>
    <row r="913" customFormat="1" s="34"/>
    <row r="914" customFormat="1" s="34"/>
    <row r="915" customFormat="1" s="34"/>
    <row r="916" customFormat="1" s="34"/>
    <row r="917" customFormat="1" s="34"/>
    <row r="918" customFormat="1" s="34"/>
    <row r="919" customFormat="1" s="34"/>
    <row r="920" customFormat="1" s="34"/>
    <row r="921" customFormat="1" s="34"/>
    <row r="922" customFormat="1" s="34"/>
    <row r="923" customFormat="1" s="34"/>
    <row r="924" customFormat="1" s="34"/>
    <row r="925" customFormat="1" s="34"/>
    <row r="926" customFormat="1" s="34"/>
    <row r="927" customFormat="1" s="34"/>
    <row r="928" customFormat="1" s="34"/>
    <row r="929" customFormat="1" s="34"/>
    <row r="930" customFormat="1" s="34"/>
    <row r="931" customFormat="1" s="34"/>
    <row r="932" customFormat="1" s="34"/>
    <row r="933" customFormat="1" s="34"/>
    <row r="934" customFormat="1" s="34"/>
    <row r="935" customFormat="1" s="34"/>
    <row r="936" customFormat="1" s="34"/>
    <row r="937" customFormat="1" s="34"/>
    <row r="938" customFormat="1" s="34"/>
    <row r="939" customFormat="1" s="34"/>
    <row r="940" customFormat="1" s="34"/>
    <row r="941" customFormat="1" s="34"/>
    <row r="942" customFormat="1" s="34"/>
    <row r="943" customFormat="1" s="34"/>
    <row r="944" customFormat="1" s="34"/>
    <row r="945" customFormat="1" s="34"/>
    <row r="946" customFormat="1" s="34"/>
    <row r="947" customFormat="1" s="34"/>
    <row r="948" customFormat="1" s="34"/>
    <row r="949" customFormat="1" s="34"/>
    <row r="950" customFormat="1" s="34"/>
    <row r="951" customFormat="1" s="34"/>
    <row r="952" customFormat="1" s="34"/>
    <row r="953" customFormat="1" s="34"/>
    <row r="954" customFormat="1" s="34"/>
    <row r="955" customFormat="1" s="34"/>
    <row r="956" customFormat="1" s="34"/>
    <row r="957" customFormat="1" s="34"/>
    <row r="958" customFormat="1" s="34"/>
    <row r="959" customFormat="1" s="34"/>
    <row r="960" customFormat="1" s="34"/>
    <row r="961" customFormat="1" s="34"/>
    <row r="962" customFormat="1" s="34"/>
    <row r="963" customFormat="1" s="34"/>
    <row r="964" customFormat="1" s="34"/>
    <row r="965" customFormat="1" s="34"/>
    <row r="966" customFormat="1" s="34"/>
    <row r="967" customFormat="1" s="34"/>
    <row r="968" customFormat="1" s="34"/>
    <row r="969" customFormat="1" s="34"/>
    <row r="970" customFormat="1" s="34"/>
    <row r="971" customFormat="1" s="34"/>
    <row r="972" customFormat="1" s="34"/>
    <row r="973" customFormat="1" s="34"/>
    <row r="974" customFormat="1" s="34"/>
    <row r="975" customFormat="1" s="34"/>
    <row r="976" customFormat="1" s="34"/>
    <row r="977" customFormat="1" s="34"/>
    <row r="978" customFormat="1" s="34"/>
    <row r="979" customFormat="1" s="34"/>
    <row r="980" customFormat="1" s="34"/>
    <row r="981" customFormat="1" s="34"/>
    <row r="982" customFormat="1" s="34"/>
    <row r="983" customFormat="1" s="34"/>
    <row r="984" customFormat="1" s="34"/>
    <row r="985" customFormat="1" s="34"/>
    <row r="986" customFormat="1" s="34"/>
    <row r="987" customFormat="1" s="34"/>
    <row r="988" customFormat="1" s="34"/>
    <row r="989" customFormat="1" s="34"/>
    <row r="990" customFormat="1" s="34"/>
    <row r="991" customFormat="1" s="34"/>
    <row r="992" customFormat="1" s="34"/>
    <row r="993" customFormat="1" s="34"/>
    <row r="994" customFormat="1" s="34"/>
    <row r="995" customFormat="1" s="34"/>
    <row r="996" customFormat="1" s="34"/>
    <row r="997" customFormat="1" s="34"/>
    <row r="998" customFormat="1" s="34"/>
    <row r="999" customFormat="1" s="34"/>
    <row r="1000" customFormat="1" s="34"/>
    <row r="1001" customFormat="1" s="34"/>
    <row r="1002" customFormat="1" s="34"/>
    <row r="1003" customFormat="1" s="34"/>
    <row r="1004" customFormat="1" s="34"/>
    <row r="1005" customFormat="1" s="34"/>
    <row r="1006" customFormat="1" s="34"/>
    <row r="1007" customFormat="1" s="34"/>
    <row r="1008" customFormat="1" s="34"/>
    <row r="1009" customFormat="1" s="34"/>
    <row r="1010" customFormat="1" s="34"/>
    <row r="1011" customFormat="1" s="34"/>
    <row r="1012" customFormat="1" s="34"/>
    <row r="1013" customFormat="1" s="34"/>
    <row r="1014" customFormat="1" s="34"/>
    <row r="1015" customFormat="1" s="34"/>
    <row r="1016" customFormat="1" s="34"/>
    <row r="1017" customFormat="1" s="34"/>
    <row r="1018" customFormat="1" s="34"/>
    <row r="1019" customFormat="1" s="34"/>
    <row r="1020" customFormat="1" s="34"/>
    <row r="1021" customFormat="1" s="34"/>
    <row r="1022" customFormat="1" s="34"/>
    <row r="1023" customFormat="1" s="34"/>
    <row r="1024" customFormat="1" s="34"/>
    <row r="1025" customFormat="1" s="34"/>
    <row r="1026" customFormat="1" s="34"/>
    <row r="1027" customFormat="1" s="34"/>
    <row r="1028" customFormat="1" s="34"/>
    <row r="1029" customFormat="1" s="34"/>
    <row r="1030" customFormat="1" s="34"/>
    <row r="1031" customFormat="1" s="34"/>
    <row r="1032" customFormat="1" s="34"/>
    <row r="1033" customFormat="1" s="34"/>
    <row r="1034" customFormat="1" s="34"/>
    <row r="1035" customFormat="1" s="34"/>
    <row r="1036" customFormat="1" s="34"/>
    <row r="1037" customFormat="1" s="34"/>
    <row r="1038" customFormat="1" s="34"/>
    <row r="1039" customFormat="1" s="34"/>
    <row r="1040" customFormat="1" s="34"/>
    <row r="1041" customFormat="1" s="34"/>
    <row r="1042" customFormat="1" s="34"/>
    <row r="1043" customFormat="1" s="34"/>
    <row r="1044" customFormat="1" s="34"/>
    <row r="1045" customFormat="1" s="34"/>
    <row r="1046" customFormat="1" s="34"/>
    <row r="1047" customFormat="1" s="34"/>
    <row r="1048" customFormat="1" s="34"/>
    <row r="1049" customFormat="1" s="34"/>
    <row r="1050" customFormat="1" s="34"/>
    <row r="1051" customFormat="1" s="34"/>
    <row r="1052" customFormat="1" s="34"/>
    <row r="1053" customFormat="1" s="34"/>
    <row r="1054" customFormat="1" s="34"/>
    <row r="1055" customFormat="1" s="34"/>
    <row r="1056" customFormat="1" s="34"/>
    <row r="1057" customFormat="1" s="34"/>
    <row r="1058" customFormat="1" s="34"/>
    <row r="1059" customFormat="1" s="34"/>
    <row r="1060" customFormat="1" s="34"/>
    <row r="1061" customFormat="1" s="34"/>
    <row r="1062" customFormat="1" s="34"/>
    <row r="1063" customFormat="1" s="34"/>
    <row r="1064" customFormat="1" s="34"/>
    <row r="1065" customFormat="1" s="34"/>
    <row r="1066" customFormat="1" s="34"/>
    <row r="1067" customFormat="1" s="34"/>
    <row r="1068" customFormat="1" s="34"/>
    <row r="1069" customFormat="1" s="34"/>
    <row r="1070" customFormat="1" s="34"/>
    <row r="1071" customFormat="1" s="34"/>
    <row r="1072" customFormat="1" s="34"/>
    <row r="1073" customFormat="1" s="34"/>
    <row r="1074" customFormat="1" s="34"/>
    <row r="1075" customFormat="1" s="34"/>
    <row r="1076" customFormat="1" s="34"/>
    <row r="1077" customFormat="1" s="34"/>
    <row r="1078" customFormat="1" s="34"/>
    <row r="1079" customFormat="1" s="34"/>
    <row r="1080" customFormat="1" s="34"/>
    <row r="1081" customFormat="1" s="34"/>
    <row r="1082" customFormat="1" s="34"/>
    <row r="1083" customFormat="1" s="34"/>
    <row r="1084" customFormat="1" s="34"/>
    <row r="1085" customFormat="1" s="34"/>
    <row r="1086" customFormat="1" s="34"/>
    <row r="1087" customFormat="1" s="34"/>
    <row r="1088" customFormat="1" s="34"/>
    <row r="1089" customFormat="1" s="34"/>
    <row r="1090" customFormat="1" s="34"/>
    <row r="1091" customFormat="1" s="34"/>
    <row r="1092" customFormat="1" s="34"/>
    <row r="1093" customFormat="1" s="34"/>
    <row r="1094" customFormat="1" s="34"/>
    <row r="1095" customFormat="1" s="34"/>
    <row r="1096" customFormat="1" s="34"/>
    <row r="1097" customFormat="1" s="34"/>
    <row r="1098" customFormat="1" s="34"/>
    <row r="1099" customFormat="1" s="34"/>
    <row r="1100" customFormat="1" s="34"/>
    <row r="1101" customFormat="1" s="34"/>
    <row r="1102" customFormat="1" s="34"/>
    <row r="1103" customFormat="1" s="34"/>
    <row r="1104" customFormat="1" s="34"/>
    <row r="1105" customFormat="1" s="34"/>
    <row r="1106" customFormat="1" s="34"/>
    <row r="1107" customFormat="1" s="34"/>
    <row r="1108" customFormat="1" s="34"/>
    <row r="1109" customFormat="1" s="34"/>
    <row r="1110" customFormat="1" s="34"/>
    <row r="1111" customFormat="1" s="34"/>
    <row r="1112" customFormat="1" s="34"/>
    <row r="1113" customFormat="1" s="34"/>
    <row r="1114" customFormat="1" s="34"/>
    <row r="1115" customFormat="1" s="34"/>
    <row r="1116" customFormat="1" s="34"/>
    <row r="1117" customFormat="1" s="34"/>
    <row r="1118" customFormat="1" s="34"/>
    <row r="1119" customFormat="1" s="34"/>
    <row r="1120" customFormat="1" s="34"/>
    <row r="1121" customFormat="1" s="34"/>
    <row r="1122" customFormat="1" s="34"/>
    <row r="1123" customFormat="1" s="34"/>
    <row r="1124" customFormat="1" s="34"/>
    <row r="1125" customFormat="1" s="34"/>
    <row r="1126" customFormat="1" s="34"/>
    <row r="1127" customFormat="1" s="34"/>
    <row r="1128" customFormat="1" s="34"/>
    <row r="1129" customFormat="1" s="34"/>
    <row r="1130" customFormat="1" s="34"/>
    <row r="1131" customFormat="1" s="34"/>
    <row r="1132" customFormat="1" s="34"/>
    <row r="1133" customFormat="1" s="34"/>
    <row r="1134" customFormat="1" s="34"/>
    <row r="1135" customFormat="1" s="34"/>
    <row r="1136" customFormat="1" s="34"/>
    <row r="1137" customFormat="1" s="34"/>
    <row r="1138" customFormat="1" s="34"/>
    <row r="1139" customFormat="1" s="34"/>
    <row r="1140" customFormat="1" s="34"/>
    <row r="1141" customFormat="1" s="34"/>
    <row r="1142" customFormat="1" s="34"/>
    <row r="1143" customFormat="1" s="34"/>
    <row r="1144" customFormat="1" s="34"/>
    <row r="1145" customFormat="1" s="34"/>
    <row r="1146" customFormat="1" s="34"/>
    <row r="1147" customFormat="1" s="34"/>
    <row r="1148" customFormat="1" s="34"/>
    <row r="1149" customFormat="1" s="34"/>
    <row r="1150" customFormat="1" s="34"/>
    <row r="1151" customFormat="1" s="34"/>
    <row r="1152" customFormat="1" s="34"/>
    <row r="1153" customFormat="1" s="34"/>
    <row r="1154" customFormat="1" s="34"/>
    <row r="1155" customFormat="1" s="34"/>
    <row r="1156" customFormat="1" s="34"/>
    <row r="1157" customFormat="1" s="34"/>
    <row r="1158" customFormat="1" s="34"/>
    <row r="1159" customFormat="1" s="34"/>
    <row r="1160" customFormat="1" s="34"/>
    <row r="1161" customFormat="1" s="34"/>
    <row r="1162" customFormat="1" s="34"/>
    <row r="1163" customFormat="1" s="34"/>
    <row r="1164" customFormat="1" s="34"/>
    <row r="1165" customFormat="1" s="34"/>
    <row r="1166" customFormat="1" s="34"/>
    <row r="1167" customFormat="1" s="34"/>
    <row r="1168" customFormat="1" s="34"/>
    <row r="1169" customFormat="1" s="34"/>
    <row r="1170" customFormat="1" s="34"/>
    <row r="1171" customFormat="1" s="34"/>
    <row r="1172" customFormat="1" s="34"/>
    <row r="1173" customFormat="1" s="34"/>
    <row r="1174" customFormat="1" s="34"/>
    <row r="1175" customFormat="1" s="34"/>
    <row r="1176" customFormat="1" s="34"/>
    <row r="1177" customFormat="1" s="34"/>
    <row r="1178" customFormat="1" s="34"/>
    <row r="1179" customFormat="1" s="34"/>
    <row r="1180" customFormat="1" s="34"/>
    <row r="1181" customFormat="1" s="34"/>
    <row r="1182" customFormat="1" s="34"/>
    <row r="1183" customFormat="1" s="34"/>
    <row r="1184" customFormat="1" s="34"/>
    <row r="1185" customFormat="1" s="34"/>
    <row r="1186" customFormat="1" s="34"/>
    <row r="1187" customFormat="1" s="34"/>
    <row r="1188" customFormat="1" s="34"/>
    <row r="1189" customFormat="1" s="34"/>
    <row r="1190" customFormat="1" s="34"/>
    <row r="1191" customFormat="1" s="34"/>
    <row r="1192" customFormat="1" s="34"/>
    <row r="1193" customFormat="1" s="34"/>
    <row r="1194" customFormat="1" s="34"/>
    <row r="1195" customFormat="1" s="34"/>
    <row r="1196" customFormat="1" s="34"/>
    <row r="1197" customFormat="1" s="34"/>
    <row r="1198" customFormat="1" s="34"/>
    <row r="1199" customFormat="1" s="34"/>
    <row r="1200" customFormat="1" s="34"/>
    <row r="1201" customFormat="1" s="34"/>
    <row r="1202" customFormat="1" s="34"/>
    <row r="1203" customFormat="1" s="34"/>
    <row r="1204" customFormat="1" s="34"/>
    <row r="1205" customFormat="1" s="34"/>
    <row r="1206" customFormat="1" s="34"/>
    <row r="1207" customFormat="1" s="34"/>
    <row r="1208" customFormat="1" s="34"/>
    <row r="1209" customFormat="1" s="34"/>
    <row r="1210" customFormat="1" s="34"/>
    <row r="1211" customFormat="1" s="34"/>
    <row r="1212" customFormat="1" s="34"/>
    <row r="1213" customFormat="1" s="34"/>
    <row r="1214" customFormat="1" s="34"/>
    <row r="1215" customFormat="1" s="34"/>
    <row r="1216" customFormat="1" s="34"/>
    <row r="1217" customFormat="1" s="34"/>
    <row r="1218" customFormat="1" s="34"/>
    <row r="1219" customFormat="1" s="34"/>
    <row r="1220" customFormat="1" s="34"/>
    <row r="1221" customFormat="1" s="34"/>
    <row r="1222" customFormat="1" s="34"/>
    <row r="1223" customFormat="1" s="34"/>
    <row r="1224" customFormat="1" s="34"/>
    <row r="1225" customFormat="1" s="34"/>
    <row r="1226" customFormat="1" s="34"/>
    <row r="1227" customFormat="1" s="34"/>
    <row r="1228" customFormat="1" s="34"/>
    <row r="1229" customFormat="1" s="34"/>
    <row r="1230" customFormat="1" s="34"/>
    <row r="1231" customFormat="1" s="34"/>
    <row r="1232" customFormat="1" s="34"/>
    <row r="1233" customFormat="1" s="34"/>
    <row r="1234" customFormat="1" s="34"/>
    <row r="1235" customFormat="1" s="34"/>
    <row r="1236" customFormat="1" s="34"/>
    <row r="1237" customFormat="1" s="34"/>
    <row r="1238" customFormat="1" s="34"/>
    <row r="1239" customFormat="1" s="34"/>
    <row r="1240" customFormat="1" s="34"/>
    <row r="1241" customFormat="1" s="34"/>
    <row r="1242" customFormat="1" s="34"/>
    <row r="1243" customFormat="1" s="34"/>
    <row r="1244" customFormat="1" s="34"/>
    <row r="1245" customFormat="1" s="34"/>
    <row r="1246" customFormat="1" s="34"/>
    <row r="1247" customFormat="1" s="34"/>
    <row r="1248" customFormat="1" s="34"/>
    <row r="1249" customFormat="1" s="34"/>
    <row r="1250" customFormat="1" s="34"/>
    <row r="1251" customFormat="1" s="34"/>
    <row r="1252" customFormat="1" s="34"/>
    <row r="1253" customFormat="1" s="34"/>
    <row r="1254" customFormat="1" s="34"/>
    <row r="1255" customFormat="1" s="34"/>
    <row r="1256" customFormat="1" s="34"/>
    <row r="1257" customFormat="1" s="34"/>
    <row r="1258" customFormat="1" s="34"/>
    <row r="1259" customFormat="1" s="34"/>
    <row r="1260" customFormat="1" s="34"/>
    <row r="1261" customFormat="1" s="34"/>
    <row r="1262" customFormat="1" s="34"/>
    <row r="1263" customFormat="1" s="34"/>
    <row r="1264" customFormat="1" s="34"/>
    <row r="1265" customFormat="1" s="34"/>
    <row r="1266" customFormat="1" s="34"/>
    <row r="1267" customFormat="1" s="34"/>
    <row r="1268" customFormat="1" s="34"/>
    <row r="1269" customFormat="1" s="34"/>
    <row r="1270" customFormat="1" s="34"/>
    <row r="1271" customFormat="1" s="34"/>
    <row r="1272" customFormat="1" s="34"/>
    <row r="1273" customFormat="1" s="34"/>
    <row r="1274" customFormat="1" s="34"/>
    <row r="1275" customFormat="1" s="34"/>
    <row r="1276" customFormat="1" s="34"/>
    <row r="1277" customFormat="1" s="34"/>
    <row r="1278" customFormat="1" s="34"/>
    <row r="1279" customFormat="1" s="34"/>
    <row r="1280" customFormat="1" s="34"/>
    <row r="1281" customFormat="1" s="34"/>
    <row r="1282" customFormat="1" s="34"/>
    <row r="1283" customFormat="1" s="34"/>
    <row r="1284" customFormat="1" s="34"/>
    <row r="1285" customFormat="1" s="34"/>
    <row r="1286" customFormat="1" s="34"/>
    <row r="1287" customFormat="1" s="34"/>
    <row r="1288" customFormat="1" s="34"/>
    <row r="1289" customFormat="1" s="34"/>
    <row r="1290" customFormat="1" s="34"/>
    <row r="1291" customFormat="1" s="34"/>
    <row r="1292" customFormat="1" s="34"/>
    <row r="1293" customFormat="1" s="34"/>
    <row r="1294" customFormat="1" s="34"/>
    <row r="1295" customFormat="1" s="34"/>
    <row r="1296" customFormat="1" s="34"/>
    <row r="1297" customFormat="1" s="34"/>
    <row r="1298" customFormat="1" s="34"/>
    <row r="1299" customFormat="1" s="34"/>
    <row r="1300" customFormat="1" s="34"/>
    <row r="1301" customFormat="1" s="34"/>
    <row r="1302" customFormat="1" s="34"/>
    <row r="1303" customFormat="1" s="34"/>
    <row r="1304" customFormat="1" s="34"/>
    <row r="1305" customFormat="1" s="34"/>
    <row r="1306" customFormat="1" s="34"/>
    <row r="1307" customFormat="1" s="34"/>
    <row r="1308" customFormat="1" s="34"/>
    <row r="1309" customFormat="1" s="34"/>
    <row r="1310" customFormat="1" s="34"/>
    <row r="1311" customFormat="1" s="34"/>
    <row r="1312" customFormat="1" s="34"/>
    <row r="1313" customFormat="1" s="34"/>
    <row r="1314" customFormat="1" s="34"/>
    <row r="1315" customFormat="1" s="34"/>
    <row r="1316" customFormat="1" s="34"/>
    <row r="1317" customFormat="1" s="34"/>
    <row r="1318" customFormat="1" s="34"/>
    <row r="1319" customFormat="1" s="34"/>
    <row r="1320" customFormat="1" s="34"/>
    <row r="1321" customFormat="1" s="34"/>
    <row r="1322" customFormat="1" s="34"/>
    <row r="1323" customFormat="1" s="34"/>
    <row r="1324" customFormat="1" s="34"/>
    <row r="1325" customFormat="1" s="34"/>
    <row r="1326" customFormat="1" s="34"/>
    <row r="1327" customFormat="1" s="34"/>
    <row r="1328" customFormat="1" s="34"/>
    <row r="1329" customFormat="1" s="34"/>
    <row r="1330" customFormat="1" s="34"/>
    <row r="1331" customFormat="1" s="34"/>
    <row r="1332" customFormat="1" s="34"/>
    <row r="1333" customFormat="1" s="34"/>
    <row r="1334" customFormat="1" s="34"/>
    <row r="1335" customFormat="1" s="34"/>
    <row r="1336" customFormat="1" s="34"/>
    <row r="1337" customFormat="1" s="34"/>
    <row r="1338" customFormat="1" s="34"/>
    <row r="1339" customFormat="1" s="34"/>
    <row r="1340" customFormat="1" s="34"/>
    <row r="1341" customFormat="1" s="34"/>
    <row r="1342" customFormat="1" s="34"/>
    <row r="1343" customFormat="1" s="34"/>
    <row r="1344" customFormat="1" s="34"/>
    <row r="1345" customFormat="1" s="34"/>
    <row r="1346" customFormat="1" s="34"/>
    <row r="1347" customFormat="1" s="34"/>
    <row r="1348" customFormat="1" s="34"/>
    <row r="1349" customFormat="1" s="34"/>
    <row r="1350" customFormat="1" s="34"/>
    <row r="1351" customFormat="1" s="34"/>
    <row r="1352" customFormat="1" s="34"/>
    <row r="1353" customFormat="1" s="34"/>
    <row r="1354" customFormat="1" s="34"/>
    <row r="1355" customFormat="1" s="34"/>
    <row r="1356" customFormat="1" s="34"/>
    <row r="1357" customFormat="1" s="34"/>
    <row r="1358" customFormat="1" s="34"/>
    <row r="1359" customFormat="1" s="34"/>
    <row r="1360" customFormat="1" s="34"/>
    <row r="1361" customFormat="1" s="34"/>
    <row r="1362" customFormat="1" s="34"/>
    <row r="1363" customFormat="1" s="34"/>
    <row r="1364" customFormat="1" s="34"/>
    <row r="1365" customFormat="1" s="34"/>
    <row r="1366" customFormat="1" s="34"/>
    <row r="1367" customFormat="1" s="34"/>
    <row r="1368" customFormat="1" s="34"/>
    <row r="1369" customFormat="1" s="34"/>
    <row r="1370" customFormat="1" s="34"/>
    <row r="1371" customFormat="1" s="34"/>
    <row r="1372" customFormat="1" s="34"/>
    <row r="1373" customFormat="1" s="34"/>
    <row r="1374" customFormat="1" s="34"/>
    <row r="1375" customFormat="1" s="34"/>
    <row r="1376" customFormat="1" s="34"/>
    <row r="1377" customFormat="1" s="34"/>
    <row r="1378" customFormat="1" s="34"/>
    <row r="1379" customFormat="1" s="34"/>
    <row r="1380" customFormat="1" s="34"/>
    <row r="1381" customFormat="1" s="34"/>
    <row r="1382" customFormat="1" s="34"/>
    <row r="1383" customFormat="1" s="34"/>
    <row r="1384" customFormat="1" s="34"/>
    <row r="1385" customFormat="1" s="34"/>
    <row r="1386" customFormat="1" s="34"/>
    <row r="1387" customFormat="1" s="34"/>
    <row r="1388" customFormat="1" s="34"/>
    <row r="1389" customFormat="1" s="34"/>
    <row r="1390" customFormat="1" s="34"/>
    <row r="1391" customFormat="1" s="34"/>
    <row r="1392" customFormat="1" s="34"/>
    <row r="1393" customFormat="1" s="34"/>
    <row r="1394" customFormat="1" s="34"/>
    <row r="1395" customFormat="1" s="34"/>
    <row r="1396" customFormat="1" s="34"/>
    <row r="1397" customFormat="1" s="34"/>
    <row r="1398" customFormat="1" s="34"/>
    <row r="1399" customFormat="1" s="34"/>
    <row r="1400" customFormat="1" s="34"/>
    <row r="1401" customFormat="1" s="34"/>
    <row r="1402" customFormat="1" s="34"/>
    <row r="1403" customFormat="1" s="34"/>
    <row r="1404" customFormat="1" s="34"/>
    <row r="1405" customFormat="1" s="34"/>
    <row r="1406" customFormat="1" s="34"/>
    <row r="1407" customFormat="1" s="34"/>
    <row r="1408" customFormat="1" s="34"/>
    <row r="1409" customFormat="1" s="34"/>
    <row r="1410" customFormat="1" s="34"/>
    <row r="1411" customFormat="1" s="34"/>
    <row r="1412" customFormat="1" s="34"/>
    <row r="1413" customFormat="1" s="34"/>
    <row r="1414" customFormat="1" s="34"/>
    <row r="1415" customFormat="1" s="34"/>
    <row r="1416" customFormat="1" s="34"/>
    <row r="1417" customFormat="1" s="34"/>
    <row r="1418" customFormat="1" s="34"/>
    <row r="1419" customFormat="1" s="34"/>
    <row r="1420" customFormat="1" s="34"/>
    <row r="1421" customFormat="1" s="34"/>
    <row r="1422" customFormat="1" s="34"/>
    <row r="1423" customFormat="1" s="34"/>
    <row r="1424" customFormat="1" s="34"/>
    <row r="1425" customFormat="1" s="34"/>
    <row r="1426" customFormat="1" s="34"/>
    <row r="1427" customFormat="1" s="34"/>
    <row r="1428" customFormat="1" s="34"/>
    <row r="1429" customFormat="1" s="34"/>
    <row r="1430" customFormat="1" s="34"/>
    <row r="1431" customFormat="1" s="34"/>
    <row r="1432" customFormat="1" s="34"/>
    <row r="1433" customFormat="1" s="34"/>
    <row r="1434" customFormat="1" s="34"/>
    <row r="1435" customFormat="1" s="34"/>
    <row r="1436" customFormat="1" s="34"/>
    <row r="1437" customFormat="1" s="34"/>
    <row r="1438" customFormat="1" s="34"/>
    <row r="1439" customFormat="1" s="34"/>
    <row r="1440" customFormat="1" s="34"/>
    <row r="1441" customFormat="1" s="34"/>
    <row r="1442" customFormat="1" s="34"/>
    <row r="1443" customFormat="1" s="34"/>
    <row r="1444" customFormat="1" s="34"/>
    <row r="1445" customFormat="1" s="34"/>
    <row r="1446" customFormat="1" s="34"/>
    <row r="1447" customFormat="1" s="34"/>
    <row r="1448" customFormat="1" s="34"/>
    <row r="1449" customFormat="1" s="34"/>
    <row r="1450" customFormat="1" s="34"/>
    <row r="1451" customFormat="1" s="34"/>
    <row r="1452" customFormat="1" s="34"/>
    <row r="1453" customFormat="1" s="34"/>
    <row r="1454" customFormat="1" s="34"/>
    <row r="1455" customFormat="1" s="34"/>
    <row r="1456" customFormat="1" s="34"/>
    <row r="1457" customFormat="1" s="34"/>
    <row r="1458" customFormat="1" s="34"/>
    <row r="1459" customFormat="1" s="34"/>
    <row r="1460" customFormat="1" s="34"/>
    <row r="1461" customFormat="1" s="34"/>
    <row r="1462" customFormat="1" s="34"/>
    <row r="1463" customFormat="1" s="34"/>
    <row r="1464" customFormat="1" s="34"/>
    <row r="1465" customFormat="1" s="34"/>
    <row r="1466" customFormat="1" s="34"/>
    <row r="1467" customFormat="1" s="34"/>
    <row r="1468" customFormat="1" s="34"/>
    <row r="1469" customFormat="1" s="34"/>
    <row r="1470" customFormat="1" s="34"/>
    <row r="1471" customFormat="1" s="34"/>
    <row r="1472" customFormat="1" s="34"/>
    <row r="1473" customFormat="1" s="34"/>
    <row r="1474" customFormat="1" s="34"/>
    <row r="1475" customFormat="1" s="34"/>
    <row r="1476" customFormat="1" s="34"/>
    <row r="1477" customFormat="1" s="34"/>
    <row r="1478" customFormat="1" s="34"/>
    <row r="1479" customFormat="1" s="34"/>
    <row r="1480" customFormat="1" s="34"/>
    <row r="1481" customFormat="1" s="34"/>
    <row r="1482" customFormat="1" s="34"/>
    <row r="1483" customFormat="1" s="34"/>
    <row r="1484" customFormat="1" s="34"/>
    <row r="1485" customFormat="1" s="34"/>
    <row r="1486" customFormat="1" s="34"/>
    <row r="1487" customFormat="1" s="34"/>
    <row r="1488" customFormat="1" s="34"/>
    <row r="1489" customFormat="1" s="34"/>
    <row r="1490" customFormat="1" s="34"/>
    <row r="1491" customFormat="1" s="34"/>
    <row r="1492" customFormat="1" s="34"/>
    <row r="1493" customFormat="1" s="34"/>
    <row r="1494" customFormat="1" s="34"/>
    <row r="1495" customFormat="1" s="34"/>
    <row r="1496" customFormat="1" s="34"/>
    <row r="1497" customFormat="1" s="34"/>
    <row r="1498" customFormat="1" s="34"/>
    <row r="1499" customFormat="1" s="34"/>
    <row r="1500" customFormat="1" s="34"/>
    <row r="1501" customFormat="1" s="34"/>
    <row r="1502" customFormat="1" s="34"/>
    <row r="1503" customFormat="1" s="34"/>
    <row r="1504" customFormat="1" s="34"/>
    <row r="1505" customFormat="1" s="34"/>
    <row r="1506" customFormat="1" s="34"/>
    <row r="1507" customFormat="1" s="34"/>
    <row r="1508" customFormat="1" s="34"/>
    <row r="1509" customFormat="1" s="34"/>
    <row r="1510" customFormat="1" s="34"/>
    <row r="1511" customFormat="1" s="34"/>
    <row r="1512" customFormat="1" s="34"/>
    <row r="1513" customFormat="1" s="34"/>
    <row r="1514" customFormat="1" s="34"/>
    <row r="1515" customFormat="1" s="34"/>
    <row r="1516" customFormat="1" s="34"/>
    <row r="1517" customFormat="1" s="34"/>
    <row r="1518" customFormat="1" s="34"/>
    <row r="1519" customFormat="1" s="34"/>
    <row r="1520" customFormat="1" s="34"/>
    <row r="1521" customFormat="1" s="34"/>
    <row r="1522" customFormat="1" s="34"/>
    <row r="1523" customFormat="1" s="34"/>
    <row r="1524" customFormat="1" s="34"/>
    <row r="1525" customFormat="1" s="34"/>
    <row r="1526" customFormat="1" s="34"/>
    <row r="1527" customFormat="1" s="34"/>
    <row r="1528" customFormat="1" s="34"/>
    <row r="1529" customFormat="1" s="34"/>
    <row r="1530" customFormat="1" s="34"/>
    <row r="1531" customFormat="1" s="34"/>
    <row r="1532" customFormat="1" s="34"/>
    <row r="1533" customFormat="1" s="34"/>
    <row r="1534" customFormat="1" s="34"/>
    <row r="1535" customFormat="1" s="34"/>
    <row r="1536" customFormat="1" s="34"/>
    <row r="1537" customFormat="1" s="34"/>
    <row r="1538" customFormat="1" s="34"/>
    <row r="1539" customFormat="1" s="34"/>
    <row r="1540" customFormat="1" s="34"/>
    <row r="1541" customFormat="1" s="34"/>
    <row r="1542" customFormat="1" s="34"/>
    <row r="1543" customFormat="1" s="34"/>
    <row r="1544" customFormat="1" s="34"/>
    <row r="1545" customFormat="1" s="34"/>
    <row r="1546" customFormat="1" s="34"/>
    <row r="1547" customFormat="1" s="34"/>
    <row r="1548" customFormat="1" s="34"/>
    <row r="1549" customFormat="1" s="34"/>
    <row r="1550" customFormat="1" s="34"/>
    <row r="1551" customFormat="1" s="34"/>
    <row r="1552" customFormat="1" s="34"/>
    <row r="1553" customFormat="1" s="34"/>
    <row r="1554" customFormat="1" s="34"/>
    <row r="1555" customFormat="1" s="34"/>
    <row r="1556" customFormat="1" s="34"/>
    <row r="1557" customFormat="1" s="34"/>
    <row r="1558" customFormat="1" s="34"/>
    <row r="1559" customFormat="1" s="34"/>
    <row r="1560" customFormat="1" s="34"/>
    <row r="1561" customFormat="1" s="34"/>
    <row r="1562" customFormat="1" s="34"/>
    <row r="1563" customFormat="1" s="34"/>
    <row r="1564" customFormat="1" s="34"/>
    <row r="1565" customFormat="1" s="34"/>
    <row r="1566" customFormat="1" s="34"/>
    <row r="1567" customFormat="1" s="34"/>
    <row r="1568" customFormat="1" s="34"/>
    <row r="1569" customFormat="1" s="34"/>
    <row r="1570" customFormat="1" s="34"/>
    <row r="1571" customFormat="1" s="34"/>
    <row r="1572" customFormat="1" s="34"/>
    <row r="1573" customFormat="1" s="34"/>
    <row r="1574" customFormat="1" s="34"/>
    <row r="1575" customFormat="1" s="34"/>
    <row r="1576" customFormat="1" s="34"/>
    <row r="1577" customFormat="1" s="34"/>
    <row r="1578" customFormat="1" s="34"/>
    <row r="1579" customFormat="1" s="34"/>
    <row r="1580" customFormat="1" s="34"/>
    <row r="1581" customFormat="1" s="34"/>
    <row r="1582" customFormat="1" s="34"/>
    <row r="1583" customFormat="1" s="34"/>
    <row r="1584" customFormat="1" s="34"/>
    <row r="1585" customFormat="1" s="34"/>
    <row r="1586" customFormat="1" s="34"/>
    <row r="1587" customFormat="1" s="34"/>
    <row r="1588" customFormat="1" s="34"/>
    <row r="1589" customFormat="1" s="34"/>
    <row r="1590" customFormat="1" s="34"/>
    <row r="1591" customFormat="1" s="34"/>
    <row r="1592" customFormat="1" s="34"/>
    <row r="1593" customFormat="1" s="34"/>
    <row r="1594" customFormat="1" s="34"/>
    <row r="1595" customFormat="1" s="34"/>
    <row r="1596" customFormat="1" s="34"/>
    <row r="1597" customFormat="1" s="34"/>
    <row r="1598" customFormat="1" s="34"/>
    <row r="1599" customFormat="1" s="34"/>
    <row r="1600" customFormat="1" s="34"/>
    <row r="1601" customFormat="1" s="34"/>
    <row r="1602" customFormat="1" s="34"/>
    <row r="1603" customFormat="1" s="34"/>
    <row r="1604" customFormat="1" s="34"/>
    <row r="1605" customFormat="1" s="34"/>
    <row r="1606" customFormat="1" s="34"/>
    <row r="1607" customFormat="1" s="34"/>
    <row r="1608" customFormat="1" s="34"/>
    <row r="1609" customFormat="1" s="34"/>
    <row r="1610" customFormat="1" s="34"/>
    <row r="1611" customFormat="1" s="34"/>
    <row r="1612" customFormat="1" s="34"/>
    <row r="1613" customFormat="1" s="34"/>
    <row r="1614" customFormat="1" s="34"/>
    <row r="1615" customFormat="1" s="34"/>
    <row r="1616" customFormat="1" s="34"/>
    <row r="1617" customFormat="1" s="34"/>
    <row r="1618" customFormat="1" s="34"/>
    <row r="1619" customFormat="1" s="34"/>
    <row r="1620" customFormat="1" s="34"/>
    <row r="1621" customFormat="1" s="34"/>
    <row r="1622" customFormat="1" s="34"/>
    <row r="1623" customFormat="1" s="34"/>
    <row r="1624" customFormat="1" s="34"/>
    <row r="1625" customFormat="1" s="34"/>
    <row r="1626" customFormat="1" s="34"/>
    <row r="1627" customFormat="1" s="34"/>
    <row r="1628" customFormat="1" s="34"/>
    <row r="1629" customFormat="1" s="34"/>
    <row r="1630" customFormat="1" s="34"/>
    <row r="1631" customFormat="1" s="34"/>
    <row r="1632" customFormat="1" s="34"/>
    <row r="1633" customFormat="1" s="34"/>
    <row r="1634" customFormat="1" s="34"/>
    <row r="1635" customFormat="1" s="34"/>
    <row r="1636" customFormat="1" s="34"/>
    <row r="1637" customFormat="1" s="34"/>
    <row r="1638" customFormat="1" s="34"/>
    <row r="1639" customFormat="1" s="34"/>
    <row r="1640" customFormat="1" s="34"/>
    <row r="1641" customFormat="1" s="34"/>
    <row r="1642" customFormat="1" s="34"/>
    <row r="1643" customFormat="1" s="34"/>
    <row r="1644" customFormat="1" s="34"/>
    <row r="1645" customFormat="1" s="34"/>
    <row r="1646" customFormat="1" s="34"/>
    <row r="1647" customFormat="1" s="34"/>
    <row r="1648" customFormat="1" s="34"/>
    <row r="1649" customFormat="1" s="34"/>
    <row r="1650" customFormat="1" s="34"/>
    <row r="1651" customFormat="1" s="34"/>
    <row r="1652" customFormat="1" s="34"/>
    <row r="1653" customFormat="1" s="34"/>
    <row r="1654" customFormat="1" s="34"/>
    <row r="1655" customFormat="1" s="34"/>
    <row r="1656" customFormat="1" s="34"/>
    <row r="1657" customFormat="1" s="34"/>
    <row r="1658" customFormat="1" s="34"/>
    <row r="1659" customFormat="1" s="34"/>
    <row r="1660" customFormat="1" s="34"/>
    <row r="1661" customFormat="1" s="34"/>
    <row r="1662" customFormat="1" s="34"/>
    <row r="1663" customFormat="1" s="34"/>
    <row r="1664" customFormat="1" s="34"/>
    <row r="1665" customFormat="1" s="34"/>
    <row r="1666" customFormat="1" s="34"/>
    <row r="1667" customFormat="1" s="34"/>
    <row r="1668" customFormat="1" s="34"/>
    <row r="1669" customFormat="1" s="34"/>
    <row r="1670" customFormat="1" s="34"/>
    <row r="1671" customFormat="1" s="34"/>
    <row r="1672" customFormat="1" s="34"/>
    <row r="1673" customFormat="1" s="34"/>
    <row r="1674" customFormat="1" s="34"/>
    <row r="1675" customFormat="1" s="34"/>
    <row r="1676" customFormat="1" s="34"/>
    <row r="1677" customFormat="1" s="34"/>
    <row r="1678" customFormat="1" s="34"/>
    <row r="1679" customFormat="1" s="34"/>
    <row r="1680" customFormat="1" s="34"/>
    <row r="1681" customFormat="1" s="34"/>
    <row r="1682" customFormat="1" s="34"/>
    <row r="1683" customFormat="1" s="34"/>
    <row r="1684" customFormat="1" s="34"/>
    <row r="1685" customFormat="1" s="34"/>
    <row r="1686" customFormat="1" s="34"/>
    <row r="1687" customFormat="1" s="34"/>
    <row r="1688" customFormat="1" s="34"/>
    <row r="1689" customFormat="1" s="34"/>
    <row r="1690" customFormat="1" s="34"/>
    <row r="1691" customFormat="1" s="34"/>
    <row r="1692" customFormat="1" s="34"/>
    <row r="1693" customFormat="1" s="34"/>
    <row r="1694" customFormat="1" s="34"/>
    <row r="1695" customFormat="1" s="34"/>
    <row r="1696" customFormat="1" s="34"/>
    <row r="1697" customFormat="1" s="34"/>
    <row r="1698" customFormat="1" s="34"/>
    <row r="1699" customFormat="1" s="34"/>
    <row r="1700" customFormat="1" s="34"/>
    <row r="1701" customFormat="1" s="34"/>
    <row r="1702" customFormat="1" s="34"/>
    <row r="1703" customFormat="1" s="34"/>
    <row r="1704" customFormat="1" s="34"/>
    <row r="1705" customFormat="1" s="34"/>
    <row r="1706" customFormat="1" s="34"/>
    <row r="1707" customFormat="1" s="34"/>
    <row r="1708" customFormat="1" s="34"/>
    <row r="1709" customFormat="1" s="34"/>
    <row r="1710" customFormat="1" s="34"/>
    <row r="1711" customFormat="1" s="34"/>
    <row r="1712" customFormat="1" s="34"/>
    <row r="1713" customFormat="1" s="34"/>
    <row r="1714" customFormat="1" s="34"/>
    <row r="1715" customFormat="1" s="34"/>
    <row r="1716" customFormat="1" s="34"/>
    <row r="1717" customFormat="1" s="34"/>
    <row r="1718" customFormat="1" s="34"/>
    <row r="1719" customFormat="1" s="34"/>
    <row r="1720" customFormat="1" s="34"/>
    <row r="1721" customFormat="1" s="34"/>
    <row r="1722" customFormat="1" s="34"/>
    <row r="1723" customFormat="1" s="34"/>
    <row r="1724" customFormat="1" s="34"/>
    <row r="1725" customFormat="1" s="34"/>
    <row r="1726" customFormat="1" s="34"/>
    <row r="1727" customFormat="1" s="34"/>
    <row r="1728" customFormat="1" s="34"/>
    <row r="1729" customFormat="1" s="34"/>
    <row r="1730" customFormat="1" s="34"/>
    <row r="1731" customFormat="1" s="34"/>
    <row r="1732" customFormat="1" s="34"/>
    <row r="1733" customFormat="1" s="34"/>
    <row r="1734" customFormat="1" s="34"/>
    <row r="1735" customFormat="1" s="34"/>
    <row r="1736" customFormat="1" s="34"/>
    <row r="1737" customFormat="1" s="34"/>
    <row r="1738" customFormat="1" s="34"/>
    <row r="1739" customFormat="1" s="34"/>
    <row r="1740" customFormat="1" s="34"/>
    <row r="1741" customFormat="1" s="34"/>
    <row r="1742" customFormat="1" s="34"/>
    <row r="1743" customFormat="1" s="34"/>
    <row r="1744" customFormat="1" s="34"/>
    <row r="1745" customFormat="1" s="34"/>
    <row r="1746" customFormat="1" s="34"/>
    <row r="1747" customFormat="1" s="34"/>
    <row r="1748" customFormat="1" s="34"/>
    <row r="1749" customFormat="1" s="34"/>
    <row r="1750" customFormat="1" s="34"/>
    <row r="1751" customFormat="1" s="34"/>
    <row r="1752" customFormat="1" s="34"/>
    <row r="1753" customFormat="1" s="34"/>
    <row r="1754" customFormat="1" s="34"/>
    <row r="1755" customFormat="1" s="34"/>
    <row r="1756" customFormat="1" s="34"/>
    <row r="1757" customFormat="1" s="34"/>
    <row r="1758" customFormat="1" s="34"/>
    <row r="1759" customFormat="1" s="34"/>
    <row r="1760" customFormat="1" s="34"/>
    <row r="1761" customFormat="1" s="34"/>
    <row r="1762" customFormat="1" s="34"/>
    <row r="1763" customFormat="1" s="34"/>
    <row r="1764" customFormat="1" s="34"/>
    <row r="1765" customFormat="1" s="34"/>
    <row r="1766" customFormat="1" s="34"/>
    <row r="1767" customFormat="1" s="34"/>
    <row r="1768" customFormat="1" s="34"/>
    <row r="1769" customFormat="1" s="34"/>
    <row r="1770" customFormat="1" s="34"/>
    <row r="1771" customFormat="1" s="34"/>
    <row r="1772" customFormat="1" s="34"/>
    <row r="1773" customFormat="1" s="34"/>
    <row r="1774" customFormat="1" s="34"/>
    <row r="1775" customFormat="1" s="34"/>
    <row r="1776" customFormat="1" s="34"/>
    <row r="1777" customFormat="1" s="34"/>
    <row r="1778" customFormat="1" s="34"/>
    <row r="1779" customFormat="1" s="34"/>
    <row r="1780" customFormat="1" s="34"/>
    <row r="1781" customFormat="1" s="34"/>
    <row r="1782" customFormat="1" s="34"/>
    <row r="1783" customFormat="1" s="34"/>
    <row r="1784" customFormat="1" s="34"/>
    <row r="1785" customFormat="1" s="34"/>
    <row r="1786" customFormat="1" s="34"/>
    <row r="1787" customFormat="1" s="34"/>
    <row r="1788" customFormat="1" s="34"/>
    <row r="1789" customFormat="1" s="34"/>
    <row r="1790" customFormat="1" s="34"/>
    <row r="1791" customFormat="1" s="34"/>
    <row r="1792" customFormat="1" s="34"/>
    <row r="1793" customFormat="1" s="34"/>
    <row r="1794" customFormat="1" s="34"/>
    <row r="1795" customFormat="1" s="34"/>
    <row r="1796" customFormat="1" s="34"/>
    <row r="1797" customFormat="1" s="34"/>
    <row r="1798" customFormat="1" s="34"/>
    <row r="1799" customFormat="1" s="34"/>
    <row r="1800" customFormat="1" s="34"/>
    <row r="1801" customFormat="1" s="34"/>
    <row r="1802" customFormat="1" s="34"/>
    <row r="1803" customFormat="1" s="34"/>
    <row r="1804" customFormat="1" s="34"/>
    <row r="1805" customFormat="1" s="34"/>
    <row r="1806" customFormat="1" s="34"/>
    <row r="1807" customFormat="1" s="34"/>
    <row r="1808" customFormat="1" s="34"/>
    <row r="1809" customFormat="1" s="34"/>
    <row r="1810" customFormat="1" s="34"/>
    <row r="1811" customFormat="1" s="34"/>
    <row r="1812" customFormat="1" s="34"/>
    <row r="1813" customFormat="1" s="34"/>
    <row r="1814" customFormat="1" s="34"/>
    <row r="1815" customFormat="1" s="34"/>
    <row r="1816" customFormat="1" s="34"/>
    <row r="1817" customFormat="1" s="34"/>
    <row r="1818" customFormat="1" s="34"/>
    <row r="1819" customFormat="1" s="34"/>
    <row r="1820" customFormat="1" s="34"/>
    <row r="1821" customFormat="1" s="34"/>
    <row r="1822" customFormat="1" s="34"/>
    <row r="1823" customFormat="1" s="34"/>
    <row r="1824" customFormat="1" s="34"/>
    <row r="1825" customFormat="1" s="34"/>
    <row r="1826" customFormat="1" s="34"/>
    <row r="1827" customFormat="1" s="34"/>
    <row r="1828" customFormat="1" s="34"/>
    <row r="1829" customFormat="1" s="34"/>
    <row r="1830" customFormat="1" s="34"/>
    <row r="1831" customFormat="1" s="34"/>
    <row r="1832" customFormat="1" s="34"/>
    <row r="1833" customFormat="1" s="34"/>
    <row r="1834" customFormat="1" s="34"/>
    <row r="1835" customFormat="1" s="34"/>
    <row r="1836" customFormat="1" s="34"/>
    <row r="1837" customFormat="1" s="34"/>
    <row r="1838" customFormat="1" s="34"/>
    <row r="1839" customFormat="1" s="34"/>
    <row r="1840" customFormat="1" s="34"/>
    <row r="1841" customFormat="1" s="34"/>
    <row r="1842" customFormat="1" s="34"/>
    <row r="1843" customFormat="1" s="34"/>
    <row r="1844" customFormat="1" s="34"/>
    <row r="1845" customFormat="1" s="34"/>
    <row r="1846" customFormat="1" s="34"/>
    <row r="1847" customFormat="1" s="34"/>
    <row r="1848" customFormat="1" s="34"/>
    <row r="1849" customFormat="1" s="34"/>
    <row r="1850" customFormat="1" s="34"/>
    <row r="1851" customFormat="1" s="34"/>
    <row r="1852" customFormat="1" s="34"/>
    <row r="1853" customFormat="1" s="34"/>
    <row r="1854" customFormat="1" s="34"/>
    <row r="1855" customFormat="1" s="34"/>
    <row r="1856" customFormat="1" s="34"/>
    <row r="1857" customFormat="1" s="34"/>
    <row r="1858" customFormat="1" s="34"/>
    <row r="1859" customFormat="1" s="34"/>
    <row r="1860" customFormat="1" s="34"/>
    <row r="1861" customFormat="1" s="34"/>
    <row r="1862" customFormat="1" s="34"/>
    <row r="1863" customFormat="1" s="34"/>
    <row r="1864" customFormat="1" s="34"/>
    <row r="1865" customFormat="1" s="34"/>
    <row r="1866" customFormat="1" s="34"/>
    <row r="1867" customFormat="1" s="34"/>
    <row r="1868" customFormat="1" s="34"/>
    <row r="1869" customFormat="1" s="34"/>
    <row r="1870" customFormat="1" s="34"/>
    <row r="1871" customFormat="1" s="34"/>
    <row r="1872" customFormat="1" s="34"/>
    <row r="1873" customFormat="1" s="34"/>
    <row r="1874" customFormat="1" s="34"/>
    <row r="1875" customFormat="1" s="34"/>
    <row r="1876" customFormat="1" s="34"/>
    <row r="1877" customFormat="1" s="34"/>
    <row r="1878" customFormat="1" s="34"/>
    <row r="1879" customFormat="1" s="34"/>
    <row r="1880" customFormat="1" s="34"/>
    <row r="1881" customFormat="1" s="34"/>
    <row r="1882" customFormat="1" s="34"/>
    <row r="1883" customFormat="1" s="34"/>
    <row r="1884" customFormat="1" s="34"/>
    <row r="1885" customFormat="1" s="34"/>
    <row r="1886" customFormat="1" s="34"/>
    <row r="1887" customFormat="1" s="34"/>
    <row r="1888" customFormat="1" s="34"/>
    <row r="1889" customFormat="1" s="34"/>
    <row r="1890" customFormat="1" s="34"/>
    <row r="1891" customFormat="1" s="34"/>
    <row r="1892" customFormat="1" s="34"/>
    <row r="1893" customFormat="1" s="34"/>
    <row r="1894" customFormat="1" s="34"/>
    <row r="1895" customFormat="1" s="34"/>
    <row r="1896" customFormat="1" s="34"/>
    <row r="1897" customFormat="1" s="34"/>
    <row r="1898" customFormat="1" s="34"/>
    <row r="1899" customFormat="1" s="34"/>
    <row r="1900" customFormat="1" s="34"/>
    <row r="1901" customFormat="1" s="34"/>
    <row r="1902" customFormat="1" s="34"/>
    <row r="1903" customFormat="1" s="34"/>
    <row r="1904" customFormat="1" s="34"/>
    <row r="1905" customFormat="1" s="34"/>
    <row r="1906" customFormat="1" s="34"/>
    <row r="1907" customFormat="1" s="34"/>
    <row r="1908" customFormat="1" s="34"/>
    <row r="1909" customFormat="1" s="34"/>
    <row r="1910" customFormat="1" s="34"/>
    <row r="1911" customFormat="1" s="34"/>
    <row r="1912" customFormat="1" s="34"/>
    <row r="1913" customFormat="1" s="34"/>
    <row r="1914" customFormat="1" s="34"/>
    <row r="1915" customFormat="1" s="34"/>
    <row r="1916" customFormat="1" s="34"/>
    <row r="1917" customFormat="1" s="34"/>
    <row r="1918" customFormat="1" s="34"/>
    <row r="1919" customFormat="1" s="34"/>
    <row r="1920" customFormat="1" s="34"/>
    <row r="1921" customFormat="1" s="34"/>
    <row r="1922" customFormat="1" s="34"/>
    <row r="1923" customFormat="1" s="34"/>
    <row r="1924" customFormat="1" s="34"/>
    <row r="1925" customFormat="1" s="34"/>
    <row r="1926" customFormat="1" s="34"/>
    <row r="1927" customFormat="1" s="34"/>
    <row r="1928" customFormat="1" s="34"/>
    <row r="1929" customFormat="1" s="34"/>
    <row r="1930" customFormat="1" s="34"/>
    <row r="1931" customFormat="1" s="34"/>
    <row r="1932" customFormat="1" s="34"/>
    <row r="1933" customFormat="1" s="34"/>
    <row r="1934" customFormat="1" s="34"/>
    <row r="1935" customFormat="1" s="34"/>
    <row r="1936" customFormat="1" s="34"/>
    <row r="1937" customFormat="1" s="34"/>
    <row r="1938" customFormat="1" s="34"/>
    <row r="1939" customFormat="1" s="34"/>
    <row r="1940" customFormat="1" s="34"/>
    <row r="1941" customFormat="1" s="34"/>
    <row r="1942" customFormat="1" s="34"/>
    <row r="1943" customFormat="1" s="34"/>
    <row r="1944" customFormat="1" s="34"/>
    <row r="1945" customFormat="1" s="34"/>
    <row r="1946" customFormat="1" s="34"/>
    <row r="1947" customFormat="1" s="34"/>
    <row r="1948" customFormat="1" s="34"/>
    <row r="1949" customFormat="1" s="34"/>
    <row r="1950" customFormat="1" s="34"/>
    <row r="1951" customFormat="1" s="34"/>
    <row r="1952" customFormat="1" s="34"/>
    <row r="1953" customFormat="1" s="34"/>
    <row r="1954" customFormat="1" s="34"/>
    <row r="1955" customFormat="1" s="34"/>
    <row r="1956" customFormat="1" s="34"/>
    <row r="1957" customFormat="1" s="34"/>
    <row r="1958" customFormat="1" s="34"/>
    <row r="1959" customFormat="1" s="34"/>
    <row r="1960" customFormat="1" s="34"/>
    <row r="1961" customFormat="1" s="34"/>
    <row r="1962" customFormat="1" s="34"/>
    <row r="1963" customFormat="1" s="34"/>
    <row r="1964" customFormat="1" s="34"/>
    <row r="1965" customFormat="1" s="34"/>
    <row r="1966" customFormat="1" s="34"/>
    <row r="1967" customFormat="1" s="34"/>
    <row r="1968" customFormat="1" s="34"/>
    <row r="1969" customFormat="1" s="34"/>
    <row r="1970" customFormat="1" s="34"/>
    <row r="1971" customFormat="1" s="34"/>
    <row r="1972" customFormat="1" s="34"/>
    <row r="1973" customFormat="1" s="34"/>
    <row r="1974" customFormat="1" s="34"/>
    <row r="1975" customFormat="1" s="34"/>
    <row r="1976" customFormat="1" s="34"/>
    <row r="1977" customFormat="1" s="34"/>
    <row r="1978" customFormat="1" s="34"/>
    <row r="1979" customFormat="1" s="34"/>
    <row r="1980" customFormat="1" s="34"/>
    <row r="1981" customFormat="1" s="34"/>
    <row r="1982" customFormat="1" s="34"/>
    <row r="1983" customFormat="1" s="34"/>
    <row r="1984" customFormat="1" s="34"/>
    <row r="1985" customFormat="1" s="34"/>
    <row r="1986" customFormat="1" s="34"/>
    <row r="1987" customFormat="1" s="34"/>
    <row r="1988" customFormat="1" s="34"/>
    <row r="1989" customFormat="1" s="34"/>
    <row r="1990" customFormat="1" s="34"/>
    <row r="1991" customFormat="1" s="34"/>
    <row r="1992" customFormat="1" s="34"/>
    <row r="1993" customFormat="1" s="34"/>
    <row r="1994" customFormat="1" s="34"/>
    <row r="1995" customFormat="1" s="34"/>
    <row r="1996" customFormat="1" s="34"/>
    <row r="1997" customFormat="1" s="34"/>
    <row r="1998" customFormat="1" s="34"/>
    <row r="1999" customFormat="1" s="34"/>
    <row r="2000" customFormat="1" s="34"/>
    <row r="262083">
      <c r="B262083" s="66"/>
      <c r="G262083" s="66"/>
    </row>
    <row r="262084">
      <c r="B262084" s="66"/>
      <c r="G262084" s="66"/>
    </row>
  </sheetData>
  <autoFilter ref="A1:W87"/>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I161"/>
  <sheetViews>
    <sheetView workbookViewId="0"/>
  </sheetViews>
  <sheetFormatPr defaultRowHeight="14.0" customHeight="1"/>
  <cols>
    <col min="1" max="2" style="34" width="22.39"/>
    <col min="3" max="3" style="34" width="12.71"/>
    <col min="4" max="4" style="34" width="32.06"/>
    <col min="5" max="5" style="34" width="14.7"/>
    <col min="6" max="6" style="34" width="12.98"/>
    <col min="7" max="7" style="34" width="22.39"/>
    <col min="8" max="8" style="34" width="47.03"/>
    <col min="9" max="9" style="34" width="22.39"/>
    <col min="10" max="2048" style="34" width="13.24"/>
  </cols>
  <sheetData>
    <row r="1" ht="15.0" customFormat="1" s="34">
      <c r="A1" s="82" t="s">
        <v>41</v>
      </c>
      <c r="B1" s="83" t="s">
        <v>3097</v>
      </c>
      <c r="C1" s="83" t="s">
        <v>3098</v>
      </c>
      <c r="D1" s="83" t="s">
        <v>3099</v>
      </c>
      <c r="E1" s="83" t="s">
        <v>56</v>
      </c>
      <c r="F1" s="83" t="s">
        <v>31</v>
      </c>
      <c r="G1" s="83" t="s">
        <v>3100</v>
      </c>
      <c r="H1" s="83" t="s">
        <v>59</v>
      </c>
      <c r="I1" s="83" t="s">
        <v>3101</v>
      </c>
    </row>
    <row r="2" ht="15.0">
      <c r="A2" s="84">
        <v>46027</v>
      </c>
      <c r="B2" s="34" t="s">
        <v>3102</v>
      </c>
      <c r="C2" s="34" t="s">
        <v>209</v>
      </c>
      <c r="D2" s="34" t="s">
        <v>208</v>
      </c>
      <c r="E2" s="34" t="s">
        <v>3103</v>
      </c>
      <c r="F2" s="34" t="s">
        <v>34</v>
      </c>
      <c r="G2" s="34" t="s">
        <v>115</v>
      </c>
    </row>
    <row r="3" ht="15.0">
      <c r="A3" s="84">
        <v>46027</v>
      </c>
      <c r="B3" s="34" t="s">
        <v>3102</v>
      </c>
      <c r="C3" s="34" t="s">
        <v>3104</v>
      </c>
      <c r="D3" s="34" t="s">
        <v>3105</v>
      </c>
      <c r="E3" s="34" t="s">
        <v>3103</v>
      </c>
      <c r="F3" s="34" t="s">
        <v>34</v>
      </c>
      <c r="G3" s="34" t="s">
        <v>173</v>
      </c>
    </row>
    <row r="4" ht="15.0">
      <c r="A4" s="84">
        <v>46028</v>
      </c>
      <c r="B4" s="34" t="s">
        <v>3106</v>
      </c>
      <c r="C4" s="34" t="s">
        <v>3107</v>
      </c>
      <c r="D4" s="34" t="s">
        <v>3108</v>
      </c>
      <c r="E4" s="34" t="s">
        <v>3103</v>
      </c>
      <c r="F4" s="34" t="s">
        <v>34</v>
      </c>
      <c r="G4" s="34" t="s">
        <v>115</v>
      </c>
    </row>
    <row r="5" ht="15.0">
      <c r="A5" s="84">
        <v>46029</v>
      </c>
      <c r="B5" s="34" t="s">
        <v>3106</v>
      </c>
      <c r="C5" s="34" t="s">
        <v>3109</v>
      </c>
      <c r="D5" s="34" t="s">
        <v>3110</v>
      </c>
      <c r="E5" s="34" t="s">
        <v>3103</v>
      </c>
      <c r="F5" s="34" t="s">
        <v>34</v>
      </c>
      <c r="G5" s="34" t="s">
        <v>173</v>
      </c>
    </row>
    <row r="6" ht="15.0">
      <c r="A6" s="84">
        <v>46030</v>
      </c>
      <c r="B6" s="34" t="s">
        <v>3102</v>
      </c>
      <c r="C6" s="34" t="s">
        <v>3111</v>
      </c>
      <c r="D6" s="34" t="s">
        <v>3112</v>
      </c>
      <c r="E6" s="34" t="s">
        <v>3103</v>
      </c>
      <c r="F6" s="34" t="s">
        <v>34</v>
      </c>
      <c r="G6" s="34" t="s">
        <v>173</v>
      </c>
    </row>
    <row r="7" ht="15.0">
      <c r="A7" s="84">
        <v>46030</v>
      </c>
      <c r="B7" s="34" t="s">
        <v>3102</v>
      </c>
      <c r="C7" s="34" t="s">
        <v>3113</v>
      </c>
      <c r="D7" s="34" t="s">
        <v>3114</v>
      </c>
      <c r="E7" s="34" t="s">
        <v>3103</v>
      </c>
      <c r="F7" s="34" t="s">
        <v>34</v>
      </c>
      <c r="G7" s="34" t="s">
        <v>173</v>
      </c>
    </row>
    <row r="8" ht="15.0">
      <c r="A8" s="84">
        <v>46030</v>
      </c>
      <c r="B8" s="34" t="s">
        <v>3102</v>
      </c>
      <c r="C8" s="34" t="s">
        <v>280</v>
      </c>
      <c r="D8" s="34" t="s">
        <v>278</v>
      </c>
      <c r="E8" s="34" t="s">
        <v>3103</v>
      </c>
      <c r="F8" s="34" t="s">
        <v>34</v>
      </c>
      <c r="G8" s="34" t="s">
        <v>3115</v>
      </c>
      <c r="H8" s="34" t="s">
        <v>3116</v>
      </c>
    </row>
    <row r="9" ht="15.0">
      <c r="A9" s="84">
        <v>46031</v>
      </c>
      <c r="B9" s="34" t="s">
        <v>3106</v>
      </c>
      <c r="C9" s="34" t="s">
        <v>292</v>
      </c>
      <c r="D9" s="34" t="s">
        <v>291</v>
      </c>
      <c r="E9" s="34" t="s">
        <v>3103</v>
      </c>
      <c r="F9" s="34" t="s">
        <v>34</v>
      </c>
      <c r="G9" s="34" t="s">
        <v>115</v>
      </c>
    </row>
    <row r="10" ht="15.0">
      <c r="A10" s="84">
        <v>46031</v>
      </c>
      <c r="B10" s="34" t="s">
        <v>3102</v>
      </c>
      <c r="C10" s="34" t="s">
        <v>3117</v>
      </c>
      <c r="D10" s="34" t="s">
        <v>3118</v>
      </c>
      <c r="E10" s="34" t="s">
        <v>3103</v>
      </c>
      <c r="F10" s="34" t="s">
        <v>34</v>
      </c>
      <c r="G10" s="34" t="s">
        <v>173</v>
      </c>
    </row>
    <row r="11" ht="15.0">
      <c r="A11" s="84">
        <v>46035</v>
      </c>
      <c r="B11" s="34" t="s">
        <v>3119</v>
      </c>
      <c r="C11" s="34" t="s">
        <v>362</v>
      </c>
      <c r="D11" s="34" t="s">
        <v>361</v>
      </c>
      <c r="E11" s="34" t="s">
        <v>3103</v>
      </c>
      <c r="F11" s="34" t="s">
        <v>36</v>
      </c>
      <c r="G11" s="34" t="s">
        <v>115</v>
      </c>
    </row>
    <row r="12" ht="15.0">
      <c r="A12" s="84">
        <v>46036</v>
      </c>
      <c r="B12" s="34" t="s">
        <v>3119</v>
      </c>
      <c r="C12" s="34" t="s">
        <v>3120</v>
      </c>
      <c r="D12" s="34" t="s">
        <v>3121</v>
      </c>
      <c r="E12" s="34" t="s">
        <v>3103</v>
      </c>
      <c r="F12" s="34" t="s">
        <v>36</v>
      </c>
      <c r="G12" s="34" t="s">
        <v>115</v>
      </c>
    </row>
    <row r="13" ht="15.0">
      <c r="A13" s="84">
        <v>46038</v>
      </c>
      <c r="B13" s="34" t="s">
        <v>3106</v>
      </c>
      <c r="C13" s="34" t="s">
        <v>3122</v>
      </c>
      <c r="D13" s="34" t="s">
        <v>3123</v>
      </c>
      <c r="E13" s="34" t="s">
        <v>3103</v>
      </c>
      <c r="F13" s="34" t="s">
        <v>34</v>
      </c>
      <c r="G13" s="34" t="s">
        <v>173</v>
      </c>
    </row>
    <row r="14" ht="15.0">
      <c r="A14" s="84">
        <v>46042</v>
      </c>
      <c r="B14" s="34" t="s">
        <v>3106</v>
      </c>
      <c r="C14" s="34" t="s">
        <v>3124</v>
      </c>
      <c r="D14" s="34" t="s">
        <v>3125</v>
      </c>
      <c r="E14" s="34" t="s">
        <v>3103</v>
      </c>
      <c r="F14" s="34" t="s">
        <v>34</v>
      </c>
      <c r="G14" s="34" t="s">
        <v>3115</v>
      </c>
    </row>
    <row r="15" ht="15.0">
      <c r="A15" s="84">
        <v>46041</v>
      </c>
      <c r="B15" s="34" t="s">
        <v>3119</v>
      </c>
      <c r="C15" s="34" t="s">
        <v>3126</v>
      </c>
      <c r="D15" s="34" t="s">
        <v>3127</v>
      </c>
      <c r="E15" s="34" t="s">
        <v>3128</v>
      </c>
      <c r="F15" s="34" t="s">
        <v>34</v>
      </c>
      <c r="G15" s="34" t="s">
        <v>173</v>
      </c>
    </row>
    <row r="16" ht="15.0">
      <c r="A16" s="84">
        <v>46042</v>
      </c>
      <c r="B16" s="34" t="s">
        <v>3119</v>
      </c>
      <c r="C16" s="34" t="s">
        <v>3129</v>
      </c>
      <c r="D16" s="34" t="s">
        <v>3130</v>
      </c>
      <c r="E16" s="34" t="s">
        <v>3103</v>
      </c>
      <c r="F16" s="34" t="s">
        <v>37</v>
      </c>
      <c r="G16" s="34" t="s">
        <v>173</v>
      </c>
    </row>
    <row r="17" ht="15.0">
      <c r="A17" s="84">
        <v>46042</v>
      </c>
      <c r="B17" s="34" t="s">
        <v>3119</v>
      </c>
      <c r="C17" s="34" t="s">
        <v>3131</v>
      </c>
      <c r="D17" s="34" t="s">
        <v>3132</v>
      </c>
      <c r="E17" s="34" t="s">
        <v>3103</v>
      </c>
      <c r="F17" s="34" t="s">
        <v>37</v>
      </c>
      <c r="G17" s="34" t="s">
        <v>173</v>
      </c>
    </row>
    <row r="18" ht="27.0">
      <c r="A18" s="84">
        <v>46044</v>
      </c>
      <c r="B18" s="34" t="s">
        <v>3119</v>
      </c>
      <c r="C18" s="34" t="s">
        <v>3133</v>
      </c>
      <c r="D18" s="34" t="s">
        <v>3134</v>
      </c>
      <c r="E18" s="34" t="s">
        <v>3103</v>
      </c>
      <c r="F18" s="34" t="s">
        <v>37</v>
      </c>
      <c r="G18" s="34" t="s">
        <v>173</v>
      </c>
      <c r="H18" s="34" t="s">
        <v>3135</v>
      </c>
    </row>
    <row r="19" ht="15.0">
      <c r="A19" s="84">
        <v>46048</v>
      </c>
      <c r="B19" s="34" t="s">
        <v>3119</v>
      </c>
      <c r="C19" s="34" t="s">
        <v>3136</v>
      </c>
      <c r="D19" s="34" t="s">
        <v>586</v>
      </c>
      <c r="E19" s="34" t="s">
        <v>3103</v>
      </c>
      <c r="F19" s="34" t="s">
        <v>34</v>
      </c>
      <c r="G19" s="34" t="s">
        <v>3115</v>
      </c>
    </row>
    <row r="20" ht="15.0">
      <c r="A20" s="84">
        <v>46048</v>
      </c>
      <c r="B20" s="34" t="s">
        <v>3119</v>
      </c>
      <c r="C20" s="34" t="s">
        <v>3137</v>
      </c>
      <c r="D20" s="34" t="s">
        <v>3138</v>
      </c>
      <c r="E20" s="34" t="s">
        <v>3103</v>
      </c>
      <c r="F20" s="34" t="s">
        <v>34</v>
      </c>
      <c r="G20" s="34" t="s">
        <v>173</v>
      </c>
    </row>
    <row r="21" ht="15.0">
      <c r="A21" s="84">
        <v>46048</v>
      </c>
      <c r="B21" s="34" t="s">
        <v>3106</v>
      </c>
      <c r="C21" s="34" t="s">
        <v>3139</v>
      </c>
      <c r="D21" s="34" t="s">
        <v>3140</v>
      </c>
      <c r="E21" s="34" t="s">
        <v>3103</v>
      </c>
      <c r="F21" s="34" t="s">
        <v>34</v>
      </c>
      <c r="G21" s="34" t="s">
        <v>173</v>
      </c>
    </row>
    <row r="22" ht="15.0">
      <c r="A22" s="84">
        <v>46050</v>
      </c>
      <c r="B22" s="34" t="s">
        <v>3119</v>
      </c>
      <c r="C22" s="34" t="s">
        <v>3141</v>
      </c>
      <c r="D22" s="34" t="s">
        <v>3142</v>
      </c>
      <c r="E22" s="34" t="s">
        <v>3103</v>
      </c>
      <c r="F22" s="34" t="s">
        <v>34</v>
      </c>
      <c r="G22" s="34" t="s">
        <v>267</v>
      </c>
    </row>
    <row r="23" ht="15.0">
      <c r="A23" s="84">
        <v>46050</v>
      </c>
      <c r="B23" s="34" t="s">
        <v>3119</v>
      </c>
      <c r="C23" s="34" t="s">
        <v>3143</v>
      </c>
      <c r="D23" s="34" t="s">
        <v>3144</v>
      </c>
      <c r="E23" s="34" t="s">
        <v>3103</v>
      </c>
      <c r="F23" s="34" t="s">
        <v>34</v>
      </c>
      <c r="G23" s="34" t="s">
        <v>173</v>
      </c>
    </row>
    <row r="24" ht="15.0">
      <c r="A24" s="84">
        <v>46050</v>
      </c>
      <c r="B24" s="34" t="s">
        <v>3119</v>
      </c>
      <c r="C24" s="34" t="s">
        <v>3145</v>
      </c>
      <c r="D24" s="34" t="s">
        <v>3146</v>
      </c>
      <c r="E24" s="34" t="s">
        <v>3103</v>
      </c>
      <c r="F24" s="34" t="s">
        <v>34</v>
      </c>
      <c r="G24" s="34" t="s">
        <v>115</v>
      </c>
    </row>
    <row r="25" ht="15.0">
      <c r="A25" s="84">
        <v>46052</v>
      </c>
      <c r="B25" s="34" t="s">
        <v>3119</v>
      </c>
      <c r="C25" s="34" t="s">
        <v>3147</v>
      </c>
      <c r="D25" s="34" t="s">
        <v>3148</v>
      </c>
      <c r="E25" s="34" t="s">
        <v>3103</v>
      </c>
      <c r="F25" s="34" t="s">
        <v>34</v>
      </c>
      <c r="G25" s="34" t="s">
        <v>173</v>
      </c>
    </row>
    <row r="26" ht="15.0">
      <c r="A26" s="84">
        <v>46055</v>
      </c>
      <c r="B26" s="34" t="s">
        <v>3119</v>
      </c>
      <c r="C26" s="34" t="s">
        <v>3149</v>
      </c>
      <c r="D26" s="34" t="s">
        <v>3150</v>
      </c>
      <c r="E26" s="34" t="s">
        <v>3103</v>
      </c>
      <c r="F26" s="34" t="s">
        <v>34</v>
      </c>
      <c r="G26" s="34" t="s">
        <v>267</v>
      </c>
    </row>
    <row r="27" ht="15.0">
      <c r="A27" s="85">
        <v>46056</v>
      </c>
      <c r="B27" s="34" t="s">
        <v>3106</v>
      </c>
      <c r="C27" s="34" t="s">
        <v>3151</v>
      </c>
      <c r="D27" s="34" t="s">
        <v>3152</v>
      </c>
      <c r="E27" s="34" t="s">
        <v>3103</v>
      </c>
      <c r="F27" s="34" t="s">
        <v>34</v>
      </c>
      <c r="G27" s="34" t="s">
        <v>173</v>
      </c>
    </row>
    <row r="28" ht="15.0">
      <c r="A28" s="85">
        <v>46056</v>
      </c>
      <c r="B28" s="34" t="s">
        <v>3119</v>
      </c>
      <c r="C28" s="86" t="s">
        <v>3153</v>
      </c>
      <c r="D28" s="34" t="s">
        <v>3154</v>
      </c>
      <c r="E28" s="34" t="s">
        <v>3103</v>
      </c>
      <c r="F28" s="34" t="s">
        <v>34</v>
      </c>
      <c r="G28" s="34" t="s">
        <v>173</v>
      </c>
    </row>
    <row r="29" ht="15.0">
      <c r="A29" s="85">
        <v>46056</v>
      </c>
      <c r="B29" s="34" t="s">
        <v>3119</v>
      </c>
      <c r="C29" s="86" t="s">
        <v>3155</v>
      </c>
      <c r="D29" s="34" t="s">
        <v>3156</v>
      </c>
      <c r="E29" s="34" t="s">
        <v>3103</v>
      </c>
      <c r="F29" s="34" t="s">
        <v>34</v>
      </c>
      <c r="G29" s="34" t="s">
        <v>173</v>
      </c>
    </row>
    <row r="30" ht="15.0">
      <c r="A30" s="84">
        <v>46057</v>
      </c>
      <c r="B30" s="34" t="s">
        <v>3106</v>
      </c>
      <c r="C30" s="34" t="s">
        <v>3157</v>
      </c>
      <c r="D30" s="34" t="s">
        <v>3158</v>
      </c>
      <c r="E30" s="34" t="s">
        <v>3103</v>
      </c>
      <c r="F30" s="34" t="s">
        <v>34</v>
      </c>
      <c r="G30" s="34" t="s">
        <v>173</v>
      </c>
    </row>
    <row r="31" ht="15.0">
      <c r="A31" s="84">
        <v>46058</v>
      </c>
      <c r="B31" s="34" t="s">
        <v>3102</v>
      </c>
      <c r="C31" s="34" t="s">
        <v>3159</v>
      </c>
      <c r="D31" s="34" t="s">
        <v>3160</v>
      </c>
      <c r="F31" s="34" t="s">
        <v>34</v>
      </c>
      <c r="G31" s="34" t="s">
        <v>115</v>
      </c>
    </row>
    <row r="32" ht="15.0">
      <c r="A32" s="84">
        <v>46059</v>
      </c>
      <c r="B32" s="34" t="s">
        <v>3102</v>
      </c>
      <c r="C32" s="34" t="s">
        <v>3161</v>
      </c>
      <c r="D32" s="34" t="s">
        <v>3162</v>
      </c>
      <c r="E32" s="34" t="s">
        <v>3163</v>
      </c>
      <c r="F32" s="34" t="s">
        <v>34</v>
      </c>
      <c r="G32" s="34" t="s">
        <v>115</v>
      </c>
    </row>
    <row r="33" ht="15.0">
      <c r="A33" s="84">
        <v>46059</v>
      </c>
      <c r="B33" s="34" t="s">
        <v>3102</v>
      </c>
      <c r="C33" s="34" t="s">
        <v>3164</v>
      </c>
      <c r="D33" s="34" t="s">
        <v>3165</v>
      </c>
      <c r="E33" s="34" t="s">
        <v>3163</v>
      </c>
      <c r="F33" s="34" t="s">
        <v>3166</v>
      </c>
      <c r="G33" s="34" t="s">
        <v>115</v>
      </c>
      <c r="H33" s="34" t="s">
        <v>3167</v>
      </c>
    </row>
    <row r="34" ht="15.0">
      <c r="A34" s="84">
        <v>46062</v>
      </c>
      <c r="B34" s="34" t="s">
        <v>3102</v>
      </c>
      <c r="C34" s="34" t="s">
        <v>3168</v>
      </c>
      <c r="D34" s="34" t="s">
        <v>3169</v>
      </c>
      <c r="E34" s="34" t="s">
        <v>3163</v>
      </c>
      <c r="F34" s="34" t="s">
        <v>34</v>
      </c>
      <c r="G34" s="34" t="s">
        <v>115</v>
      </c>
    </row>
    <row r="35" ht="15.0">
      <c r="A35" s="84">
        <v>46062</v>
      </c>
      <c r="B35" s="34" t="s">
        <v>3102</v>
      </c>
      <c r="C35" s="34" t="s">
        <v>3170</v>
      </c>
      <c r="D35" s="34" t="s">
        <v>3171</v>
      </c>
      <c r="E35" s="34">
        <v>3.0</v>
      </c>
      <c r="F35" s="34" t="s">
        <v>34</v>
      </c>
      <c r="G35" s="34" t="s">
        <v>115</v>
      </c>
    </row>
    <row r="36" ht="15.0">
      <c r="A36" s="84">
        <v>46062</v>
      </c>
      <c r="B36" s="34" t="s">
        <v>3102</v>
      </c>
      <c r="C36" s="34" t="s">
        <v>3172</v>
      </c>
      <c r="D36" s="34" t="s">
        <v>3173</v>
      </c>
      <c r="E36" s="34">
        <v>3.0</v>
      </c>
      <c r="F36" s="34" t="s">
        <v>38</v>
      </c>
      <c r="G36" s="34" t="s">
        <v>115</v>
      </c>
    </row>
    <row r="37" ht="15.0">
      <c r="A37" s="84">
        <v>46069</v>
      </c>
      <c r="B37" s="34" t="s">
        <v>3119</v>
      </c>
      <c r="C37" s="34" t="s">
        <v>3174</v>
      </c>
      <c r="D37" s="34" t="s">
        <v>3175</v>
      </c>
      <c r="E37" s="34">
        <v>3.0</v>
      </c>
      <c r="F37" s="34" t="s">
        <v>38</v>
      </c>
      <c r="G37" s="34" t="s">
        <v>115</v>
      </c>
    </row>
    <row r="38" ht="29.0">
      <c r="A38" s="87">
        <v>46070</v>
      </c>
      <c r="B38" s="34" t="s">
        <v>3119</v>
      </c>
      <c r="C38" s="34" t="s">
        <v>3176</v>
      </c>
      <c r="D38" s="88" t="s">
        <v>3173</v>
      </c>
      <c r="E38" s="34">
        <v>11.0</v>
      </c>
      <c r="F38" s="34" t="s">
        <v>39</v>
      </c>
      <c r="G38" s="34" t="s">
        <v>115</v>
      </c>
    </row>
    <row r="39" ht="15.0">
      <c r="A39" s="87">
        <v>46070</v>
      </c>
      <c r="B39" s="34" t="s">
        <v>3119</v>
      </c>
      <c r="C39" s="34" t="s">
        <v>3177</v>
      </c>
      <c r="D39" s="34" t="s">
        <v>3178</v>
      </c>
      <c r="E39" s="34" t="s">
        <v>3163</v>
      </c>
      <c r="F39" s="34" t="s">
        <v>34</v>
      </c>
      <c r="G39" s="34" t="s">
        <v>267</v>
      </c>
    </row>
    <row r="40" ht="15.0">
      <c r="A40" s="87">
        <v>46071</v>
      </c>
      <c r="B40" s="34" t="s">
        <v>3106</v>
      </c>
      <c r="C40" s="34" t="s">
        <v>3179</v>
      </c>
      <c r="D40" s="34" t="s">
        <v>3180</v>
      </c>
      <c r="E40" s="34" t="s">
        <v>3163</v>
      </c>
      <c r="F40" s="34" t="s">
        <v>34</v>
      </c>
      <c r="G40" s="34" t="s">
        <v>267</v>
      </c>
    </row>
    <row r="41" ht="15.0">
      <c r="A41" s="87">
        <v>46072</v>
      </c>
      <c r="B41" s="34" t="s">
        <v>3119</v>
      </c>
      <c r="C41" s="34" t="s">
        <v>3181</v>
      </c>
      <c r="D41" s="34" t="s">
        <v>3182</v>
      </c>
      <c r="E41" s="43">
        <v>46298</v>
      </c>
      <c r="F41" s="34" t="s">
        <v>34</v>
      </c>
      <c r="G41" s="34" t="s">
        <v>115</v>
      </c>
    </row>
    <row r="42" ht="15.0">
      <c r="A42" s="87">
        <v>46072</v>
      </c>
      <c r="B42" s="34" t="s">
        <v>3119</v>
      </c>
      <c r="C42" s="34" t="s">
        <v>3183</v>
      </c>
      <c r="D42" s="34" t="s">
        <v>3184</v>
      </c>
      <c r="E42" s="34" t="s">
        <v>3163</v>
      </c>
      <c r="F42" s="34" t="s">
        <v>34</v>
      </c>
      <c r="G42" s="34" t="s">
        <v>173</v>
      </c>
      <c r="H42" s="34" t="s">
        <v>3185</v>
      </c>
    </row>
    <row r="43" ht="15.0">
      <c r="A43" s="87">
        <v>46072</v>
      </c>
      <c r="B43" s="34" t="s">
        <v>3119</v>
      </c>
      <c r="C43" s="34" t="s">
        <v>3186</v>
      </c>
      <c r="D43" s="34" t="s">
        <v>3187</v>
      </c>
      <c r="E43" s="34" t="s">
        <v>3163</v>
      </c>
      <c r="F43" s="34" t="s">
        <v>34</v>
      </c>
      <c r="G43" s="34" t="s">
        <v>115</v>
      </c>
    </row>
    <row r="44" ht="15.0">
      <c r="A44" s="87">
        <v>46073</v>
      </c>
      <c r="B44" s="34" t="s">
        <v>3119</v>
      </c>
      <c r="C44" s="34" t="s">
        <v>3188</v>
      </c>
      <c r="D44" s="34" t="s">
        <v>3189</v>
      </c>
      <c r="E44" s="43">
        <v>46298</v>
      </c>
      <c r="F44" s="34" t="s">
        <v>34</v>
      </c>
      <c r="G44" s="34" t="s">
        <v>115</v>
      </c>
    </row>
    <row r="45" ht="15.0">
      <c r="A45" s="87">
        <v>46073</v>
      </c>
      <c r="B45" s="34" t="s">
        <v>3119</v>
      </c>
      <c r="C45" s="34" t="s">
        <v>3190</v>
      </c>
      <c r="D45" s="34" t="s">
        <v>3191</v>
      </c>
      <c r="E45" s="43">
        <v>46298</v>
      </c>
      <c r="F45" s="34" t="s">
        <v>34</v>
      </c>
      <c r="G45" s="34" t="s">
        <v>115</v>
      </c>
    </row>
    <row r="46" ht="15.0">
      <c r="A46" s="87">
        <v>46073</v>
      </c>
      <c r="B46" s="34" t="s">
        <v>3119</v>
      </c>
      <c r="C46" s="34" t="s">
        <v>1353</v>
      </c>
      <c r="D46" s="34" t="s">
        <v>1352</v>
      </c>
      <c r="E46" s="43">
        <v>46298</v>
      </c>
      <c r="F46" s="34" t="s">
        <v>37</v>
      </c>
      <c r="G46" s="34" t="s">
        <v>267</v>
      </c>
    </row>
    <row r="47" ht="15.0">
      <c r="A47" s="87">
        <v>46076</v>
      </c>
      <c r="B47" s="34" t="s">
        <v>3119</v>
      </c>
      <c r="C47" s="34" t="s">
        <v>3192</v>
      </c>
      <c r="D47" s="34" t="s">
        <v>3193</v>
      </c>
      <c r="E47" s="43">
        <v>46298</v>
      </c>
      <c r="F47" s="34" t="s">
        <v>34</v>
      </c>
      <c r="G47" s="34" t="s">
        <v>173</v>
      </c>
    </row>
    <row r="48" ht="15.0">
      <c r="A48" s="87">
        <v>46076</v>
      </c>
      <c r="B48" s="34" t="s">
        <v>3119</v>
      </c>
      <c r="C48" s="34" t="s">
        <v>3194</v>
      </c>
      <c r="D48" s="34" t="s">
        <v>3195</v>
      </c>
      <c r="E48" s="43">
        <v>46298</v>
      </c>
      <c r="F48" s="34" t="s">
        <v>34</v>
      </c>
      <c r="G48" s="34" t="s">
        <v>173</v>
      </c>
    </row>
    <row r="49" ht="15.0">
      <c r="A49" s="87">
        <v>46076</v>
      </c>
      <c r="B49" s="34" t="s">
        <v>3119</v>
      </c>
      <c r="C49" s="34" t="s">
        <v>3196</v>
      </c>
      <c r="D49" s="34" t="s">
        <v>3197</v>
      </c>
      <c r="E49" s="43">
        <v>46298</v>
      </c>
      <c r="F49" s="34" t="s">
        <v>34</v>
      </c>
      <c r="G49" s="34" t="s">
        <v>173</v>
      </c>
    </row>
    <row r="50" ht="15.0">
      <c r="A50" s="87">
        <v>46076</v>
      </c>
      <c r="B50" s="34" t="s">
        <v>3119</v>
      </c>
      <c r="C50" s="34" t="s">
        <v>3198</v>
      </c>
      <c r="D50" s="34" t="s">
        <v>3199</v>
      </c>
      <c r="E50" s="43">
        <v>46298</v>
      </c>
      <c r="F50" s="34" t="s">
        <v>34</v>
      </c>
      <c r="G50" s="34" t="s">
        <v>173</v>
      </c>
    </row>
    <row r="51" ht="15.0">
      <c r="A51" s="87">
        <v>46076</v>
      </c>
      <c r="B51" s="34" t="s">
        <v>3119</v>
      </c>
      <c r="C51" s="34" t="s">
        <v>3200</v>
      </c>
      <c r="D51" s="34" t="s">
        <v>1338</v>
      </c>
      <c r="E51" s="43">
        <v>46298</v>
      </c>
      <c r="F51" s="34" t="s">
        <v>34</v>
      </c>
      <c r="G51" s="34" t="s">
        <v>115</v>
      </c>
    </row>
    <row r="52" ht="15.0">
      <c r="A52" s="87">
        <v>46076</v>
      </c>
      <c r="B52" s="34" t="s">
        <v>3119</v>
      </c>
      <c r="C52" s="34" t="s">
        <v>3201</v>
      </c>
      <c r="D52" s="38" t="s">
        <v>3202</v>
      </c>
      <c r="E52" s="43">
        <v>46298</v>
      </c>
      <c r="F52" s="34" t="s">
        <v>34</v>
      </c>
      <c r="G52" s="34" t="s">
        <v>173</v>
      </c>
    </row>
    <row r="53" ht="15.0">
      <c r="A53" s="87">
        <v>46077</v>
      </c>
      <c r="B53" s="34" t="s">
        <v>3119</v>
      </c>
      <c r="C53" s="34" t="s">
        <v>3203</v>
      </c>
      <c r="D53" s="34" t="s">
        <v>3204</v>
      </c>
      <c r="E53" s="43">
        <v>46298</v>
      </c>
      <c r="F53" s="34" t="s">
        <v>35</v>
      </c>
      <c r="G53" s="34" t="s">
        <v>115</v>
      </c>
    </row>
    <row r="54" ht="15.0">
      <c r="A54" s="87">
        <v>46077</v>
      </c>
      <c r="B54" s="34" t="s">
        <v>3119</v>
      </c>
      <c r="C54" s="34" t="s">
        <v>1464</v>
      </c>
      <c r="D54" s="34" t="s">
        <v>3189</v>
      </c>
      <c r="E54" s="43">
        <v>46298</v>
      </c>
      <c r="F54" s="34" t="s">
        <v>34</v>
      </c>
      <c r="G54" s="34" t="s">
        <v>115</v>
      </c>
    </row>
    <row r="55" ht="15.0">
      <c r="A55" s="87">
        <v>46077</v>
      </c>
      <c r="B55" s="34" t="s">
        <v>3119</v>
      </c>
      <c r="C55" s="34" t="s">
        <v>3205</v>
      </c>
      <c r="D55" s="34" t="s">
        <v>3206</v>
      </c>
      <c r="E55" s="43">
        <v>46298</v>
      </c>
      <c r="F55" s="34" t="s">
        <v>34</v>
      </c>
      <c r="G55" s="34" t="s">
        <v>115</v>
      </c>
    </row>
    <row r="56" ht="15.0">
      <c r="A56" s="87">
        <v>46077</v>
      </c>
      <c r="B56" s="34" t="s">
        <v>3119</v>
      </c>
      <c r="C56" s="34" t="s">
        <v>3207</v>
      </c>
      <c r="D56" s="34" t="s">
        <v>3208</v>
      </c>
      <c r="E56" s="43">
        <v>46298</v>
      </c>
      <c r="F56" s="34" t="s">
        <v>34</v>
      </c>
      <c r="G56" s="34" t="s">
        <v>173</v>
      </c>
    </row>
    <row r="57" ht="15.0">
      <c r="A57" s="87">
        <v>46077</v>
      </c>
      <c r="B57" s="34" t="s">
        <v>3119</v>
      </c>
      <c r="C57" s="34" t="s">
        <v>3209</v>
      </c>
      <c r="D57" s="34" t="s">
        <v>3210</v>
      </c>
      <c r="E57" s="43">
        <v>46298</v>
      </c>
      <c r="F57" s="34" t="s">
        <v>34</v>
      </c>
      <c r="G57" s="34" t="s">
        <v>3115</v>
      </c>
      <c r="H57" s="34" t="s">
        <v>3211</v>
      </c>
    </row>
    <row r="58" ht="15.0">
      <c r="A58" s="87">
        <v>46077</v>
      </c>
      <c r="B58" s="34" t="s">
        <v>3119</v>
      </c>
      <c r="C58" s="34" t="s">
        <v>3212</v>
      </c>
      <c r="D58" s="34" t="s">
        <v>3213</v>
      </c>
      <c r="E58" s="43">
        <v>46298</v>
      </c>
      <c r="F58" s="34" t="s">
        <v>34</v>
      </c>
      <c r="G58" s="34" t="s">
        <v>173</v>
      </c>
      <c r="H58" s="34" t="s">
        <v>3214</v>
      </c>
    </row>
    <row r="59" ht="15.0">
      <c r="A59" s="87">
        <v>46078</v>
      </c>
      <c r="B59" s="34" t="s">
        <v>3106</v>
      </c>
      <c r="C59" s="34" t="s">
        <v>3215</v>
      </c>
      <c r="D59" s="34" t="s">
        <v>3216</v>
      </c>
      <c r="E59" s="43">
        <v>46298</v>
      </c>
      <c r="F59" s="34" t="s">
        <v>34</v>
      </c>
      <c r="G59" s="34" t="s">
        <v>173</v>
      </c>
    </row>
    <row r="60" ht="15.0">
      <c r="A60" s="87">
        <v>46079</v>
      </c>
      <c r="B60" s="34" t="s">
        <v>3119</v>
      </c>
      <c r="C60" s="34" t="s">
        <v>3217</v>
      </c>
      <c r="D60" s="34" t="s">
        <v>3218</v>
      </c>
      <c r="E60" s="43">
        <v>46298</v>
      </c>
      <c r="F60" s="34" t="s">
        <v>35</v>
      </c>
      <c r="G60" s="34" t="s">
        <v>173</v>
      </c>
    </row>
    <row r="61" ht="15.0">
      <c r="A61" s="87">
        <v>46079</v>
      </c>
      <c r="B61" s="34" t="s">
        <v>3119</v>
      </c>
      <c r="C61" s="34" t="s">
        <v>3219</v>
      </c>
      <c r="D61" s="34" t="s">
        <v>3220</v>
      </c>
      <c r="E61" s="43">
        <v>46298</v>
      </c>
      <c r="F61" s="34" t="s">
        <v>34</v>
      </c>
      <c r="G61" s="34" t="s">
        <v>115</v>
      </c>
    </row>
    <row r="62" ht="15.0">
      <c r="A62" s="87">
        <v>46080</v>
      </c>
      <c r="B62" s="34" t="s">
        <v>3119</v>
      </c>
      <c r="C62" s="34" t="s">
        <v>3221</v>
      </c>
      <c r="D62" s="34" t="s">
        <v>3222</v>
      </c>
      <c r="E62" s="43">
        <v>46298</v>
      </c>
      <c r="F62" s="34" t="s">
        <v>34</v>
      </c>
      <c r="G62" s="34" t="s">
        <v>173</v>
      </c>
    </row>
    <row r="63" ht="15.0">
      <c r="A63" s="87">
        <v>46080</v>
      </c>
      <c r="B63" s="34" t="s">
        <v>3119</v>
      </c>
      <c r="C63" s="34" t="s">
        <v>3223</v>
      </c>
      <c r="D63" s="34" t="s">
        <v>3224</v>
      </c>
      <c r="E63" s="43">
        <v>46298</v>
      </c>
      <c r="F63" s="34" t="s">
        <v>34</v>
      </c>
      <c r="G63" s="34" t="s">
        <v>173</v>
      </c>
    </row>
    <row r="64" ht="15.0">
      <c r="A64" s="87">
        <v>46080</v>
      </c>
      <c r="B64" s="34" t="s">
        <v>3119</v>
      </c>
      <c r="C64" s="34" t="s">
        <v>3225</v>
      </c>
      <c r="D64" s="34" t="s">
        <v>3226</v>
      </c>
      <c r="E64" s="43">
        <v>46298</v>
      </c>
      <c r="F64" s="34" t="s">
        <v>34</v>
      </c>
      <c r="G64" s="34" t="s">
        <v>173</v>
      </c>
    </row>
    <row r="65" ht="15.0">
      <c r="A65" s="87">
        <v>46080</v>
      </c>
      <c r="B65" s="34" t="s">
        <v>3119</v>
      </c>
      <c r="C65" s="34" t="s">
        <v>1254</v>
      </c>
      <c r="D65" s="34" t="s">
        <v>3227</v>
      </c>
      <c r="E65" s="43">
        <v>46298</v>
      </c>
      <c r="F65" s="34" t="s">
        <v>34</v>
      </c>
      <c r="G65" s="34" t="s">
        <v>115</v>
      </c>
    </row>
    <row r="66" ht="15.0">
      <c r="A66" s="87">
        <v>46080</v>
      </c>
      <c r="B66" s="34" t="s">
        <v>3119</v>
      </c>
      <c r="C66" s="34" t="s">
        <v>3228</v>
      </c>
      <c r="D66" s="34" t="s">
        <v>3229</v>
      </c>
      <c r="E66" s="43">
        <v>46298</v>
      </c>
      <c r="F66" s="34" t="s">
        <v>34</v>
      </c>
      <c r="G66" s="34" t="s">
        <v>115</v>
      </c>
    </row>
    <row r="67" ht="27.0">
      <c r="A67" s="87">
        <v>46083</v>
      </c>
      <c r="B67" s="34" t="s">
        <v>3119</v>
      </c>
      <c r="C67" s="34" t="s">
        <v>3230</v>
      </c>
      <c r="D67" s="34" t="s">
        <v>3231</v>
      </c>
      <c r="E67" s="89">
        <v>46298</v>
      </c>
      <c r="F67" s="34" t="s">
        <v>34</v>
      </c>
      <c r="G67" s="34" t="s">
        <v>115</v>
      </c>
      <c r="H67" s="34" t="s">
        <v>3232</v>
      </c>
    </row>
    <row r="68" ht="15.0">
      <c r="A68" s="87">
        <v>46083</v>
      </c>
      <c r="B68" s="34" t="s">
        <v>3119</v>
      </c>
      <c r="C68" s="34" t="s">
        <v>3233</v>
      </c>
      <c r="D68" s="34" t="s">
        <v>3234</v>
      </c>
      <c r="E68" s="89">
        <v>46298</v>
      </c>
      <c r="F68" s="34" t="s">
        <v>36</v>
      </c>
      <c r="G68" s="34" t="s">
        <v>173</v>
      </c>
    </row>
    <row r="69" ht="15.0">
      <c r="A69" s="87">
        <v>46086</v>
      </c>
      <c r="B69" s="34" t="s">
        <v>3119</v>
      </c>
      <c r="C69" s="34" t="s">
        <v>3235</v>
      </c>
      <c r="D69" s="34" t="s">
        <v>3236</v>
      </c>
      <c r="E69" s="89">
        <v>46298</v>
      </c>
      <c r="F69" s="34" t="s">
        <v>34</v>
      </c>
      <c r="G69" s="34" t="s">
        <v>173</v>
      </c>
    </row>
    <row r="70" ht="15.0">
      <c r="A70" s="87">
        <v>46087</v>
      </c>
      <c r="B70" s="34" t="s">
        <v>3119</v>
      </c>
      <c r="C70" s="34" t="s">
        <v>3225</v>
      </c>
      <c r="D70" s="34" t="s">
        <v>3226</v>
      </c>
      <c r="E70" s="89">
        <v>46298</v>
      </c>
      <c r="F70" s="34" t="s">
        <v>34</v>
      </c>
      <c r="G70" s="34" t="s">
        <v>173</v>
      </c>
      <c r="H70" s="34" t="s">
        <v>3237</v>
      </c>
    </row>
    <row r="71" ht="15.0">
      <c r="A71" s="87">
        <v>46091</v>
      </c>
      <c r="B71" s="34" t="s">
        <v>3119</v>
      </c>
      <c r="C71" s="34" t="s">
        <v>3238</v>
      </c>
      <c r="D71" s="34" t="s">
        <v>3239</v>
      </c>
      <c r="E71" s="89">
        <v>46298</v>
      </c>
      <c r="F71" s="34" t="s">
        <v>34</v>
      </c>
      <c r="G71" s="34" t="s">
        <v>173</v>
      </c>
    </row>
    <row r="72" ht="15.0">
      <c r="A72" s="87">
        <v>46092</v>
      </c>
      <c r="B72" s="34" t="s">
        <v>3119</v>
      </c>
      <c r="C72" s="34" t="s">
        <v>1474</v>
      </c>
      <c r="D72" s="34" t="s">
        <v>1473</v>
      </c>
      <c r="E72" s="89">
        <v>46298</v>
      </c>
      <c r="F72" s="34" t="s">
        <v>34</v>
      </c>
      <c r="G72" s="34" t="s">
        <v>115</v>
      </c>
    </row>
    <row r="73" ht="15.0">
      <c r="A73" s="87">
        <v>46093</v>
      </c>
      <c r="B73" s="34" t="s">
        <v>3119</v>
      </c>
      <c r="C73" s="34" t="s">
        <v>3240</v>
      </c>
      <c r="D73" s="34" t="s">
        <v>3241</v>
      </c>
      <c r="E73" s="89">
        <v>46298</v>
      </c>
      <c r="F73" s="34" t="s">
        <v>34</v>
      </c>
      <c r="G73" s="34" t="s">
        <v>115</v>
      </c>
      <c r="H73" s="34" t="s">
        <v>3242</v>
      </c>
    </row>
    <row r="74" ht="15.0">
      <c r="A74" s="87">
        <v>46093</v>
      </c>
      <c r="B74" s="34" t="s">
        <v>3119</v>
      </c>
      <c r="C74" s="34" t="s">
        <v>3243</v>
      </c>
      <c r="D74" s="34" t="s">
        <v>3244</v>
      </c>
      <c r="E74" s="89">
        <v>46298</v>
      </c>
      <c r="F74" s="34" t="s">
        <v>35</v>
      </c>
      <c r="G74" s="34" t="s">
        <v>267</v>
      </c>
    </row>
    <row r="75" ht="15.0">
      <c r="A75" s="87">
        <v>46093</v>
      </c>
      <c r="B75" s="34" t="s">
        <v>3119</v>
      </c>
      <c r="C75" s="34" t="s">
        <v>3245</v>
      </c>
      <c r="D75" s="34" t="s">
        <v>3246</v>
      </c>
      <c r="E75" s="89">
        <v>46298</v>
      </c>
      <c r="F75" s="34" t="s">
        <v>34</v>
      </c>
      <c r="G75" s="34" t="s">
        <v>173</v>
      </c>
    </row>
    <row r="76" ht="15.0">
      <c r="A76" s="87">
        <v>46098</v>
      </c>
      <c r="B76" s="34" t="s">
        <v>3119</v>
      </c>
      <c r="C76" s="34" t="s">
        <v>3247</v>
      </c>
      <c r="D76" s="34" t="s">
        <v>3248</v>
      </c>
      <c r="E76" s="89">
        <v>46298</v>
      </c>
      <c r="F76" s="34" t="s">
        <v>34</v>
      </c>
      <c r="G76" s="34" t="s">
        <v>173</v>
      </c>
    </row>
    <row r="77" ht="15.0">
      <c r="A77" s="87">
        <v>46098</v>
      </c>
      <c r="B77" s="34" t="s">
        <v>3119</v>
      </c>
      <c r="C77" s="34" t="s">
        <v>3249</v>
      </c>
      <c r="D77" s="34" t="s">
        <v>3250</v>
      </c>
      <c r="E77" s="89">
        <v>46298</v>
      </c>
      <c r="F77" s="34" t="s">
        <v>34</v>
      </c>
      <c r="G77" s="34" t="s">
        <v>115</v>
      </c>
    </row>
    <row r="78" ht="15.0">
      <c r="A78" s="87">
        <v>46100</v>
      </c>
      <c r="B78" s="34" t="s">
        <v>3119</v>
      </c>
      <c r="C78" s="34" t="s">
        <v>3251</v>
      </c>
      <c r="D78" s="34" t="s">
        <v>3252</v>
      </c>
      <c r="E78" s="89">
        <v>46298</v>
      </c>
      <c r="F78" s="34" t="s">
        <v>34</v>
      </c>
      <c r="G78" s="34" t="s">
        <v>115</v>
      </c>
    </row>
    <row r="79" ht="15.0">
      <c r="A79" s="87">
        <v>46100</v>
      </c>
      <c r="B79" s="34" t="s">
        <v>3119</v>
      </c>
      <c r="C79" s="34" t="s">
        <v>3253</v>
      </c>
      <c r="D79" s="34" t="s">
        <v>3254</v>
      </c>
      <c r="E79" s="89">
        <v>46298</v>
      </c>
      <c r="F79" s="34" t="s">
        <v>34</v>
      </c>
      <c r="G79" s="34" t="s">
        <v>3115</v>
      </c>
    </row>
    <row r="80" ht="15.0">
      <c r="A80" s="87">
        <v>46101</v>
      </c>
      <c r="B80" s="34" t="s">
        <v>3119</v>
      </c>
      <c r="C80" s="34" t="s">
        <v>3255</v>
      </c>
      <c r="D80" s="34" t="s">
        <v>3256</v>
      </c>
      <c r="E80" s="89">
        <v>46298</v>
      </c>
      <c r="F80" s="34" t="s">
        <v>34</v>
      </c>
      <c r="G80" s="34" t="s">
        <v>115</v>
      </c>
      <c r="H80" s="34" t="s">
        <v>3257</v>
      </c>
    </row>
    <row r="81" ht="27.0">
      <c r="A81" s="87">
        <v>46101</v>
      </c>
      <c r="B81" s="34" t="s">
        <v>3119</v>
      </c>
      <c r="C81" s="34" t="s">
        <v>3258</v>
      </c>
      <c r="D81" s="34" t="s">
        <v>3259</v>
      </c>
      <c r="E81" s="89">
        <v>46298</v>
      </c>
      <c r="F81" s="34" t="s">
        <v>34</v>
      </c>
      <c r="G81" s="34" t="s">
        <v>173</v>
      </c>
    </row>
    <row r="82" ht="15.0">
      <c r="A82" s="87">
        <v>46104</v>
      </c>
      <c r="B82" s="34" t="s">
        <v>3119</v>
      </c>
      <c r="C82" s="34" t="s">
        <v>3260</v>
      </c>
      <c r="D82" s="34" t="s">
        <v>3261</v>
      </c>
      <c r="E82" s="89">
        <v>46298</v>
      </c>
      <c r="F82" s="34" t="s">
        <v>34</v>
      </c>
      <c r="G82" s="34" t="s">
        <v>173</v>
      </c>
    </row>
    <row r="83" ht="27.0">
      <c r="A83" s="87">
        <v>46104</v>
      </c>
      <c r="B83" s="34" t="s">
        <v>3119</v>
      </c>
      <c r="C83" s="34" t="s">
        <v>3258</v>
      </c>
      <c r="D83" s="34" t="s">
        <v>3259</v>
      </c>
      <c r="E83" s="89">
        <v>46298</v>
      </c>
      <c r="F83" s="34" t="s">
        <v>34</v>
      </c>
      <c r="G83" s="34" t="s">
        <v>267</v>
      </c>
    </row>
    <row r="84" ht="15.0">
      <c r="A84" s="87">
        <v>46105</v>
      </c>
      <c r="B84" s="34" t="s">
        <v>3119</v>
      </c>
      <c r="C84" s="34" t="s">
        <v>3262</v>
      </c>
      <c r="D84" s="34" t="s">
        <v>3263</v>
      </c>
      <c r="E84" s="89">
        <v>46298</v>
      </c>
      <c r="F84" s="34" t="s">
        <v>34</v>
      </c>
      <c r="G84" s="34" t="s">
        <v>115</v>
      </c>
    </row>
    <row r="85" ht="15.0">
      <c r="A85" s="87">
        <v>46105</v>
      </c>
      <c r="B85" s="34" t="s">
        <v>3119</v>
      </c>
      <c r="C85" s="34" t="s">
        <v>3264</v>
      </c>
      <c r="D85" s="34" t="s">
        <v>3265</v>
      </c>
      <c r="E85" s="89">
        <v>46298</v>
      </c>
      <c r="F85" s="34" t="s">
        <v>34</v>
      </c>
      <c r="G85" s="34" t="s">
        <v>173</v>
      </c>
    </row>
    <row r="86" ht="15.0">
      <c r="A86" s="87">
        <v>46106</v>
      </c>
      <c r="B86" s="34" t="s">
        <v>3119</v>
      </c>
      <c r="C86" s="34" t="s">
        <v>3266</v>
      </c>
      <c r="D86" s="34" t="s">
        <v>3267</v>
      </c>
      <c r="E86" s="89">
        <v>46298</v>
      </c>
      <c r="F86" s="34" t="s">
        <v>34</v>
      </c>
      <c r="G86" s="34" t="s">
        <v>3115</v>
      </c>
    </row>
    <row r="87" ht="15.0">
      <c r="A87" s="87">
        <v>46107</v>
      </c>
      <c r="B87" s="34" t="s">
        <v>3119</v>
      </c>
      <c r="C87" s="34" t="s">
        <v>3268</v>
      </c>
      <c r="D87" s="34" t="s">
        <v>2194</v>
      </c>
      <c r="E87" s="89">
        <v>46298</v>
      </c>
      <c r="F87" s="34" t="s">
        <v>37</v>
      </c>
      <c r="G87" s="34" t="s">
        <v>3115</v>
      </c>
    </row>
    <row r="88" ht="15.0">
      <c r="A88" s="87">
        <v>46107</v>
      </c>
      <c r="B88" s="34" t="s">
        <v>3119</v>
      </c>
      <c r="C88" s="34" t="s">
        <v>3269</v>
      </c>
      <c r="D88" s="34" t="s">
        <v>3267</v>
      </c>
      <c r="E88" s="89">
        <v>46298</v>
      </c>
      <c r="F88" s="34" t="s">
        <v>34</v>
      </c>
      <c r="G88" s="34" t="s">
        <v>173</v>
      </c>
    </row>
    <row r="89" ht="15.0">
      <c r="A89" s="87">
        <v>46108</v>
      </c>
      <c r="B89" s="34" t="s">
        <v>3119</v>
      </c>
      <c r="C89" s="34" t="s">
        <v>1794</v>
      </c>
      <c r="D89" s="34" t="s">
        <v>1793</v>
      </c>
      <c r="E89" s="34">
        <v>4.0</v>
      </c>
      <c r="F89" s="34" t="s">
        <v>34</v>
      </c>
      <c r="G89" s="34" t="s">
        <v>115</v>
      </c>
      <c r="H89" s="34" t="s">
        <v>3270</v>
      </c>
    </row>
    <row r="90" ht="15.0">
      <c r="A90" s="87">
        <v>46111</v>
      </c>
      <c r="B90" s="34" t="s">
        <v>3119</v>
      </c>
      <c r="C90" s="34" t="s">
        <v>758</v>
      </c>
      <c r="D90" s="34" t="s">
        <v>756</v>
      </c>
      <c r="E90" s="89">
        <v>46298</v>
      </c>
      <c r="F90" s="34" t="s">
        <v>34</v>
      </c>
      <c r="G90" s="34" t="s">
        <v>115</v>
      </c>
    </row>
    <row r="91" ht="15.0">
      <c r="A91" s="87">
        <v>46111</v>
      </c>
      <c r="B91" s="34" t="s">
        <v>3119</v>
      </c>
      <c r="C91" s="34" t="s">
        <v>3271</v>
      </c>
      <c r="D91" s="34" t="s">
        <v>3272</v>
      </c>
      <c r="E91" s="89">
        <v>46298</v>
      </c>
      <c r="F91" s="34" t="s">
        <v>36</v>
      </c>
      <c r="G91" s="34" t="s">
        <v>173</v>
      </c>
    </row>
    <row r="92" ht="27.0">
      <c r="A92" s="87">
        <v>46112</v>
      </c>
      <c r="B92" s="34" t="s">
        <v>3119</v>
      </c>
      <c r="C92" s="34" t="s">
        <v>3273</v>
      </c>
      <c r="D92" s="34" t="s">
        <v>1899</v>
      </c>
      <c r="E92" s="89">
        <v>46298</v>
      </c>
      <c r="F92" s="34" t="s">
        <v>34</v>
      </c>
      <c r="G92" s="34" t="s">
        <v>3115</v>
      </c>
    </row>
    <row r="93" ht="15.0">
      <c r="A93" s="87">
        <v>46112</v>
      </c>
      <c r="B93" s="34" t="s">
        <v>3119</v>
      </c>
      <c r="C93" s="34" t="s">
        <v>3274</v>
      </c>
      <c r="D93" s="34" t="s">
        <v>3275</v>
      </c>
      <c r="E93" s="89">
        <v>46298</v>
      </c>
      <c r="F93" s="34" t="s">
        <v>34</v>
      </c>
      <c r="G93" s="34" t="s">
        <v>173</v>
      </c>
    </row>
    <row r="94" ht="15.0">
      <c r="A94" s="87">
        <v>46112</v>
      </c>
      <c r="B94" s="34" t="s">
        <v>3119</v>
      </c>
      <c r="C94" s="34" t="s">
        <v>3276</v>
      </c>
      <c r="D94" s="34" t="s">
        <v>3277</v>
      </c>
      <c r="E94" s="89">
        <v>46298</v>
      </c>
      <c r="F94" s="34" t="s">
        <v>34</v>
      </c>
      <c r="G94" s="34" t="s">
        <v>173</v>
      </c>
    </row>
    <row r="95" ht="15.0">
      <c r="A95" s="87">
        <v>46118</v>
      </c>
      <c r="B95" s="34" t="s">
        <v>3119</v>
      </c>
      <c r="C95" s="34" t="s">
        <v>3278</v>
      </c>
      <c r="D95" s="34" t="s">
        <v>3279</v>
      </c>
      <c r="E95" s="89">
        <v>46298</v>
      </c>
      <c r="F95" s="34" t="s">
        <v>34</v>
      </c>
      <c r="G95" s="34" t="s">
        <v>173</v>
      </c>
    </row>
    <row r="96" ht="15.0">
      <c r="A96" s="87">
        <v>46119</v>
      </c>
      <c r="B96" s="34" t="s">
        <v>3119</v>
      </c>
      <c r="C96" s="34" t="s">
        <v>3280</v>
      </c>
      <c r="D96" s="34" t="s">
        <v>3281</v>
      </c>
      <c r="E96" s="89">
        <v>46298</v>
      </c>
      <c r="F96" s="34" t="s">
        <v>34</v>
      </c>
      <c r="G96" s="34" t="s">
        <v>173</v>
      </c>
    </row>
    <row r="97" ht="15.0">
      <c r="A97" s="87">
        <v>46119</v>
      </c>
      <c r="B97" s="34" t="s">
        <v>3119</v>
      </c>
      <c r="C97" s="34" t="s">
        <v>1624</v>
      </c>
      <c r="D97" s="34" t="s">
        <v>1623</v>
      </c>
      <c r="E97" s="89">
        <v>46298</v>
      </c>
      <c r="F97" s="34" t="s">
        <v>34</v>
      </c>
      <c r="G97" s="34" t="s">
        <v>115</v>
      </c>
    </row>
    <row r="98" ht="15.0">
      <c r="A98" s="87">
        <v>46120</v>
      </c>
      <c r="B98" s="34" t="s">
        <v>3119</v>
      </c>
      <c r="C98" s="34" t="s">
        <v>3282</v>
      </c>
      <c r="D98" s="34" t="s">
        <v>3283</v>
      </c>
      <c r="E98" s="89">
        <v>46298</v>
      </c>
      <c r="F98" s="34" t="s">
        <v>37</v>
      </c>
      <c r="G98" s="34" t="s">
        <v>115</v>
      </c>
    </row>
    <row r="99" ht="15.0">
      <c r="A99" s="87">
        <v>46122</v>
      </c>
      <c r="B99" s="34" t="s">
        <v>3119</v>
      </c>
      <c r="C99" s="34" t="s">
        <v>3284</v>
      </c>
      <c r="D99" s="34" t="s">
        <v>3285</v>
      </c>
      <c r="E99" s="89">
        <v>46298</v>
      </c>
      <c r="F99" s="34" t="s">
        <v>36</v>
      </c>
      <c r="G99" s="34" t="s">
        <v>267</v>
      </c>
    </row>
    <row r="100" ht="15.0">
      <c r="A100" s="87">
        <v>46125</v>
      </c>
      <c r="B100" s="34" t="s">
        <v>3119</v>
      </c>
      <c r="C100" s="34" t="s">
        <v>3286</v>
      </c>
      <c r="D100" s="34" t="s">
        <v>3287</v>
      </c>
      <c r="E100" s="89">
        <v>46298</v>
      </c>
      <c r="F100" s="34" t="s">
        <v>34</v>
      </c>
      <c r="G100" s="34" t="s">
        <v>173</v>
      </c>
    </row>
    <row r="101" ht="15.0">
      <c r="A101" s="87">
        <v>46126</v>
      </c>
      <c r="B101" s="34" t="s">
        <v>3119</v>
      </c>
      <c r="C101" s="34" t="s">
        <v>3288</v>
      </c>
      <c r="D101" s="34" t="s">
        <v>3289</v>
      </c>
      <c r="E101" s="89">
        <v>46298</v>
      </c>
      <c r="F101" s="34" t="s">
        <v>34</v>
      </c>
      <c r="G101" s="34" t="s">
        <v>115</v>
      </c>
    </row>
    <row r="102" ht="15.0">
      <c r="A102" s="87">
        <v>46126</v>
      </c>
      <c r="B102" s="34" t="s">
        <v>3119</v>
      </c>
      <c r="C102" s="34" t="s">
        <v>2162</v>
      </c>
      <c r="D102" s="38" t="s">
        <v>2160</v>
      </c>
      <c r="E102" s="89">
        <v>46298</v>
      </c>
      <c r="F102" s="34" t="s">
        <v>34</v>
      </c>
      <c r="G102" s="34" t="s">
        <v>115</v>
      </c>
    </row>
    <row r="103" ht="15.0">
      <c r="A103" s="87">
        <v>46127</v>
      </c>
      <c r="B103" s="34" t="s">
        <v>3119</v>
      </c>
      <c r="C103" s="34" t="s">
        <v>2144</v>
      </c>
      <c r="D103" s="34" t="s">
        <v>2143</v>
      </c>
      <c r="E103" s="89">
        <v>46298</v>
      </c>
      <c r="F103" s="34" t="s">
        <v>34</v>
      </c>
      <c r="G103" s="34" t="s">
        <v>3115</v>
      </c>
    </row>
    <row r="104" ht="15.0">
      <c r="A104" s="87">
        <v>46134</v>
      </c>
      <c r="B104" s="34" t="s">
        <v>3119</v>
      </c>
      <c r="C104" s="34" t="s">
        <v>3290</v>
      </c>
      <c r="D104" s="34" t="s">
        <v>3291</v>
      </c>
      <c r="E104" s="89">
        <v>46298</v>
      </c>
      <c r="F104" s="34" t="s">
        <v>37</v>
      </c>
      <c r="G104" s="34" t="s">
        <v>115</v>
      </c>
    </row>
    <row r="105" ht="15.0">
      <c r="A105" s="87">
        <v>46135</v>
      </c>
      <c r="B105" s="34" t="s">
        <v>3119</v>
      </c>
      <c r="C105" s="34" t="s">
        <v>3292</v>
      </c>
      <c r="D105" s="34" t="s">
        <v>3293</v>
      </c>
      <c r="E105" s="89">
        <v>46298</v>
      </c>
      <c r="F105" s="34" t="s">
        <v>35</v>
      </c>
      <c r="G105" s="34" t="s">
        <v>173</v>
      </c>
    </row>
    <row r="106" ht="15.0">
      <c r="A106" s="87">
        <v>46135</v>
      </c>
      <c r="B106" s="34" t="s">
        <v>3119</v>
      </c>
      <c r="C106" s="34" t="s">
        <v>2843</v>
      </c>
      <c r="D106" s="34" t="s">
        <v>2842</v>
      </c>
      <c r="E106" s="89">
        <v>46298</v>
      </c>
      <c r="F106" s="34" t="s">
        <v>34</v>
      </c>
      <c r="G106" s="34" t="s">
        <v>173</v>
      </c>
    </row>
    <row r="107" ht="15.0">
      <c r="A107" s="87">
        <v>46136</v>
      </c>
      <c r="B107" s="34" t="s">
        <v>3119</v>
      </c>
      <c r="C107" s="34" t="s">
        <v>3294</v>
      </c>
      <c r="D107" s="34" t="s">
        <v>1095</v>
      </c>
      <c r="E107" s="89">
        <v>46298</v>
      </c>
      <c r="F107" s="34" t="s">
        <v>34</v>
      </c>
      <c r="G107" s="34" t="s">
        <v>3115</v>
      </c>
    </row>
    <row r="108" ht="15.0">
      <c r="A108" s="87">
        <v>46136</v>
      </c>
      <c r="B108" s="34" t="s">
        <v>3119</v>
      </c>
      <c r="C108" s="34" t="s">
        <v>3295</v>
      </c>
      <c r="D108" s="34" t="s">
        <v>3296</v>
      </c>
      <c r="E108" s="89">
        <v>46298</v>
      </c>
      <c r="F108" s="34" t="s">
        <v>34</v>
      </c>
      <c r="G108" s="34" t="s">
        <v>173</v>
      </c>
    </row>
    <row r="109" ht="15.0">
      <c r="A109" s="87">
        <v>46139</v>
      </c>
      <c r="B109" s="34" t="s">
        <v>3119</v>
      </c>
      <c r="C109" s="34" t="s">
        <v>3297</v>
      </c>
      <c r="D109" s="34" t="s">
        <v>3298</v>
      </c>
      <c r="E109" s="89">
        <v>46298</v>
      </c>
      <c r="F109" s="34" t="s">
        <v>34</v>
      </c>
      <c r="G109" s="34" t="s">
        <v>173</v>
      </c>
    </row>
    <row r="110" customHeight="1" ht="14.0" customFormat="1" s="34">
      <c r="A110" s="90">
        <v>46141</v>
      </c>
      <c r="B110" s="91" t="s">
        <v>3119</v>
      </c>
      <c r="C110" s="92" t="s">
        <v>3299</v>
      </c>
      <c r="D110" s="93" t="s">
        <v>3300</v>
      </c>
      <c r="E110" s="94">
        <v>46298</v>
      </c>
      <c r="F110" s="91" t="s">
        <v>34</v>
      </c>
      <c r="G110" s="34" t="s">
        <v>173</v>
      </c>
      <c r="H110" s="91"/>
      <c r="I110" s="91"/>
    </row>
    <row r="111" ht="15.0">
      <c r="A111" s="87">
        <v>46143</v>
      </c>
      <c r="B111" s="34" t="s">
        <v>3119</v>
      </c>
      <c r="C111" s="34" t="s">
        <v>3301</v>
      </c>
      <c r="D111" s="34" t="s">
        <v>3302</v>
      </c>
      <c r="E111" s="89">
        <v>46298</v>
      </c>
      <c r="F111" s="34" t="s">
        <v>34</v>
      </c>
      <c r="G111" s="34" t="s">
        <v>173</v>
      </c>
      <c r="H111" s="34" t="s">
        <v>3303</v>
      </c>
    </row>
    <row r="112" ht="15.0">
      <c r="A112" s="87">
        <v>46146</v>
      </c>
      <c r="B112" s="34" t="s">
        <v>3119</v>
      </c>
      <c r="C112" s="34" t="s">
        <v>3304</v>
      </c>
      <c r="D112" s="34" t="s">
        <v>3305</v>
      </c>
      <c r="E112" s="89">
        <v>46298</v>
      </c>
      <c r="F112" s="34" t="s">
        <v>34</v>
      </c>
      <c r="G112" s="34" t="s">
        <v>267</v>
      </c>
    </row>
    <row r="113" ht="15.0">
      <c r="A113" s="87">
        <v>46147</v>
      </c>
      <c r="B113" s="34" t="s">
        <v>3119</v>
      </c>
      <c r="C113" s="34" t="s">
        <v>3306</v>
      </c>
      <c r="D113" s="34" t="s">
        <v>3307</v>
      </c>
      <c r="E113" s="89">
        <v>46298</v>
      </c>
      <c r="F113" s="34" t="s">
        <v>34</v>
      </c>
      <c r="G113" s="34" t="s">
        <v>173</v>
      </c>
      <c r="H113" s="34" t="s">
        <v>3303</v>
      </c>
    </row>
    <row r="114" ht="15.0">
      <c r="A114" s="87">
        <v>46147</v>
      </c>
      <c r="B114" s="34" t="s">
        <v>3119</v>
      </c>
      <c r="C114" s="34" t="s">
        <v>3308</v>
      </c>
      <c r="D114" s="34" t="s">
        <v>3309</v>
      </c>
      <c r="E114" s="89">
        <v>46298</v>
      </c>
      <c r="F114" s="34" t="s">
        <v>34</v>
      </c>
      <c r="G114" s="34" t="s">
        <v>115</v>
      </c>
    </row>
    <row r="115" ht="27.0">
      <c r="A115" s="87">
        <v>46147</v>
      </c>
      <c r="B115" s="34" t="s">
        <v>3119</v>
      </c>
      <c r="C115" s="34" t="s">
        <v>3310</v>
      </c>
      <c r="D115" s="34" t="s">
        <v>3311</v>
      </c>
      <c r="E115" s="89">
        <v>46298</v>
      </c>
      <c r="F115" s="34" t="s">
        <v>34</v>
      </c>
      <c r="G115" s="34" t="s">
        <v>173</v>
      </c>
    </row>
    <row r="116" ht="15.0">
      <c r="A116" s="87">
        <v>46148</v>
      </c>
      <c r="B116" s="34" t="s">
        <v>3119</v>
      </c>
      <c r="C116" s="34" t="s">
        <v>2509</v>
      </c>
      <c r="D116" s="34" t="s">
        <v>3312</v>
      </c>
      <c r="E116" s="89">
        <v>46298</v>
      </c>
      <c r="F116" s="34" t="s">
        <v>34</v>
      </c>
      <c r="G116" s="34" t="s">
        <v>115</v>
      </c>
    </row>
    <row r="117" ht="15.0">
      <c r="A117" s="87">
        <v>46150</v>
      </c>
      <c r="B117" s="34" t="s">
        <v>3119</v>
      </c>
      <c r="C117" s="34" t="s">
        <v>3313</v>
      </c>
      <c r="D117" s="34" t="s">
        <v>3314</v>
      </c>
      <c r="E117" s="89">
        <v>46298</v>
      </c>
      <c r="F117" s="34" t="s">
        <v>34</v>
      </c>
      <c r="G117" s="34" t="s">
        <v>115</v>
      </c>
    </row>
    <row r="118" ht="15.0">
      <c r="A118" s="87">
        <v>46153</v>
      </c>
      <c r="B118" s="34" t="s">
        <v>3119</v>
      </c>
      <c r="C118" s="34" t="s">
        <v>3315</v>
      </c>
      <c r="D118" s="34" t="s">
        <v>3316</v>
      </c>
      <c r="E118" s="89">
        <v>46298</v>
      </c>
      <c r="F118" s="34" t="s">
        <v>34</v>
      </c>
      <c r="G118" s="34" t="s">
        <v>173</v>
      </c>
    </row>
    <row r="119" ht="15.0">
      <c r="A119" s="87">
        <v>46154</v>
      </c>
      <c r="B119" s="34" t="s">
        <v>3119</v>
      </c>
      <c r="C119" s="38" t="s">
        <v>2895</v>
      </c>
      <c r="D119" s="34" t="s">
        <v>2894</v>
      </c>
      <c r="E119" s="89">
        <v>46298</v>
      </c>
      <c r="F119" s="34" t="s">
        <v>34</v>
      </c>
      <c r="G119" s="34" t="s">
        <v>173</v>
      </c>
    </row>
    <row r="120" ht="15.0">
      <c r="A120" s="87">
        <v>46155</v>
      </c>
      <c r="B120" s="34" t="s">
        <v>3119</v>
      </c>
      <c r="C120" s="34" t="s">
        <v>3317</v>
      </c>
      <c r="D120" s="34" t="s">
        <v>3318</v>
      </c>
      <c r="E120" s="89">
        <v>46298</v>
      </c>
      <c r="F120" s="34" t="s">
        <v>34</v>
      </c>
      <c r="G120" s="34" t="s">
        <v>173</v>
      </c>
    </row>
    <row r="121" ht="15.0">
      <c r="A121" s="87">
        <v>46156</v>
      </c>
      <c r="B121" s="34" t="s">
        <v>3119</v>
      </c>
      <c r="C121" s="38" t="s">
        <v>3317</v>
      </c>
      <c r="D121" s="34" t="s">
        <v>3319</v>
      </c>
      <c r="E121" s="89">
        <v>46298</v>
      </c>
      <c r="F121" s="34" t="s">
        <v>34</v>
      </c>
      <c r="G121" s="34" t="s">
        <v>173</v>
      </c>
    </row>
    <row r="122" ht="15.0">
      <c r="A122" s="87">
        <v>46156</v>
      </c>
      <c r="B122" s="34" t="s">
        <v>3119</v>
      </c>
      <c r="C122" s="34" t="s">
        <v>3320</v>
      </c>
      <c r="D122" s="34" t="s">
        <v>3321</v>
      </c>
      <c r="E122" s="89">
        <v>46298</v>
      </c>
      <c r="F122" s="34" t="s">
        <v>34</v>
      </c>
      <c r="G122" s="34" t="s">
        <v>173</v>
      </c>
    </row>
    <row r="123" ht="15.0">
      <c r="A123" s="87">
        <v>46156</v>
      </c>
      <c r="B123" s="34" t="s">
        <v>3119</v>
      </c>
      <c r="C123" s="34" t="s">
        <v>3322</v>
      </c>
      <c r="D123" s="34" t="s">
        <v>3323</v>
      </c>
      <c r="E123" s="89">
        <v>46298</v>
      </c>
      <c r="F123" s="34" t="s">
        <v>34</v>
      </c>
      <c r="G123" s="34" t="s">
        <v>173</v>
      </c>
    </row>
    <row r="124" ht="15.0">
      <c r="A124" s="87">
        <v>46156</v>
      </c>
      <c r="B124" s="34" t="s">
        <v>3119</v>
      </c>
      <c r="C124" s="34" t="s">
        <v>3324</v>
      </c>
      <c r="D124" s="34" t="s">
        <v>3325</v>
      </c>
      <c r="E124" s="89">
        <v>46298</v>
      </c>
      <c r="F124" s="34" t="s">
        <v>34</v>
      </c>
      <c r="G124" s="34" t="s">
        <v>173</v>
      </c>
    </row>
    <row r="125" ht="15.0">
      <c r="A125" s="87">
        <v>46160</v>
      </c>
      <c r="B125" s="34" t="s">
        <v>3119</v>
      </c>
      <c r="C125" s="34" t="s">
        <v>3326</v>
      </c>
      <c r="D125" s="34" t="s">
        <v>3327</v>
      </c>
      <c r="E125" s="89">
        <v>46298</v>
      </c>
      <c r="F125" s="34" t="s">
        <v>36</v>
      </c>
      <c r="G125" s="34" t="s">
        <v>173</v>
      </c>
    </row>
    <row r="126" ht="15.0">
      <c r="A126" s="87">
        <v>46161</v>
      </c>
      <c r="B126" s="34" t="s">
        <v>3119</v>
      </c>
      <c r="C126" s="34" t="s">
        <v>3328</v>
      </c>
      <c r="D126" s="34" t="s">
        <v>3329</v>
      </c>
      <c r="E126" s="89">
        <v>46298</v>
      </c>
      <c r="F126" s="34" t="s">
        <v>34</v>
      </c>
      <c r="G126" s="34" t="s">
        <v>173</v>
      </c>
    </row>
    <row r="127" ht="15.0">
      <c r="A127" s="87">
        <v>46162</v>
      </c>
      <c r="B127" s="34" t="s">
        <v>3119</v>
      </c>
      <c r="C127" s="34" t="s">
        <v>3330</v>
      </c>
      <c r="D127" s="65" t="s">
        <v>3331</v>
      </c>
      <c r="E127" s="89">
        <v>46298</v>
      </c>
      <c r="F127" s="34" t="s">
        <v>34</v>
      </c>
      <c r="G127" s="34" t="s">
        <v>173</v>
      </c>
    </row>
    <row r="128" ht="15.0">
      <c r="A128" s="87">
        <v>46164</v>
      </c>
      <c r="B128" s="34" t="s">
        <v>3119</v>
      </c>
      <c r="C128" s="34" t="s">
        <v>3332</v>
      </c>
      <c r="D128" s="34" t="s">
        <v>3333</v>
      </c>
      <c r="E128" s="89">
        <v>46298</v>
      </c>
      <c r="F128" s="34" t="s">
        <v>35</v>
      </c>
      <c r="G128" s="34" t="s">
        <v>173</v>
      </c>
    </row>
    <row r="129" ht="15.0">
      <c r="A129" s="87">
        <v>46167</v>
      </c>
      <c r="B129" s="34" t="s">
        <v>3106</v>
      </c>
      <c r="C129" s="34" t="s">
        <v>3334</v>
      </c>
      <c r="D129" s="34" t="s">
        <v>3335</v>
      </c>
      <c r="E129" s="89">
        <v>46298</v>
      </c>
      <c r="F129" s="34" t="s">
        <v>35</v>
      </c>
      <c r="G129" s="34" t="s">
        <v>3115</v>
      </c>
    </row>
    <row r="130" ht="15.0">
      <c r="A130" s="87">
        <v>46167</v>
      </c>
      <c r="B130" s="34" t="s">
        <v>3119</v>
      </c>
      <c r="C130" s="34" t="s">
        <v>3336</v>
      </c>
      <c r="D130" s="34" t="s">
        <v>3337</v>
      </c>
      <c r="E130" s="89">
        <v>46298</v>
      </c>
      <c r="F130" s="34" t="s">
        <v>35</v>
      </c>
      <c r="G130" s="34" t="s">
        <v>3115</v>
      </c>
    </row>
    <row r="131" ht="15.0">
      <c r="A131" s="87">
        <v>46167</v>
      </c>
      <c r="B131" s="34" t="s">
        <v>3119</v>
      </c>
      <c r="C131" s="34" t="s">
        <v>3338</v>
      </c>
      <c r="D131" s="34" t="s">
        <v>3339</v>
      </c>
      <c r="E131" s="89">
        <v>46298</v>
      </c>
      <c r="F131" s="34" t="s">
        <v>35</v>
      </c>
      <c r="G131" s="34" t="s">
        <v>173</v>
      </c>
    </row>
    <row r="132" ht="15.0">
      <c r="A132" s="87">
        <v>46168</v>
      </c>
      <c r="B132" s="34" t="s">
        <v>3119</v>
      </c>
      <c r="C132" s="34" t="s">
        <v>3340</v>
      </c>
      <c r="D132" s="34" t="s">
        <v>3341</v>
      </c>
      <c r="E132" s="89">
        <v>46298</v>
      </c>
      <c r="F132" s="34" t="s">
        <v>34</v>
      </c>
      <c r="G132" s="34" t="s">
        <v>173</v>
      </c>
    </row>
    <row r="133" ht="15.0">
      <c r="A133" s="87">
        <v>46168</v>
      </c>
      <c r="B133" s="34" t="s">
        <v>3119</v>
      </c>
      <c r="C133" s="34" t="s">
        <v>3342</v>
      </c>
      <c r="D133" s="34" t="s">
        <v>3343</v>
      </c>
      <c r="E133" s="89">
        <v>46298</v>
      </c>
      <c r="F133" s="34" t="s">
        <v>34</v>
      </c>
      <c r="G133" s="34" t="s">
        <v>173</v>
      </c>
    </row>
    <row r="134" ht="15.0">
      <c r="A134" s="87">
        <v>46167</v>
      </c>
      <c r="B134" s="34" t="s">
        <v>3119</v>
      </c>
      <c r="C134" s="34" t="s">
        <v>3344</v>
      </c>
      <c r="D134" s="34" t="s">
        <v>3345</v>
      </c>
      <c r="E134" s="34">
        <v>1000.0</v>
      </c>
      <c r="F134" s="34" t="s">
        <v>34</v>
      </c>
      <c r="G134" s="34" t="s">
        <v>173</v>
      </c>
    </row>
    <row r="135" ht="15.0">
      <c r="A135" s="87">
        <v>46168</v>
      </c>
      <c r="B135" s="34" t="s">
        <v>3119</v>
      </c>
      <c r="C135" s="34" t="s">
        <v>3346</v>
      </c>
      <c r="D135" s="34" t="s">
        <v>3347</v>
      </c>
      <c r="E135" s="34" t="s">
        <v>3348</v>
      </c>
      <c r="F135" s="34" t="s">
        <v>34</v>
      </c>
      <c r="G135" s="34" t="s">
        <v>173</v>
      </c>
    </row>
    <row r="136" ht="15.0">
      <c r="A136" s="87">
        <v>46168</v>
      </c>
      <c r="B136" s="34" t="s">
        <v>3119</v>
      </c>
      <c r="C136" s="34" t="s">
        <v>3342</v>
      </c>
      <c r="D136" s="34" t="s">
        <v>3343</v>
      </c>
      <c r="E136" s="89">
        <v>46298</v>
      </c>
      <c r="F136" s="34" t="s">
        <v>34</v>
      </c>
      <c r="G136" s="34" t="s">
        <v>267</v>
      </c>
    </row>
    <row r="137" ht="15.0">
      <c r="A137" s="87">
        <v>46170</v>
      </c>
      <c r="B137" s="34" t="s">
        <v>3119</v>
      </c>
      <c r="C137" s="34" t="s">
        <v>3349</v>
      </c>
      <c r="D137" s="34" t="s">
        <v>3350</v>
      </c>
      <c r="E137" s="95">
        <v>46298</v>
      </c>
      <c r="F137" s="34" t="s">
        <v>3351</v>
      </c>
      <c r="G137" s="34" t="s">
        <v>115</v>
      </c>
    </row>
    <row r="138" ht="27.0">
      <c r="A138" s="96">
        <v>46170</v>
      </c>
      <c r="B138" s="34" t="s">
        <v>3119</v>
      </c>
      <c r="C138" s="34" t="s">
        <v>3352</v>
      </c>
      <c r="D138" s="34" t="s">
        <v>3353</v>
      </c>
      <c r="E138" s="34">
        <v>1000.0</v>
      </c>
      <c r="F138" s="34" t="s">
        <v>3351</v>
      </c>
      <c r="G138" s="34" t="s">
        <v>115</v>
      </c>
    </row>
    <row r="139" ht="15.0">
      <c r="A139" s="96">
        <v>46170</v>
      </c>
      <c r="B139" s="34" t="s">
        <v>3119</v>
      </c>
      <c r="C139" s="34" t="s">
        <v>3354</v>
      </c>
      <c r="D139" s="34" t="s">
        <v>3355</v>
      </c>
      <c r="E139" s="34" t="s">
        <v>3356</v>
      </c>
      <c r="F139" s="34" t="s">
        <v>34</v>
      </c>
      <c r="G139" s="34" t="s">
        <v>115</v>
      </c>
    </row>
    <row r="140" customHeight="1" ht="14.0">
      <c r="A140" s="96">
        <v>46170</v>
      </c>
      <c r="B140" s="34" t="s">
        <v>3119</v>
      </c>
      <c r="C140" s="34" t="s">
        <v>3357</v>
      </c>
      <c r="D140" s="34" t="s">
        <v>3358</v>
      </c>
      <c r="E140" s="53" t="s">
        <v>3348</v>
      </c>
      <c r="F140" s="34" t="s">
        <v>34</v>
      </c>
      <c r="G140" s="34" t="s">
        <v>115</v>
      </c>
    </row>
    <row r="141" customHeight="1" ht="14.0">
      <c r="A141" s="96">
        <v>46170</v>
      </c>
      <c r="B141" s="34" t="s">
        <v>3119</v>
      </c>
      <c r="C141" s="34" t="s">
        <v>3359</v>
      </c>
      <c r="D141" s="34" t="s">
        <v>3360</v>
      </c>
      <c r="E141" s="53" t="s">
        <v>3361</v>
      </c>
      <c r="F141" s="34" t="s">
        <v>34</v>
      </c>
      <c r="G141" s="34" t="s">
        <v>115</v>
      </c>
    </row>
    <row r="142" ht="15.0">
      <c r="A142" s="87">
        <v>46174</v>
      </c>
      <c r="B142" s="34" t="s">
        <v>3119</v>
      </c>
      <c r="C142" s="34" t="s">
        <v>3362</v>
      </c>
      <c r="D142" s="34" t="s">
        <v>3363</v>
      </c>
      <c r="E142" s="89">
        <v>46298</v>
      </c>
      <c r="F142" s="34" t="s">
        <v>34</v>
      </c>
      <c r="G142" s="34" t="s">
        <v>173</v>
      </c>
    </row>
    <row r="143" ht="15.0">
      <c r="A143" s="87">
        <v>46175</v>
      </c>
      <c r="B143" s="34" t="s">
        <v>3119</v>
      </c>
      <c r="C143" s="34" t="s">
        <v>3364</v>
      </c>
      <c r="D143" s="34" t="s">
        <v>3365</v>
      </c>
      <c r="E143" s="89">
        <v>46298</v>
      </c>
      <c r="F143" s="34" t="s">
        <v>34</v>
      </c>
      <c r="G143" s="34" t="s">
        <v>115</v>
      </c>
    </row>
    <row r="144" ht="15.0">
      <c r="A144" s="87">
        <v>46175</v>
      </c>
      <c r="B144" s="34" t="s">
        <v>3119</v>
      </c>
      <c r="C144" s="34" t="s">
        <v>3366</v>
      </c>
      <c r="D144" s="34" t="s">
        <v>3367</v>
      </c>
      <c r="E144" s="89">
        <v>46298</v>
      </c>
      <c r="F144" s="34" t="s">
        <v>34</v>
      </c>
      <c r="G144" s="34" t="s">
        <v>173</v>
      </c>
    </row>
    <row r="145" ht="15.0">
      <c r="A145" s="87">
        <v>46176</v>
      </c>
      <c r="B145" s="34" t="s">
        <v>3119</v>
      </c>
      <c r="C145" s="34" t="s">
        <v>3368</v>
      </c>
      <c r="D145" s="34" t="s">
        <v>3369</v>
      </c>
      <c r="E145" s="89">
        <v>46298</v>
      </c>
      <c r="F145" s="34" t="s">
        <v>36</v>
      </c>
      <c r="G145" s="34" t="s">
        <v>173</v>
      </c>
    </row>
    <row r="146" ht="15.0">
      <c r="A146" s="87">
        <v>46176</v>
      </c>
      <c r="B146" s="34" t="s">
        <v>3119</v>
      </c>
      <c r="C146" s="34" t="s">
        <v>3370</v>
      </c>
      <c r="D146" s="34" t="s">
        <v>3371</v>
      </c>
      <c r="E146" s="89">
        <v>46298</v>
      </c>
      <c r="F146" s="34" t="s">
        <v>35</v>
      </c>
      <c r="G146" s="34" t="s">
        <v>267</v>
      </c>
    </row>
    <row r="147" ht="15.0">
      <c r="A147" s="87">
        <v>46177</v>
      </c>
      <c r="B147" s="34" t="s">
        <v>3119</v>
      </c>
      <c r="C147" s="34" t="s">
        <v>3372</v>
      </c>
      <c r="D147" s="34" t="s">
        <v>3373</v>
      </c>
      <c r="E147" s="89">
        <v>46298</v>
      </c>
      <c r="F147" s="34" t="s">
        <v>34</v>
      </c>
      <c r="G147" s="34" t="s">
        <v>267</v>
      </c>
    </row>
    <row r="148" ht="15.0">
      <c r="A148" s="87">
        <v>46178</v>
      </c>
      <c r="B148" s="34" t="s">
        <v>3119</v>
      </c>
      <c r="C148" s="34" t="s">
        <v>3374</v>
      </c>
      <c r="D148" s="34" t="s">
        <v>3375</v>
      </c>
      <c r="E148" s="89">
        <v>46298</v>
      </c>
      <c r="F148" s="34" t="s">
        <v>34</v>
      </c>
      <c r="G148" s="34" t="s">
        <v>115</v>
      </c>
    </row>
    <row r="149" ht="15.0">
      <c r="A149" s="87">
        <v>46178</v>
      </c>
      <c r="B149" s="34" t="s">
        <v>3119</v>
      </c>
      <c r="C149" s="38" t="s">
        <v>3376</v>
      </c>
      <c r="D149" s="38" t="s">
        <v>3377</v>
      </c>
      <c r="E149" s="89">
        <v>46298</v>
      </c>
      <c r="F149" s="34" t="s">
        <v>34</v>
      </c>
      <c r="G149" s="34" t="s">
        <v>115</v>
      </c>
    </row>
    <row r="150" ht="15.0">
      <c r="A150" s="87">
        <v>46181</v>
      </c>
      <c r="B150" s="34" t="s">
        <v>3119</v>
      </c>
      <c r="C150" s="34" t="s">
        <v>3378</v>
      </c>
      <c r="D150" s="34" t="s">
        <v>3379</v>
      </c>
      <c r="E150" s="89">
        <v>46298</v>
      </c>
      <c r="F150" s="34" t="s">
        <v>34</v>
      </c>
      <c r="G150" s="34" t="s">
        <v>267</v>
      </c>
    </row>
    <row r="151" ht="15.0">
      <c r="A151" s="87">
        <v>46181</v>
      </c>
      <c r="B151" s="34" t="s">
        <v>3119</v>
      </c>
      <c r="C151" s="34" t="s">
        <v>3380</v>
      </c>
      <c r="D151" s="34" t="s">
        <v>3381</v>
      </c>
      <c r="E151" s="89">
        <v>46298</v>
      </c>
      <c r="F151" s="34" t="s">
        <v>34</v>
      </c>
      <c r="G151" s="34" t="s">
        <v>267</v>
      </c>
    </row>
    <row r="152" ht="15.0">
      <c r="A152" s="87">
        <v>46182</v>
      </c>
      <c r="B152" s="34" t="s">
        <v>3119</v>
      </c>
      <c r="C152" s="34" t="s">
        <v>3382</v>
      </c>
      <c r="D152" s="34" t="s">
        <v>2989</v>
      </c>
      <c r="E152" s="89">
        <v>46298</v>
      </c>
      <c r="F152" s="34" t="s">
        <v>34</v>
      </c>
      <c r="G152" s="34" t="s">
        <v>267</v>
      </c>
    </row>
    <row r="153" ht="15.0">
      <c r="A153" s="87">
        <v>46184</v>
      </c>
      <c r="B153" s="34" t="s">
        <v>3119</v>
      </c>
      <c r="C153" s="34" t="s">
        <v>3383</v>
      </c>
      <c r="D153" s="34" t="s">
        <v>3384</v>
      </c>
      <c r="E153" s="89">
        <v>46298</v>
      </c>
      <c r="F153" s="34" t="s">
        <v>34</v>
      </c>
      <c r="G153" s="34" t="s">
        <v>115</v>
      </c>
    </row>
    <row r="154" ht="15.0">
      <c r="A154" s="87">
        <v>46184</v>
      </c>
      <c r="B154" s="34" t="s">
        <v>3119</v>
      </c>
      <c r="C154" s="34" t="s">
        <v>3385</v>
      </c>
      <c r="D154" s="34" t="s">
        <v>3386</v>
      </c>
      <c r="E154" s="89">
        <v>46298</v>
      </c>
      <c r="F154" s="34" t="s">
        <v>36</v>
      </c>
      <c r="G154" s="34" t="s">
        <v>115</v>
      </c>
    </row>
    <row r="155" ht="15.0">
      <c r="A155" s="87">
        <v>46184</v>
      </c>
      <c r="B155" s="34" t="s">
        <v>3119</v>
      </c>
      <c r="C155" s="34" t="s">
        <v>3387</v>
      </c>
      <c r="D155" s="34" t="s">
        <v>3388</v>
      </c>
      <c r="E155" s="89">
        <v>46298</v>
      </c>
      <c r="F155" s="34" t="s">
        <v>34</v>
      </c>
      <c r="G155" s="34" t="s">
        <v>115</v>
      </c>
    </row>
    <row r="156" ht="15.0">
      <c r="A156" s="87">
        <v>46185</v>
      </c>
      <c r="B156" s="34" t="s">
        <v>3119</v>
      </c>
      <c r="C156" s="34" t="s">
        <v>2869</v>
      </c>
      <c r="D156" s="34" t="s">
        <v>2867</v>
      </c>
      <c r="E156" s="89">
        <v>46298</v>
      </c>
      <c r="F156" s="34" t="s">
        <v>34</v>
      </c>
      <c r="G156" s="34" t="s">
        <v>115</v>
      </c>
    </row>
    <row r="157" ht="15.0">
      <c r="A157" s="87">
        <v>46185</v>
      </c>
      <c r="B157" s="34" t="s">
        <v>3119</v>
      </c>
      <c r="C157" s="34" t="s">
        <v>3389</v>
      </c>
      <c r="D157" s="34" t="s">
        <v>3390</v>
      </c>
      <c r="E157" s="89">
        <v>46298</v>
      </c>
      <c r="F157" s="34" t="s">
        <v>34</v>
      </c>
      <c r="G157" s="34" t="s">
        <v>115</v>
      </c>
    </row>
    <row r="158" ht="15.0">
      <c r="A158" s="87">
        <v>46188</v>
      </c>
      <c r="B158" s="34" t="s">
        <v>3119</v>
      </c>
      <c r="C158" s="34" t="s">
        <v>3391</v>
      </c>
      <c r="D158" s="38" t="s">
        <v>3392</v>
      </c>
      <c r="E158" s="89">
        <v>46298</v>
      </c>
      <c r="F158" s="34" t="s">
        <v>34</v>
      </c>
      <c r="G158" s="34" t="s">
        <v>115</v>
      </c>
    </row>
    <row r="159" ht="15.0">
      <c r="A159" s="87">
        <v>46188</v>
      </c>
      <c r="B159" s="34" t="s">
        <v>3119</v>
      </c>
      <c r="C159" s="34" t="s">
        <v>3393</v>
      </c>
      <c r="D159" s="34" t="s">
        <v>3394</v>
      </c>
      <c r="E159" s="89">
        <v>46298</v>
      </c>
      <c r="F159" s="34" t="s">
        <v>34</v>
      </c>
      <c r="G159" s="34" t="s">
        <v>115</v>
      </c>
    </row>
    <row r="160" ht="15.0">
      <c r="A160" s="87">
        <v>46188</v>
      </c>
      <c r="B160" s="34" t="s">
        <v>3119</v>
      </c>
      <c r="C160" s="34" t="s">
        <v>3395</v>
      </c>
      <c r="D160" s="34" t="s">
        <v>3396</v>
      </c>
      <c r="E160" s="89">
        <v>46298</v>
      </c>
      <c r="F160" s="34" t="s">
        <v>34</v>
      </c>
      <c r="G160" s="34" t="s">
        <v>115</v>
      </c>
    </row>
    <row r="161" ht="15.0">
      <c r="A161" s="87">
        <v>46189</v>
      </c>
      <c r="B161" s="34" t="s">
        <v>3119</v>
      </c>
      <c r="C161" s="34" t="s">
        <v>3397</v>
      </c>
      <c r="D161" s="34" t="s">
        <v>3392</v>
      </c>
      <c r="E161" s="89">
        <v>46298</v>
      </c>
      <c r="F161" s="34" t="s">
        <v>34</v>
      </c>
      <c r="G161" s="34" t="s">
        <v>115</v>
      </c>
    </row>
  </sheetData>
  <hyperlinks>
    <hyperlink ref="C2" r:id="rId1"/>
    <hyperlink ref="D2" r:id="rId2"/>
    <hyperlink ref="C3" r:id="rId3"/>
    <hyperlink ref="D3" r:id="rId4"/>
    <hyperlink ref="C4" r:id="rId5"/>
    <hyperlink ref="D4" r:id="rId6"/>
    <hyperlink ref="C5" r:id="rId7"/>
    <hyperlink ref="D5" r:id="rId8"/>
    <hyperlink ref="C6" r:id="rId9"/>
    <hyperlink ref="D6" r:id="rId10"/>
    <hyperlink ref="C7" r:id="rId11"/>
    <hyperlink ref="D7" r:id="rId12"/>
    <hyperlink ref="C8" r:id="rId13"/>
    <hyperlink ref="D8" r:id="rId14"/>
    <hyperlink ref="C9" r:id="rId15"/>
    <hyperlink ref="D9" r:id="rId16"/>
    <hyperlink ref="C10" r:id="rId17"/>
    <hyperlink ref="D10" r:id="rId18"/>
    <hyperlink ref="C11" r:id="rId19"/>
    <hyperlink ref="D11" r:id="rId20"/>
    <hyperlink ref="C12" r:id="rId21"/>
    <hyperlink ref="D12" r:id="rId22"/>
    <hyperlink ref="C13" r:id="rId23"/>
    <hyperlink ref="D13" r:id="rId24"/>
    <hyperlink ref="D14" r:id="rId25"/>
    <hyperlink ref="C15" r:id="rId26"/>
    <hyperlink ref="D15" r:id="rId27"/>
    <hyperlink ref="C16" r:id="rId28"/>
    <hyperlink ref="D16" r:id="rId29"/>
    <hyperlink ref="C17" r:id="rId30"/>
    <hyperlink ref="D17" r:id="rId31"/>
    <hyperlink ref="C18" r:id="rId32"/>
    <hyperlink ref="D18" r:id="rId33"/>
    <hyperlink ref="C19" r:id="rId34"/>
    <hyperlink ref="D19" r:id="rId35"/>
    <hyperlink ref="C20" r:id="rId36"/>
    <hyperlink ref="D20" r:id="rId37"/>
    <hyperlink ref="C21" r:id="rId38"/>
    <hyperlink ref="D21" r:id="rId39"/>
    <hyperlink ref="C22" r:id="rId40"/>
    <hyperlink ref="D22" r:id="rId41"/>
    <hyperlink ref="C23" r:id="rId42"/>
    <hyperlink ref="D23" r:id="rId43"/>
    <hyperlink ref="C24" r:id="rId44"/>
    <hyperlink ref="D24" r:id="rId45"/>
    <hyperlink ref="C25" r:id="rId46"/>
    <hyperlink ref="D25" r:id="rId47"/>
    <hyperlink ref="C26" r:id="rId48"/>
    <hyperlink ref="D26" r:id="rId49"/>
    <hyperlink ref="C27" r:id="rId50"/>
    <hyperlink ref="D27" r:id="rId51"/>
    <hyperlink ref="C28" r:id="rId52"/>
    <hyperlink ref="D28" r:id="rId53"/>
    <hyperlink ref="C29" r:id="rId54"/>
    <hyperlink ref="D29" r:id="rId55"/>
    <hyperlink ref="C30" r:id="rId56"/>
    <hyperlink ref="D30" r:id="rId57"/>
    <hyperlink ref="C31" r:id="rId58"/>
    <hyperlink ref="D31" r:id="rId59"/>
    <hyperlink ref="C32" r:id="rId60"/>
    <hyperlink ref="D32" r:id="rId61"/>
    <hyperlink ref="C33" r:id="rId62"/>
    <hyperlink ref="D33" r:id="rId63"/>
    <hyperlink ref="C34" r:id="rId64"/>
    <hyperlink ref="D34" r:id="rId65"/>
    <hyperlink ref="C35" r:id="rId66"/>
    <hyperlink ref="D35" r:id="rId67"/>
    <hyperlink ref="C36" r:id="rId68"/>
    <hyperlink ref="D36" r:id="rId69"/>
    <hyperlink ref="C37" r:id="rId70"/>
    <hyperlink ref="D37" r:id="rId71"/>
    <hyperlink ref="C38" r:id="rId72"/>
    <hyperlink ref="D38" r:id="rId73"/>
    <hyperlink ref="C39" r:id="rId74"/>
    <hyperlink ref="D39" r:id="rId75"/>
    <hyperlink ref="C40" r:id="rId76"/>
    <hyperlink ref="D40" r:id="rId77"/>
    <hyperlink ref="C41" r:id="rId78"/>
    <hyperlink ref="D41" r:id="rId79"/>
    <hyperlink ref="C42" r:id="rId80"/>
    <hyperlink ref="D42" r:id="rId81"/>
    <hyperlink ref="C43" r:id="rId82"/>
    <hyperlink ref="D43" r:id="rId83"/>
    <hyperlink ref="C44" r:id="rId84"/>
    <hyperlink ref="D44" r:id="rId85"/>
    <hyperlink ref="C45" r:id="rId86"/>
    <hyperlink ref="D45" r:id="rId87"/>
    <hyperlink ref="C46" r:id="rId88"/>
    <hyperlink ref="D46" r:id="rId89"/>
    <hyperlink ref="C47" r:id="rId90"/>
    <hyperlink ref="D47" r:id="rId91"/>
    <hyperlink ref="C48" r:id="rId92"/>
    <hyperlink ref="D48" r:id="rId93"/>
    <hyperlink ref="C49" r:id="rId94"/>
    <hyperlink ref="D49" r:id="rId95"/>
    <hyperlink ref="C50" r:id="rId96"/>
    <hyperlink ref="D50" r:id="rId97"/>
    <hyperlink ref="C51" r:id="rId98"/>
    <hyperlink ref="D51" r:id="rId99"/>
    <hyperlink ref="C52" r:id="rId100"/>
    <hyperlink ref="D52" r:id="rId101"/>
    <hyperlink ref="C53" r:id="rId102"/>
    <hyperlink ref="D53" r:id="rId103"/>
    <hyperlink ref="C54" r:id="rId104"/>
    <hyperlink ref="D54" r:id="rId105"/>
    <hyperlink ref="C55" r:id="rId106"/>
    <hyperlink ref="D55" r:id="rId107"/>
    <hyperlink ref="C56" r:id="rId108"/>
    <hyperlink ref="D56" r:id="rId109"/>
    <hyperlink ref="C57" r:id="rId110"/>
    <hyperlink ref="D57" r:id="rId111"/>
    <hyperlink ref="C58" r:id="rId112"/>
    <hyperlink ref="D58" r:id="rId113"/>
    <hyperlink ref="C59" r:id="rId114"/>
    <hyperlink ref="D59" r:id="rId115"/>
    <hyperlink ref="C60" r:id="rId116"/>
    <hyperlink ref="D60" r:id="rId117"/>
    <hyperlink ref="C61" r:id="rId118"/>
    <hyperlink ref="D61" r:id="rId119"/>
    <hyperlink ref="C62" r:id="rId120"/>
    <hyperlink ref="D62" r:id="rId121"/>
    <hyperlink ref="C63" r:id="rId122"/>
    <hyperlink ref="D63" r:id="rId123"/>
    <hyperlink ref="C64" r:id="rId124"/>
    <hyperlink ref="D64" r:id="rId125"/>
    <hyperlink ref="C65" r:id="rId126"/>
    <hyperlink ref="D65" r:id="rId127"/>
    <hyperlink ref="C66" r:id="rId128"/>
    <hyperlink ref="D66" r:id="rId129"/>
    <hyperlink ref="C67" r:id="rId130"/>
    <hyperlink ref="D67" r:id="rId131"/>
    <hyperlink ref="C68" r:id="rId132"/>
    <hyperlink ref="D68" r:id="rId133"/>
    <hyperlink ref="C69" r:id="rId134"/>
    <hyperlink ref="D69" r:id="rId135"/>
    <hyperlink ref="C70" r:id="rId136"/>
    <hyperlink ref="D70" r:id="rId137"/>
    <hyperlink ref="C71" r:id="rId138"/>
    <hyperlink ref="D71" r:id="rId139"/>
    <hyperlink ref="C72" r:id="rId140"/>
    <hyperlink ref="D72" r:id="rId141"/>
    <hyperlink ref="C73" r:id="rId142"/>
    <hyperlink ref="D73" r:id="rId143"/>
    <hyperlink ref="C74" r:id="rId144"/>
    <hyperlink ref="D74" r:id="rId145"/>
    <hyperlink ref="C75" r:id="rId146"/>
    <hyperlink ref="D75" r:id="rId147"/>
    <hyperlink ref="C76" r:id="rId148"/>
    <hyperlink ref="D76" r:id="rId149"/>
    <hyperlink ref="C77" r:id="rId150"/>
    <hyperlink ref="D77" r:id="rId151"/>
    <hyperlink ref="C78" r:id="rId152"/>
    <hyperlink ref="D78" r:id="rId153"/>
    <hyperlink ref="D79" r:id="rId154"/>
    <hyperlink ref="C80" r:id="rId155"/>
    <hyperlink ref="D80" r:id="rId156"/>
    <hyperlink ref="C81" r:id="rId157"/>
    <hyperlink ref="D81" r:id="rId158"/>
    <hyperlink ref="C82" r:id="rId159"/>
    <hyperlink ref="D82" r:id="rId160"/>
    <hyperlink ref="C83" r:id="rId161"/>
    <hyperlink ref="D83" r:id="rId162"/>
    <hyperlink ref="C84" r:id="rId163"/>
    <hyperlink ref="D84" r:id="rId164"/>
    <hyperlink ref="C85" r:id="rId165"/>
    <hyperlink ref="D85" r:id="rId166"/>
    <hyperlink ref="C86" r:id="rId167"/>
    <hyperlink ref="D86" r:id="rId168"/>
    <hyperlink ref="C87" r:id="rId169"/>
    <hyperlink ref="D87" r:id="rId170"/>
    <hyperlink ref="C88" r:id="rId171"/>
    <hyperlink ref="D88" r:id="rId172"/>
    <hyperlink ref="C89" r:id="rId173"/>
    <hyperlink ref="D89" r:id="rId174"/>
    <hyperlink ref="C90" r:id="rId175"/>
    <hyperlink ref="D90" r:id="rId176"/>
    <hyperlink ref="C91" r:id="rId177"/>
    <hyperlink ref="D91" r:id="rId178"/>
    <hyperlink ref="C92" r:id="rId179"/>
    <hyperlink ref="D92" r:id="rId180"/>
    <hyperlink ref="C93" r:id="rId181"/>
    <hyperlink ref="D93" r:id="rId182"/>
    <hyperlink ref="C94" r:id="rId183"/>
    <hyperlink ref="D94" r:id="rId184"/>
    <hyperlink ref="C95" r:id="rId185"/>
    <hyperlink ref="D95" r:id="rId186"/>
    <hyperlink ref="C96" r:id="rId187"/>
    <hyperlink ref="D96" r:id="rId188"/>
    <hyperlink ref="C97" r:id="rId189"/>
    <hyperlink ref="D97" r:id="rId190"/>
    <hyperlink ref="C98" r:id="rId191"/>
    <hyperlink ref="D98" r:id="rId192"/>
    <hyperlink ref="C99" r:id="rId193"/>
    <hyperlink ref="D99" r:id="rId194"/>
    <hyperlink ref="C100" r:id="rId195"/>
    <hyperlink ref="D100" r:id="rId196"/>
    <hyperlink ref="C101" r:id="rId197"/>
    <hyperlink ref="D101" r:id="rId198"/>
    <hyperlink ref="C102" r:id="rId199"/>
    <hyperlink ref="D102" r:id="rId200"/>
    <hyperlink ref="C103" r:id="rId201"/>
    <hyperlink ref="D103" r:id="rId202"/>
    <hyperlink ref="C104" r:id="rId203"/>
    <hyperlink ref="D104" r:id="rId204"/>
    <hyperlink ref="C105" r:id="rId205"/>
    <hyperlink ref="D105" r:id="rId206"/>
    <hyperlink ref="C106" r:id="rId207"/>
    <hyperlink ref="D106" r:id="rId208"/>
    <hyperlink ref="C107" r:id="rId209"/>
    <hyperlink ref="D107" r:id="rId210"/>
    <hyperlink ref="C108" r:id="rId211"/>
    <hyperlink ref="D108" r:id="rId212"/>
    <hyperlink ref="C109" r:id="rId213"/>
    <hyperlink ref="D109" r:id="rId214"/>
    <hyperlink ref="C110" r:id="rId215"/>
    <hyperlink ref="C111" r:id="rId216"/>
    <hyperlink ref="D111" r:id="rId217"/>
    <hyperlink ref="C112" r:id="rId218"/>
    <hyperlink ref="D112" r:id="rId219"/>
    <hyperlink ref="C113" r:id="rId220"/>
    <hyperlink ref="D113" r:id="rId221"/>
    <hyperlink ref="C114" r:id="rId222"/>
    <hyperlink ref="D114" r:id="rId223"/>
    <hyperlink ref="C115" r:id="rId224"/>
    <hyperlink ref="D115" r:id="rId225"/>
    <hyperlink ref="C116" r:id="rId226"/>
    <hyperlink ref="D116" r:id="rId227"/>
    <hyperlink ref="C117" r:id="rId228"/>
    <hyperlink ref="D117" r:id="rId229"/>
    <hyperlink ref="C118" r:id="rId230"/>
    <hyperlink ref="D118" r:id="rId231"/>
    <hyperlink ref="C119" r:id="rId232"/>
    <hyperlink ref="D119" r:id="rId233"/>
    <hyperlink ref="C120" r:id="rId234"/>
    <hyperlink ref="D120" r:id="rId235"/>
    <hyperlink ref="C121" r:id="rId236"/>
    <hyperlink ref="D121" r:id="rId237"/>
    <hyperlink ref="C122" r:id="rId238"/>
    <hyperlink ref="D122" r:id="rId239"/>
    <hyperlink ref="C123" r:id="rId240"/>
    <hyperlink ref="D123" r:id="rId241"/>
    <hyperlink ref="C124" r:id="rId242"/>
    <hyperlink ref="D124" r:id="rId243"/>
    <hyperlink ref="C125" r:id="rId244"/>
    <hyperlink ref="D125" r:id="rId245"/>
    <hyperlink ref="C126" r:id="rId246"/>
    <hyperlink ref="D126" r:id="rId247"/>
    <hyperlink ref="C127" r:id="rId248"/>
    <hyperlink ref="D127" r:id="rId249"/>
    <hyperlink ref="C128" r:id="rId250"/>
    <hyperlink ref="D128" r:id="rId251"/>
    <hyperlink ref="C129" r:id="rId252"/>
    <hyperlink ref="D129" r:id="rId253"/>
    <hyperlink ref="C130" r:id="rId254"/>
    <hyperlink ref="D130" r:id="rId255"/>
    <hyperlink ref="C131" r:id="rId256"/>
    <hyperlink ref="D131" r:id="rId257"/>
    <hyperlink ref="C132" r:id="rId258"/>
    <hyperlink ref="D132" r:id="rId259"/>
    <hyperlink ref="C133" r:id="rId260"/>
    <hyperlink ref="D133" r:id="rId261"/>
    <hyperlink ref="C134" r:id="rId262"/>
    <hyperlink ref="D134" r:id="rId263"/>
    <hyperlink ref="C135" r:id="rId264"/>
    <hyperlink ref="D135" r:id="rId265"/>
    <hyperlink ref="C136" r:id="rId266"/>
    <hyperlink ref="D136" r:id="rId267"/>
    <hyperlink ref="C137" r:id="rId268"/>
    <hyperlink ref="D137" r:id="rId269"/>
    <hyperlink ref="C138" r:id="rId270"/>
    <hyperlink ref="D138" r:id="rId271"/>
    <hyperlink ref="C139" r:id="rId272"/>
    <hyperlink ref="D139" r:id="rId273"/>
    <hyperlink ref="C140" r:id="rId274"/>
    <hyperlink ref="D140" r:id="rId275"/>
    <hyperlink ref="C141" r:id="rId276"/>
    <hyperlink ref="D141" r:id="rId277"/>
    <hyperlink ref="C142" r:id="rId278"/>
    <hyperlink ref="D142" r:id="rId279"/>
    <hyperlink ref="C143" r:id="rId280"/>
    <hyperlink ref="D143" r:id="rId281"/>
    <hyperlink ref="C144" r:id="rId282"/>
    <hyperlink ref="D144" r:id="rId283"/>
    <hyperlink ref="C145" r:id="rId284"/>
    <hyperlink ref="D145" r:id="rId285"/>
    <hyperlink ref="C146" r:id="rId286"/>
    <hyperlink ref="D146" r:id="rId287"/>
    <hyperlink ref="C147" r:id="rId288"/>
    <hyperlink ref="D147" r:id="rId289"/>
    <hyperlink ref="C148" r:id="rId290"/>
    <hyperlink ref="D148" r:id="rId291"/>
    <hyperlink ref="C149" r:id="rId292"/>
    <hyperlink ref="D149" r:id="rId293"/>
    <hyperlink ref="C150" r:id="rId294"/>
    <hyperlink ref="D150" r:id="rId295"/>
    <hyperlink ref="C151" r:id="rId296"/>
    <hyperlink ref="D151" r:id="rId297"/>
    <hyperlink ref="C152" r:id="rId298"/>
    <hyperlink ref="D152" r:id="rId299"/>
    <hyperlink ref="C153" r:id="rId300"/>
    <hyperlink ref="D153" r:id="rId301"/>
    <hyperlink ref="C154" r:id="rId302"/>
    <hyperlink ref="D154" r:id="rId303"/>
    <hyperlink ref="C155" r:id="rId304"/>
    <hyperlink ref="D155" r:id="rId305"/>
    <hyperlink ref="C156" r:id="rId306"/>
    <hyperlink ref="D156" r:id="rId307"/>
    <hyperlink ref="C157" r:id="rId308"/>
    <hyperlink ref="D157" r:id="rId309"/>
    <hyperlink ref="C158" r:id="rId310"/>
    <hyperlink ref="D158" r:id="rId311"/>
    <hyperlink ref="C159" r:id="rId312"/>
    <hyperlink ref="D159" r:id="rId313"/>
    <hyperlink ref="C160" r:id="rId314"/>
    <hyperlink ref="D160" r:id="rId315"/>
    <hyperlink ref="C161" r:id="rId316"/>
    <hyperlink ref="D161" r:id="rId317"/>
  </hyperlinks>
  <extLs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U165"/>
  <sheetViews>
    <sheetView workbookViewId="0"/>
  </sheetViews>
  <sheetFormatPr defaultRowHeight="14.0" customHeight="1"/>
  <cols>
    <col min="1" max="1" style="97" width="24.37"/>
    <col min="2" max="2" style="97" width="5.56"/>
    <col min="3" max="2048" style="97" width="13.24"/>
  </cols>
  <sheetData>
    <row r="6" customHeight="1" ht="15.0">
      <c r="A6" s="98" t="s">
        <v>3398</v>
      </c>
      <c r="C6" s="99" t="s">
        <v>7</v>
      </c>
      <c r="D6" s="100" t="s">
        <v>3399</v>
      </c>
      <c r="E6" s="101" t="s">
        <v>3400</v>
      </c>
      <c r="F6" s="100" t="s">
        <v>9</v>
      </c>
      <c r="G6" s="100" t="s">
        <v>10</v>
      </c>
      <c r="H6" s="100" t="s">
        <v>3401</v>
      </c>
      <c r="I6" s="99" t="s">
        <v>3402</v>
      </c>
      <c r="J6" s="99" t="s">
        <v>3403</v>
      </c>
      <c r="K6" s="102" t="s">
        <v>3404</v>
      </c>
    </row>
    <row r="7">
      <c r="A7" s="98"/>
      <c r="C7" s="99"/>
      <c r="D7" s="100"/>
      <c r="E7" s="101"/>
      <c r="F7" s="100"/>
      <c r="G7" s="100"/>
      <c r="H7" s="100"/>
      <c r="I7" s="99"/>
      <c r="J7" s="99"/>
      <c r="K7" s="102"/>
    </row>
    <row r="8">
      <c r="A8" s="98"/>
      <c r="C8" s="99" t="s">
        <v>13</v>
      </c>
      <c r="D8" s="100">
        <v>99.0</v>
      </c>
      <c r="E8" s="101">
        <v>85.0</v>
      </c>
      <c r="F8" s="100">
        <v>28.0</v>
      </c>
      <c r="G8" s="100">
        <v>51.0</v>
      </c>
      <c r="H8" s="100">
        <v>0.0</v>
      </c>
      <c r="I8" s="103" t="s">
        <f t="shared" ref="I8:I19" si="0">IFERROR(ROUND((F8/SUM(F8:H8))*100,2)&amp;"%","0%")</f>
        <v>3405</v>
      </c>
      <c r="J8" s="103" t="s">
        <f t="shared" ref="J8:J19" si="1">IF(F8+G8+H8=0,"0%",ROUND((G8/(F8+G8+H8))*100,2)&amp;"%")</f>
        <v>3406</v>
      </c>
      <c r="K8" s="102"/>
    </row>
    <row r="9">
      <c r="A9" s="98"/>
      <c r="C9" s="99" t="s">
        <v>16</v>
      </c>
      <c r="D9" s="100">
        <v>98.0</v>
      </c>
      <c r="E9" s="101">
        <v>75.0</v>
      </c>
      <c r="F9" s="100">
        <v>21.0</v>
      </c>
      <c r="G9" s="100">
        <v>48.0</v>
      </c>
      <c r="H9" s="100">
        <v>2.0</v>
      </c>
      <c r="I9" s="103" t="s">
        <f t="shared" si="0"/>
        <v>3407</v>
      </c>
      <c r="J9" s="103" t="s">
        <f t="shared" si="1"/>
        <v>3408</v>
      </c>
      <c r="K9" s="102"/>
    </row>
    <row r="10">
      <c r="A10" s="98"/>
      <c r="C10" s="99" t="s">
        <v>17</v>
      </c>
      <c r="D10" s="100">
        <v>118.0</v>
      </c>
      <c r="E10" s="101">
        <v>83.0</v>
      </c>
      <c r="F10" s="100">
        <v>25.0</v>
      </c>
      <c r="G10" s="100">
        <v>43.0</v>
      </c>
      <c r="H10" s="100">
        <v>6.0</v>
      </c>
      <c r="I10" s="103" t="s">
        <f t="shared" si="0"/>
        <v>3409</v>
      </c>
      <c r="J10" s="103" t="s">
        <f t="shared" si="1"/>
        <v>3410</v>
      </c>
      <c r="K10" s="102"/>
    </row>
    <row r="11">
      <c r="A11" s="98"/>
      <c r="C11" s="99" t="s">
        <v>18</v>
      </c>
      <c r="D11" s="100">
        <v>106.0</v>
      </c>
      <c r="E11" s="101">
        <v>68.0</v>
      </c>
      <c r="F11" s="100">
        <v>21.0</v>
      </c>
      <c r="G11" s="100">
        <v>32.0</v>
      </c>
      <c r="H11" s="100">
        <v>8.0</v>
      </c>
      <c r="I11" s="103" t="s">
        <f t="shared" si="0"/>
        <v>3411</v>
      </c>
      <c r="J11" s="103" t="s">
        <f t="shared" si="1"/>
        <v>3412</v>
      </c>
      <c r="K11" s="102"/>
    </row>
    <row r="12">
      <c r="A12" s="98"/>
      <c r="C12" s="99" t="s">
        <v>19</v>
      </c>
      <c r="D12" s="100">
        <v>98.0</v>
      </c>
      <c r="E12" s="101">
        <v>72.0</v>
      </c>
      <c r="F12" s="100">
        <v>10.0</v>
      </c>
      <c r="G12" s="100">
        <v>36.0</v>
      </c>
      <c r="H12" s="100">
        <v>16.0</v>
      </c>
      <c r="I12" s="103" t="s">
        <f t="shared" si="0"/>
        <v>3413</v>
      </c>
      <c r="J12" s="103" t="s">
        <f t="shared" si="1"/>
        <v>3414</v>
      </c>
      <c r="K12" s="102"/>
    </row>
    <row r="13">
      <c r="A13" s="98"/>
      <c r="C13" s="99" t="s">
        <v>20</v>
      </c>
      <c r="D13" s="100"/>
      <c r="E13" s="101"/>
      <c r="F13" s="100"/>
      <c r="G13" s="100"/>
      <c r="H13" s="100"/>
      <c r="I13" s="103" t="s">
        <f t="shared" si="0"/>
        <v>3415</v>
      </c>
      <c r="J13" s="103" t="s">
        <f t="shared" si="1"/>
        <v>3415</v>
      </c>
      <c r="K13" s="102"/>
    </row>
    <row r="14">
      <c r="A14" s="98"/>
      <c r="C14" s="99" t="s">
        <v>21</v>
      </c>
      <c r="D14" s="100"/>
      <c r="E14" s="101"/>
      <c r="F14" s="100"/>
      <c r="G14" s="100"/>
      <c r="H14" s="100"/>
      <c r="I14" s="103" t="s">
        <f t="shared" si="0"/>
        <v>3415</v>
      </c>
      <c r="J14" s="103" t="s">
        <f t="shared" si="1"/>
        <v>3415</v>
      </c>
      <c r="K14" s="102"/>
    </row>
    <row r="15">
      <c r="A15" s="98"/>
      <c r="C15" s="99" t="s">
        <v>22</v>
      </c>
      <c r="D15" s="100"/>
      <c r="E15" s="101"/>
      <c r="F15" s="100"/>
      <c r="G15" s="100"/>
      <c r="H15" s="100"/>
      <c r="I15" s="103" t="s">
        <f t="shared" si="0"/>
        <v>3415</v>
      </c>
      <c r="J15" s="103" t="s">
        <f t="shared" si="1"/>
        <v>3415</v>
      </c>
      <c r="K15" s="102"/>
    </row>
    <row r="16">
      <c r="A16" s="98"/>
      <c r="C16" s="99" t="s">
        <v>23</v>
      </c>
      <c r="D16" s="100"/>
      <c r="E16" s="101"/>
      <c r="F16" s="100"/>
      <c r="G16" s="100"/>
      <c r="H16" s="100"/>
      <c r="I16" s="103" t="s">
        <f t="shared" si="0"/>
        <v>3415</v>
      </c>
      <c r="J16" s="103" t="s">
        <f t="shared" si="1"/>
        <v>3415</v>
      </c>
      <c r="K16" s="102"/>
    </row>
    <row r="17">
      <c r="A17" s="98"/>
      <c r="C17" s="99" t="s">
        <v>24</v>
      </c>
      <c r="D17" s="100"/>
      <c r="E17" s="101"/>
      <c r="F17" s="100"/>
      <c r="G17" s="100"/>
      <c r="H17" s="100"/>
      <c r="I17" s="103" t="s">
        <f t="shared" si="0"/>
        <v>3415</v>
      </c>
      <c r="J17" s="103" t="s">
        <f t="shared" si="1"/>
        <v>3415</v>
      </c>
      <c r="K17" s="102"/>
    </row>
    <row r="18">
      <c r="A18" s="98"/>
      <c r="C18" s="99" t="s">
        <v>25</v>
      </c>
      <c r="D18" s="100"/>
      <c r="E18" s="101"/>
      <c r="F18" s="100"/>
      <c r="G18" s="100"/>
      <c r="H18" s="100"/>
      <c r="I18" s="103" t="s">
        <f t="shared" si="0"/>
        <v>3415</v>
      </c>
      <c r="J18" s="103" t="s">
        <f t="shared" si="1"/>
        <v>3415</v>
      </c>
      <c r="K18" s="102"/>
    </row>
    <row r="19">
      <c r="A19" s="98"/>
      <c r="C19" s="99" t="s">
        <v>26</v>
      </c>
      <c r="D19" s="100"/>
      <c r="E19" s="101"/>
      <c r="F19" s="100"/>
      <c r="G19" s="100"/>
      <c r="H19" s="100"/>
      <c r="I19" s="103" t="s">
        <f t="shared" si="0"/>
        <v>3415</v>
      </c>
      <c r="J19" s="103" t="s">
        <f t="shared" si="1"/>
        <v>3415</v>
      </c>
      <c r="K19" s="102"/>
    </row>
    <row r="20">
      <c r="A20" s="98"/>
      <c r="C20" s="99" t="s">
        <v>3416</v>
      </c>
      <c r="D20" s="100">
        <f>SUM(D8:D19)</f>
        <v>519.0</v>
      </c>
      <c r="E20" s="101">
        <f>SUM(E8:E19)</f>
        <v>383.0</v>
      </c>
      <c r="F20" s="100">
        <f>SUM(F8:F19)</f>
        <v>105.0</v>
      </c>
      <c r="G20" s="100">
        <f>SUM(G8:G19)</f>
        <v>210.0</v>
      </c>
      <c r="H20" s="100">
        <f>SUM(H8:H19)</f>
        <v>32.0</v>
      </c>
      <c r="I20" s="104">
        <v>0.2381</v>
      </c>
      <c r="J20" s="104">
        <v>0.1905</v>
      </c>
      <c r="K20" s="102"/>
    </row>
    <row r="21">
      <c r="A21" s="98"/>
      <c r="C21" s="99"/>
      <c r="D21" s="100"/>
      <c r="E21" s="101"/>
      <c r="F21" s="100"/>
      <c r="G21" s="100"/>
      <c r="H21" s="100"/>
      <c r="I21" s="103"/>
      <c r="J21" s="103"/>
      <c r="K21" s="102"/>
    </row>
    <row r="27" customHeight="1" ht="15.0">
      <c r="A27" s="98" t="s">
        <v>3417</v>
      </c>
      <c r="C27" s="99" t="s">
        <v>7</v>
      </c>
      <c r="D27" s="99" t="s">
        <v>3417</v>
      </c>
      <c r="E27" s="105"/>
      <c r="F27" s="105"/>
      <c r="G27" s="105"/>
      <c r="H27" s="105"/>
      <c r="I27" s="105"/>
      <c r="J27" s="106"/>
    </row>
    <row r="28">
      <c r="A28" s="98"/>
      <c r="C28" s="99" t="s">
        <v>7</v>
      </c>
      <c r="D28" s="107">
        <v>46296</v>
      </c>
      <c r="E28" s="100" t="s">
        <v>479</v>
      </c>
      <c r="F28" s="100" t="s">
        <v>3418</v>
      </c>
      <c r="G28" s="100" t="s">
        <v>3419</v>
      </c>
      <c r="H28" s="100" t="s">
        <v>3420</v>
      </c>
      <c r="I28" s="99" t="s">
        <v>412</v>
      </c>
      <c r="J28" s="100" t="s">
        <v>3421</v>
      </c>
    </row>
    <row r="29">
      <c r="A29" s="98"/>
      <c r="C29" s="99" t="s">
        <v>13</v>
      </c>
      <c r="D29" s="100">
        <v>44.0</v>
      </c>
      <c r="E29" s="100">
        <v>18.0</v>
      </c>
      <c r="F29" s="100">
        <v>1.0</v>
      </c>
      <c r="G29" s="100">
        <v>4.0</v>
      </c>
      <c r="H29" s="100">
        <v>2.0</v>
      </c>
      <c r="I29" s="99">
        <v>2.0</v>
      </c>
      <c r="J29" s="100">
        <v>79.0</v>
      </c>
    </row>
    <row r="30">
      <c r="A30" s="98"/>
      <c r="C30" s="99" t="s">
        <v>16</v>
      </c>
      <c r="D30" s="100">
        <v>50.0</v>
      </c>
      <c r="E30" s="100">
        <v>13.0</v>
      </c>
      <c r="F30" s="100">
        <v>5.0</v>
      </c>
      <c r="G30" s="100">
        <v>3.0</v>
      </c>
      <c r="H30" s="100">
        <v>3.0</v>
      </c>
      <c r="I30" s="99">
        <v>3.0</v>
      </c>
      <c r="J30" s="100">
        <v>21.0</v>
      </c>
    </row>
    <row r="31">
      <c r="A31" s="98"/>
      <c r="C31" s="99" t="s">
        <v>17</v>
      </c>
      <c r="D31" s="100">
        <v>62.0</v>
      </c>
      <c r="E31" s="100">
        <v>15.0</v>
      </c>
      <c r="F31" s="100">
        <v>7.0</v>
      </c>
      <c r="G31" s="100">
        <v>5.0</v>
      </c>
      <c r="H31" s="100">
        <v>0.0</v>
      </c>
      <c r="I31" s="99">
        <v>4.0</v>
      </c>
      <c r="J31" s="100">
        <v>25.0</v>
      </c>
    </row>
    <row r="32">
      <c r="A32" s="98"/>
      <c r="C32" s="99" t="s">
        <v>18</v>
      </c>
      <c r="D32" s="100">
        <v>54.0</v>
      </c>
      <c r="E32" s="100">
        <v>19.0</v>
      </c>
      <c r="F32" s="100">
        <v>3.0</v>
      </c>
      <c r="G32" s="100">
        <v>1.0</v>
      </c>
      <c r="H32" s="100">
        <v>0.0</v>
      </c>
      <c r="I32" s="99">
        <v>2.0</v>
      </c>
      <c r="J32" s="100">
        <v>33.0</v>
      </c>
    </row>
    <row r="33">
      <c r="A33" s="98"/>
      <c r="C33" s="99" t="s">
        <v>19</v>
      </c>
      <c r="D33" s="100">
        <v>47.0</v>
      </c>
      <c r="E33" s="100">
        <v>18.0</v>
      </c>
      <c r="F33" s="100">
        <v>4.0</v>
      </c>
      <c r="G33" s="100">
        <v>0.0</v>
      </c>
      <c r="H33" s="100">
        <v>0.0</v>
      </c>
      <c r="I33" s="99">
        <v>2.0</v>
      </c>
      <c r="J33" s="100">
        <v>38.0</v>
      </c>
    </row>
    <row r="34">
      <c r="A34" s="98"/>
      <c r="C34" s="99" t="s">
        <v>20</v>
      </c>
      <c r="D34" s="100"/>
      <c r="E34" s="100"/>
      <c r="F34" s="100"/>
      <c r="G34" s="100"/>
      <c r="H34" s="100"/>
      <c r="I34" s="99"/>
      <c r="J34" s="100"/>
    </row>
    <row r="35">
      <c r="A35" s="98"/>
      <c r="C35" s="99" t="s">
        <v>21</v>
      </c>
      <c r="D35" s="100"/>
      <c r="E35" s="100"/>
      <c r="F35" s="100"/>
      <c r="G35" s="100"/>
      <c r="H35" s="100"/>
      <c r="I35" s="99"/>
      <c r="J35" s="100"/>
    </row>
    <row r="36">
      <c r="A36" s="98"/>
      <c r="C36" s="99" t="s">
        <v>22</v>
      </c>
      <c r="D36" s="100"/>
      <c r="E36" s="100"/>
      <c r="F36" s="100"/>
      <c r="G36" s="100"/>
      <c r="H36" s="100"/>
      <c r="I36" s="99"/>
      <c r="J36" s="100"/>
    </row>
    <row r="37">
      <c r="A37" s="98"/>
      <c r="C37" s="99" t="s">
        <v>23</v>
      </c>
      <c r="D37" s="100"/>
      <c r="E37" s="100"/>
      <c r="F37" s="100"/>
      <c r="G37" s="100"/>
      <c r="H37" s="100"/>
      <c r="I37" s="99"/>
      <c r="J37" s="100"/>
    </row>
    <row r="38">
      <c r="A38" s="98"/>
      <c r="C38" s="99" t="s">
        <v>24</v>
      </c>
      <c r="D38" s="100"/>
      <c r="E38" s="100"/>
      <c r="F38" s="100"/>
      <c r="G38" s="100"/>
      <c r="H38" s="100"/>
      <c r="I38" s="99"/>
      <c r="J38" s="100"/>
    </row>
    <row r="39">
      <c r="A39" s="98"/>
      <c r="C39" s="99" t="s">
        <v>25</v>
      </c>
      <c r="D39" s="100"/>
      <c r="E39" s="100"/>
      <c r="F39" s="100"/>
      <c r="G39" s="100"/>
      <c r="H39" s="100"/>
      <c r="I39" s="99"/>
      <c r="J39" s="100"/>
    </row>
    <row r="40">
      <c r="A40" s="98"/>
      <c r="C40" s="99" t="s">
        <v>26</v>
      </c>
      <c r="D40" s="100"/>
      <c r="E40" s="100"/>
      <c r="F40" s="100"/>
      <c r="G40" s="100"/>
      <c r="H40" s="100"/>
      <c r="I40" s="99"/>
      <c r="J40" s="100"/>
    </row>
    <row r="41">
      <c r="A41" s="98"/>
      <c r="C41" s="99" t="s">
        <v>3416</v>
      </c>
      <c r="D41" s="100">
        <f>SUM(D29:D40)</f>
        <v>257.0</v>
      </c>
      <c r="E41" s="100">
        <f>SUM(E29:E40)</f>
        <v>83.0</v>
      </c>
      <c r="F41" s="100">
        <f>SUM(F29:F40)</f>
        <v>20.0</v>
      </c>
      <c r="G41" s="100">
        <f>SUM(G29:G40)</f>
        <v>13.0</v>
      </c>
      <c r="H41" s="100">
        <f>SUM(H29:H40)</f>
        <v>5.0</v>
      </c>
      <c r="I41" s="99">
        <f>SUM(I29:I40)</f>
        <v>13.0</v>
      </c>
      <c r="J41" s="100">
        <f>SUM(J29:J40)</f>
        <v>196.0</v>
      </c>
    </row>
    <row r="42">
      <c r="A42" s="98"/>
      <c r="C42" s="99"/>
      <c r="D42" s="100"/>
      <c r="E42" s="100"/>
      <c r="F42" s="100"/>
      <c r="G42" s="100"/>
      <c r="H42" s="100"/>
      <c r="I42" s="99"/>
      <c r="J42" s="100"/>
    </row>
    <row r="45" customFormat="1" s="97"/>
    <row r="46" customFormat="1" s="97"/>
    <row r="47" customFormat="1" s="97"/>
    <row r="48" customHeight="1" ht="32.0" customFormat="1" s="97">
      <c r="A48" s="98" t="s">
        <v>3422</v>
      </c>
      <c r="C48" s="100" t="s">
        <v>7</v>
      </c>
      <c r="D48" s="100" t="s">
        <v>31</v>
      </c>
      <c r="E48" s="99" t="s">
        <v>3423</v>
      </c>
      <c r="F48" s="108"/>
      <c r="G48" s="108"/>
      <c r="H48" s="100" t="s">
        <v>44</v>
      </c>
      <c r="I48" s="100" t="s">
        <v>45</v>
      </c>
      <c r="J48" s="101" t="s">
        <v>56</v>
      </c>
      <c r="K48" s="100" t="s">
        <v>3424</v>
      </c>
      <c r="L48" s="100" t="s">
        <v>3425</v>
      </c>
    </row>
    <row r="49" ht="109.0" customFormat="1" s="97">
      <c r="A49" s="98"/>
      <c r="C49" s="109" t="s">
        <v>13</v>
      </c>
      <c r="D49" s="100" t="s">
        <v>34</v>
      </c>
      <c r="E49" s="99" t="s">
        <v>471</v>
      </c>
      <c r="F49" s="108" t="s">
        <v>471</v>
      </c>
      <c r="G49" s="108" t="s">
        <v>471</v>
      </c>
      <c r="H49" s="100" t="s">
        <v>224</v>
      </c>
      <c r="I49" s="110" t="s">
        <v>3426</v>
      </c>
      <c r="J49" s="101">
        <v>500.0</v>
      </c>
      <c r="K49" s="100" t="s">
        <v>3427</v>
      </c>
      <c r="L49" s="111">
        <v>5121792.0</v>
      </c>
    </row>
    <row r="50" ht="41.0" customFormat="1" s="97">
      <c r="A50" s="98"/>
      <c r="C50" s="112"/>
      <c r="D50" s="100" t="s">
        <v>34</v>
      </c>
      <c r="E50" s="113" t="s">
        <v>499</v>
      </c>
      <c r="F50" s="108"/>
      <c r="G50" s="108"/>
      <c r="H50" s="100" t="s">
        <v>500</v>
      </c>
      <c r="I50" s="110" t="s">
        <v>3428</v>
      </c>
      <c r="J50" s="101">
        <v>100.0</v>
      </c>
      <c r="K50" s="100" t="s">
        <v>3429</v>
      </c>
      <c r="L50" s="111">
        <v>195324.0</v>
      </c>
    </row>
    <row r="51" ht="123.0" customFormat="1" s="97">
      <c r="A51" s="98"/>
      <c r="C51" s="112"/>
      <c r="D51" s="100" t="s">
        <v>34</v>
      </c>
      <c r="E51" s="113" t="s">
        <v>64</v>
      </c>
      <c r="F51" s="108"/>
      <c r="G51" s="108"/>
      <c r="H51" s="100" t="s">
        <v>65</v>
      </c>
      <c r="I51" s="114" t="s">
        <v>3430</v>
      </c>
      <c r="J51" s="101">
        <v>8000.0</v>
      </c>
      <c r="K51" s="100" t="s">
        <v>3431</v>
      </c>
      <c r="L51" s="115">
        <v>72809.97</v>
      </c>
    </row>
    <row r="52" customHeight="1" ht="29.0" customFormat="1" s="97">
      <c r="A52" s="98"/>
      <c r="C52" s="109" t="s">
        <v>16</v>
      </c>
      <c r="D52" s="100" t="s">
        <v>34</v>
      </c>
      <c r="E52" s="99" t="s">
        <v>956</v>
      </c>
      <c r="F52" s="108" t="s">
        <v>956</v>
      </c>
      <c r="G52" s="108" t="s">
        <v>956</v>
      </c>
      <c r="H52" s="100" t="s">
        <v>377</v>
      </c>
      <c r="I52" s="110" t="s">
        <v>957</v>
      </c>
      <c r="J52" s="101">
        <v>380.0</v>
      </c>
      <c r="K52" s="100" t="s">
        <v>3432</v>
      </c>
      <c r="L52" s="111">
        <v>493240.0</v>
      </c>
    </row>
    <row r="53" ht="41.0" customFormat="1" s="97">
      <c r="A53" s="98"/>
      <c r="C53" s="116"/>
      <c r="D53" s="100" t="s">
        <v>34</v>
      </c>
      <c r="E53" s="117" t="s">
        <v>856</v>
      </c>
      <c r="F53" s="118"/>
      <c r="G53" s="118"/>
      <c r="H53" s="100" t="s">
        <v>857</v>
      </c>
      <c r="I53" s="119" t="s">
        <v>858</v>
      </c>
      <c r="J53" s="101">
        <v>40.0</v>
      </c>
      <c r="K53" s="100" t="s">
        <v>3433</v>
      </c>
      <c r="L53" s="111">
        <v>67200.0</v>
      </c>
    </row>
    <row r="54" ht="41.0" customFormat="1" s="97">
      <c r="A54" s="98"/>
      <c r="C54" s="100" t="s">
        <v>17</v>
      </c>
      <c r="D54" s="99" t="s">
        <v>34</v>
      </c>
      <c r="E54" s="100" t="s">
        <v>1290</v>
      </c>
      <c r="F54" s="100" t="s">
        <v>1290</v>
      </c>
      <c r="G54" s="100" t="s">
        <v>1290</v>
      </c>
      <c r="H54" s="34" t="s">
        <v>1291</v>
      </c>
      <c r="I54" s="110" t="s">
        <v>1292</v>
      </c>
      <c r="J54" s="101">
        <v>30.0</v>
      </c>
      <c r="K54" s="100" t="s">
        <v>3429</v>
      </c>
      <c r="L54" s="111">
        <v>20400.0</v>
      </c>
    </row>
    <row r="55" ht="41.0" customFormat="1" s="97">
      <c r="A55" s="98"/>
      <c r="C55" s="109" t="s">
        <v>18</v>
      </c>
      <c r="D55" s="100" t="s">
        <v>36</v>
      </c>
      <c r="E55" s="120" t="s">
        <v>2271</v>
      </c>
      <c r="F55" s="121" t="s">
        <v>2271</v>
      </c>
      <c r="G55" s="121" t="s">
        <v>2271</v>
      </c>
      <c r="H55" s="100" t="s">
        <v>3031</v>
      </c>
      <c r="I55" s="122" t="s">
        <v>2273</v>
      </c>
      <c r="J55" s="101">
        <v>25.0</v>
      </c>
      <c r="K55" s="100" t="s">
        <v>3433</v>
      </c>
      <c r="L55" s="115">
        <v>2209.72</v>
      </c>
    </row>
    <row r="56" ht="41.0" customFormat="1" s="97">
      <c r="A56" s="98"/>
      <c r="C56" s="123"/>
      <c r="D56" s="100" t="s">
        <v>34</v>
      </c>
      <c r="E56" s="113" t="s">
        <v>192</v>
      </c>
      <c r="F56" s="124" t="s">
        <v>192</v>
      </c>
      <c r="G56" s="124" t="s">
        <v>192</v>
      </c>
      <c r="H56" s="100" t="s">
        <v>193</v>
      </c>
      <c r="I56" s="110" t="s">
        <v>3434</v>
      </c>
      <c r="J56" s="101">
        <v>25.0</v>
      </c>
      <c r="K56" s="100" t="s">
        <v>3429</v>
      </c>
      <c r="L56" s="111">
        <v>17000.0</v>
      </c>
    </row>
    <row r="57" customHeight="1" ht="27.0" customFormat="1" s="97">
      <c r="A57" s="98"/>
      <c r="C57" s="125"/>
      <c r="D57" s="100" t="s">
        <v>34</v>
      </c>
      <c r="E57" s="99" t="s">
        <v>2535</v>
      </c>
      <c r="F57" s="108" t="s">
        <v>2535</v>
      </c>
      <c r="G57" s="108" t="s">
        <v>2535</v>
      </c>
      <c r="H57" s="100" t="s">
        <v>2536</v>
      </c>
      <c r="I57" s="110" t="s">
        <v>2537</v>
      </c>
      <c r="J57" s="101">
        <v>30.0</v>
      </c>
      <c r="K57" s="100" t="s">
        <v>3435</v>
      </c>
      <c r="L57" s="111">
        <v>14670.0</v>
      </c>
    </row>
    <row r="58" customFormat="1" s="97">
      <c r="A58" s="98"/>
      <c r="C58" s="100"/>
      <c r="D58" s="100"/>
      <c r="E58" s="99"/>
      <c r="F58" s="108"/>
      <c r="G58" s="108"/>
      <c r="H58" s="100"/>
      <c r="I58" s="100"/>
      <c r="J58" s="101"/>
      <c r="K58" s="100"/>
      <c r="L58" s="100"/>
    </row>
    <row r="59" customFormat="1" s="97">
      <c r="A59" s="98"/>
      <c r="C59" s="100"/>
      <c r="D59" s="100"/>
      <c r="E59" s="99"/>
      <c r="F59" s="108"/>
      <c r="G59" s="108"/>
      <c r="H59" s="100"/>
      <c r="I59" s="100"/>
      <c r="J59" s="101"/>
      <c r="K59" s="100"/>
      <c r="L59" s="100"/>
    </row>
    <row r="60" customFormat="1" s="97">
      <c r="A60" s="98"/>
      <c r="C60" s="100"/>
      <c r="D60" s="100"/>
      <c r="E60" s="99"/>
      <c r="F60" s="108"/>
      <c r="G60" s="108"/>
      <c r="H60" s="100"/>
      <c r="I60" s="100"/>
      <c r="J60" s="101"/>
      <c r="K60" s="100"/>
      <c r="L60" s="100"/>
    </row>
    <row r="61" customFormat="1" s="97">
      <c r="A61" s="98"/>
      <c r="C61" s="100"/>
      <c r="D61" s="100"/>
      <c r="E61" s="99"/>
      <c r="F61" s="108"/>
      <c r="G61" s="108"/>
      <c r="H61" s="100"/>
      <c r="I61" s="100"/>
      <c r="J61" s="101"/>
      <c r="K61" s="100"/>
      <c r="L61" s="100"/>
    </row>
    <row r="62" customFormat="1" s="97">
      <c r="A62" s="98"/>
      <c r="C62" s="100"/>
      <c r="D62" s="100"/>
      <c r="E62" s="99"/>
      <c r="F62" s="108"/>
      <c r="G62" s="108"/>
      <c r="H62" s="100"/>
      <c r="I62" s="100"/>
      <c r="J62" s="101"/>
      <c r="K62" s="100"/>
      <c r="L62" s="100"/>
    </row>
    <row r="63" customFormat="1" s="97"/>
    <row r="68" customHeight="1" ht="14.0">
      <c r="A68" s="98" t="s">
        <v>3436</v>
      </c>
      <c r="C68" s="126" t="s">
        <v>7</v>
      </c>
      <c r="D68" s="100" t="s">
        <v>3437</v>
      </c>
      <c r="E68" s="100" t="s">
        <v>3438</v>
      </c>
      <c r="F68" s="126" t="s">
        <v>3439</v>
      </c>
      <c r="G68" s="126" t="s">
        <v>3440</v>
      </c>
      <c r="H68" s="100" t="s">
        <v>3441</v>
      </c>
    </row>
    <row r="69">
      <c r="A69" s="98"/>
      <c r="C69" s="126"/>
      <c r="D69" s="100"/>
      <c r="E69" s="100"/>
      <c r="F69" s="126"/>
      <c r="G69" s="126"/>
      <c r="H69" s="100"/>
    </row>
    <row r="70">
      <c r="A70" s="98"/>
      <c r="C70" s="100" t="s">
        <v>13</v>
      </c>
      <c r="D70" s="100">
        <v>85.0</v>
      </c>
      <c r="E70" s="100">
        <v>4.0</v>
      </c>
      <c r="F70" s="100">
        <v>2.0</v>
      </c>
      <c r="G70" s="100">
        <v>7.0</v>
      </c>
      <c r="H70" s="100">
        <v>2.0</v>
      </c>
    </row>
    <row r="71">
      <c r="A71" s="98"/>
      <c r="C71" s="100" t="s">
        <v>16</v>
      </c>
      <c r="D71" s="100">
        <v>75.0</v>
      </c>
      <c r="E71" s="100">
        <v>15.0</v>
      </c>
      <c r="F71" s="100">
        <v>1.0</v>
      </c>
      <c r="G71" s="100">
        <v>4.0</v>
      </c>
      <c r="H71" s="100">
        <v>6.0</v>
      </c>
    </row>
    <row r="72">
      <c r="A72" s="98"/>
      <c r="C72" s="100" t="s">
        <v>17</v>
      </c>
      <c r="D72" s="100">
        <v>83.0</v>
      </c>
      <c r="E72" s="100">
        <v>13.0</v>
      </c>
      <c r="F72" s="100">
        <v>3.0</v>
      </c>
      <c r="G72" s="100">
        <v>12.0</v>
      </c>
      <c r="H72" s="100">
        <v>9.0</v>
      </c>
    </row>
    <row r="73">
      <c r="A73" s="98"/>
      <c r="C73" s="100" t="s">
        <v>18</v>
      </c>
      <c r="D73" s="100">
        <v>68.0</v>
      </c>
      <c r="E73" s="100">
        <v>17.0</v>
      </c>
      <c r="F73" s="100">
        <v>2.0</v>
      </c>
      <c r="G73" s="100">
        <v>9.0</v>
      </c>
      <c r="H73" s="100">
        <v>5.0</v>
      </c>
    </row>
    <row r="74">
      <c r="A74" s="98"/>
      <c r="C74" s="100" t="s">
        <v>19</v>
      </c>
      <c r="D74" s="100">
        <v>72.0</v>
      </c>
      <c r="E74" s="100">
        <v>12.0</v>
      </c>
      <c r="F74" s="100">
        <v>2.0</v>
      </c>
      <c r="G74" s="100">
        <v>9.0</v>
      </c>
      <c r="H74" s="100">
        <v>7.0</v>
      </c>
    </row>
    <row r="75">
      <c r="A75" s="98"/>
      <c r="C75" s="100" t="s">
        <v>20</v>
      </c>
      <c r="D75" s="100"/>
      <c r="E75" s="100"/>
      <c r="F75" s="100"/>
      <c r="G75" s="100"/>
      <c r="H75" s="100"/>
    </row>
    <row r="76">
      <c r="A76" s="98"/>
      <c r="C76" s="100" t="s">
        <v>21</v>
      </c>
      <c r="D76" s="100"/>
      <c r="E76" s="100"/>
      <c r="F76" s="100"/>
      <c r="G76" s="100"/>
      <c r="H76" s="100"/>
    </row>
    <row r="77">
      <c r="A77" s="98"/>
      <c r="C77" s="100" t="s">
        <v>22</v>
      </c>
      <c r="D77" s="100"/>
      <c r="E77" s="100"/>
      <c r="F77" s="100"/>
      <c r="G77" s="100"/>
      <c r="H77" s="100"/>
    </row>
    <row r="78">
      <c r="A78" s="98"/>
      <c r="C78" s="100" t="s">
        <v>23</v>
      </c>
      <c r="D78" s="100"/>
      <c r="E78" s="100"/>
      <c r="F78" s="100"/>
      <c r="G78" s="100"/>
      <c r="H78" s="100"/>
    </row>
    <row r="79">
      <c r="A79" s="98"/>
      <c r="C79" s="100" t="s">
        <v>24</v>
      </c>
      <c r="D79" s="100"/>
      <c r="E79" s="100"/>
      <c r="F79" s="100"/>
      <c r="G79" s="100"/>
      <c r="H79" s="100"/>
    </row>
    <row r="80">
      <c r="A80" s="98"/>
      <c r="C80" s="100" t="s">
        <v>25</v>
      </c>
      <c r="D80" s="100"/>
      <c r="E80" s="100"/>
      <c r="F80" s="100"/>
      <c r="G80" s="100"/>
      <c r="H80" s="100"/>
    </row>
    <row r="81">
      <c r="A81" s="98"/>
      <c r="C81" s="100" t="s">
        <v>26</v>
      </c>
      <c r="D81" s="100"/>
      <c r="E81" s="100"/>
      <c r="F81" s="100"/>
      <c r="G81" s="100"/>
      <c r="H81" s="100"/>
    </row>
    <row r="82">
      <c r="A82" s="98"/>
      <c r="C82" s="100" t="s">
        <v>3416</v>
      </c>
      <c r="D82" s="100">
        <f>SUM(D70:D81)</f>
        <v>383.0</v>
      </c>
      <c r="E82" s="100">
        <f>SUM(E70:E81)</f>
        <v>61.0</v>
      </c>
      <c r="F82" s="100">
        <f>SUM(F70:F81)</f>
        <v>10.0</v>
      </c>
      <c r="G82" s="100">
        <f>SUM(G70:G81)</f>
        <v>41.0</v>
      </c>
      <c r="H82" s="100">
        <f>SUM(H70:H81)</f>
        <v>29.0</v>
      </c>
    </row>
    <row r="83">
      <c r="A83" s="98"/>
      <c r="C83" s="100"/>
      <c r="D83" s="100"/>
      <c r="E83" s="100"/>
      <c r="F83" s="100"/>
      <c r="G83" s="100"/>
      <c r="H83" s="100"/>
    </row>
    <row r="86">
      <c r="M86" s="127"/>
      <c r="N86" s="127"/>
      <c r="O86" s="127"/>
      <c r="P86" s="127"/>
      <c r="Q86" s="127"/>
      <c r="R86" s="127"/>
      <c r="S86" s="127"/>
    </row>
    <row r="87">
      <c r="M87" s="118"/>
      <c r="N87" s="34"/>
      <c r="O87" s="34"/>
      <c r="P87" s="34"/>
      <c r="Q87" s="34"/>
      <c r="R87" s="34"/>
      <c r="S87" s="34"/>
    </row>
    <row r="88">
      <c r="M88" s="34"/>
      <c r="N88" s="34"/>
      <c r="O88" s="34"/>
      <c r="P88" s="34"/>
      <c r="Q88" s="34"/>
      <c r="R88" s="34"/>
      <c r="S88" s="34"/>
    </row>
    <row r="89" customHeight="1" ht="14.0">
      <c r="A89" s="98" t="s">
        <v>3442</v>
      </c>
      <c r="C89" s="128" t="s">
        <v>7</v>
      </c>
      <c r="D89" s="126" t="s">
        <v>34</v>
      </c>
      <c r="E89" s="126"/>
      <c r="F89" s="126"/>
      <c r="G89" s="126" t="s">
        <v>35</v>
      </c>
      <c r="H89" s="126"/>
      <c r="I89" s="126"/>
      <c r="J89" s="129" t="s">
        <v>36</v>
      </c>
      <c r="K89" s="129"/>
      <c r="L89" s="129"/>
      <c r="M89" s="126" t="s">
        <v>38</v>
      </c>
      <c r="N89" s="126"/>
      <c r="O89" s="126"/>
      <c r="P89" s="100" t="s">
        <v>39</v>
      </c>
      <c r="Q89" s="100"/>
      <c r="R89" s="100"/>
      <c r="S89" s="100" t="s">
        <v>37</v>
      </c>
      <c r="T89" s="100"/>
      <c r="U89" s="100"/>
      <c r="V89" s="79"/>
      <c r="W89" s="79"/>
      <c r="X89" s="79"/>
      <c r="Y89" s="79"/>
      <c r="Z89" s="79"/>
      <c r="AA89" s="79"/>
      <c r="AB89" s="79"/>
      <c r="AC89" s="79"/>
    </row>
    <row r="90">
      <c r="A90" s="98"/>
      <c r="C90" s="128"/>
      <c r="D90" s="129" t="s">
        <v>3443</v>
      </c>
      <c r="E90" s="130" t="s">
        <v>9</v>
      </c>
      <c r="F90" s="130" t="s">
        <v>10</v>
      </c>
      <c r="G90" s="129" t="s">
        <v>3443</v>
      </c>
      <c r="H90" s="130" t="s">
        <v>9</v>
      </c>
      <c r="I90" s="130" t="s">
        <v>10</v>
      </c>
      <c r="J90" s="129" t="s">
        <v>3443</v>
      </c>
      <c r="K90" s="130" t="s">
        <v>9</v>
      </c>
      <c r="L90" s="130" t="s">
        <v>10</v>
      </c>
      <c r="M90" s="129" t="s">
        <v>3443</v>
      </c>
      <c r="N90" s="130" t="s">
        <v>9</v>
      </c>
      <c r="O90" s="130" t="s">
        <v>10</v>
      </c>
      <c r="P90" s="129" t="s">
        <v>3443</v>
      </c>
      <c r="Q90" s="130" t="s">
        <v>9</v>
      </c>
      <c r="R90" s="130" t="s">
        <v>10</v>
      </c>
      <c r="S90" s="129" t="s">
        <v>3443</v>
      </c>
      <c r="T90" s="130" t="s">
        <v>9</v>
      </c>
      <c r="U90" s="130" t="s">
        <v>10</v>
      </c>
      <c r="V90" s="79"/>
      <c r="W90" s="79"/>
      <c r="X90" s="79"/>
      <c r="Y90" s="79"/>
      <c r="Z90" s="79"/>
      <c r="AA90" s="79"/>
      <c r="AB90" s="79"/>
      <c r="AC90" s="79"/>
    </row>
    <row r="91">
      <c r="A91" s="98"/>
      <c r="C91" s="99" t="s">
        <v>13</v>
      </c>
      <c r="D91" s="131">
        <v>63.0</v>
      </c>
      <c r="E91" s="132">
        <v>21.0</v>
      </c>
      <c r="F91" s="133">
        <v>37.0</v>
      </c>
      <c r="G91" s="131">
        <v>11.0</v>
      </c>
      <c r="H91" s="132">
        <v>2.0</v>
      </c>
      <c r="I91" s="133">
        <v>8.0</v>
      </c>
      <c r="J91" s="131">
        <v>7.0</v>
      </c>
      <c r="K91" s="132">
        <v>3.0</v>
      </c>
      <c r="L91" s="133">
        <v>4.0</v>
      </c>
      <c r="M91" s="131">
        <v>4.0</v>
      </c>
      <c r="N91" s="132">
        <v>0.0</v>
      </c>
      <c r="O91" s="133">
        <v>3.0</v>
      </c>
      <c r="P91" s="131">
        <v>0.0</v>
      </c>
      <c r="Q91" s="132">
        <v>0.0</v>
      </c>
      <c r="R91" s="133">
        <v>0.0</v>
      </c>
      <c r="S91" s="131">
        <v>1.0</v>
      </c>
      <c r="T91" s="134">
        <v>0.0</v>
      </c>
      <c r="U91" s="135">
        <v>1.0</v>
      </c>
      <c r="V91" s="79"/>
      <c r="W91" s="79"/>
      <c r="X91" s="79"/>
      <c r="Y91" s="79"/>
      <c r="Z91" s="79"/>
      <c r="AA91" s="79"/>
      <c r="AB91" s="79"/>
      <c r="AC91" s="79"/>
    </row>
    <row r="92">
      <c r="A92" s="98"/>
      <c r="C92" s="99" t="s">
        <v>16</v>
      </c>
      <c r="D92" s="131">
        <v>58.0</v>
      </c>
      <c r="E92" s="132">
        <v>14.0</v>
      </c>
      <c r="F92" s="133">
        <v>38.0</v>
      </c>
      <c r="G92" s="131">
        <v>12.0</v>
      </c>
      <c r="H92" s="132">
        <v>5.0</v>
      </c>
      <c r="I92" s="133">
        <v>7.0</v>
      </c>
      <c r="J92" s="131">
        <v>5.0</v>
      </c>
      <c r="K92" s="132">
        <v>2.0</v>
      </c>
      <c r="L92" s="133">
        <v>2.0</v>
      </c>
      <c r="M92" s="131">
        <v>0.0</v>
      </c>
      <c r="N92" s="132">
        <v>0.0</v>
      </c>
      <c r="O92" s="133">
        <v>0.0</v>
      </c>
      <c r="P92" s="131">
        <v>0.0</v>
      </c>
      <c r="Q92" s="132">
        <v>0.0</v>
      </c>
      <c r="R92" s="133">
        <v>0.0</v>
      </c>
      <c r="S92" s="131">
        <v>1.0</v>
      </c>
      <c r="T92" s="134">
        <v>0.0</v>
      </c>
      <c r="U92" s="135">
        <v>1.0</v>
      </c>
      <c r="V92" s="79"/>
      <c r="W92" s="79"/>
      <c r="X92" s="79"/>
      <c r="Y92" s="79"/>
      <c r="Z92" s="79"/>
      <c r="AA92" s="79"/>
      <c r="AB92" s="79"/>
      <c r="AC92" s="79"/>
    </row>
    <row r="93">
      <c r="A93" s="98"/>
      <c r="C93" s="99" t="s">
        <v>17</v>
      </c>
      <c r="D93" s="131">
        <v>60.0</v>
      </c>
      <c r="E93" s="132">
        <v>16.0</v>
      </c>
      <c r="F93" s="133">
        <v>32.0</v>
      </c>
      <c r="G93" s="131">
        <v>9.0</v>
      </c>
      <c r="H93" s="132">
        <v>4.0</v>
      </c>
      <c r="I93" s="133">
        <v>4.0</v>
      </c>
      <c r="J93" s="131">
        <v>3.0</v>
      </c>
      <c r="K93" s="132">
        <v>1.0</v>
      </c>
      <c r="L93" s="133">
        <v>2.0</v>
      </c>
      <c r="M93" s="131">
        <v>2.0</v>
      </c>
      <c r="N93" s="132">
        <v>0.0</v>
      </c>
      <c r="O93" s="133">
        <v>2.0</v>
      </c>
      <c r="P93" s="131">
        <v>2.0</v>
      </c>
      <c r="Q93" s="132">
        <v>0.0</v>
      </c>
      <c r="R93" s="133">
        <v>1.0</v>
      </c>
      <c r="S93" s="131">
        <v>7.0</v>
      </c>
      <c r="T93" s="134">
        <v>4.0</v>
      </c>
      <c r="U93" s="135">
        <v>2.0</v>
      </c>
      <c r="V93" s="79"/>
      <c r="W93" s="79"/>
      <c r="X93" s="79"/>
      <c r="Y93" s="79"/>
      <c r="Z93" s="79"/>
      <c r="AA93" s="79"/>
      <c r="AB93" s="79"/>
      <c r="AC93" s="79"/>
    </row>
    <row r="94">
      <c r="A94" s="98"/>
      <c r="C94" s="99" t="s">
        <v>18</v>
      </c>
      <c r="D94" s="131">
        <v>50.0</v>
      </c>
      <c r="E94" s="132">
        <v>12.0</v>
      </c>
      <c r="F94" s="133">
        <v>25.0</v>
      </c>
      <c r="G94" s="131">
        <v>9.0</v>
      </c>
      <c r="H94" s="132">
        <v>2.0</v>
      </c>
      <c r="I94" s="133">
        <v>6.0</v>
      </c>
      <c r="J94" s="131">
        <v>5.0</v>
      </c>
      <c r="K94" s="132">
        <v>2.0</v>
      </c>
      <c r="L94" s="133">
        <v>2.0</v>
      </c>
      <c r="M94" s="131">
        <v>0.0</v>
      </c>
      <c r="N94" s="132">
        <v>0.0</v>
      </c>
      <c r="O94" s="133">
        <v>0.0</v>
      </c>
      <c r="P94" s="131">
        <v>1.0</v>
      </c>
      <c r="Q94" s="132">
        <v>0.0</v>
      </c>
      <c r="R94" s="133">
        <v>0.0</v>
      </c>
      <c r="S94" s="131">
        <v>3.0</v>
      </c>
      <c r="T94" s="134">
        <v>2.0</v>
      </c>
      <c r="U94" s="135">
        <v>0.0</v>
      </c>
      <c r="V94" s="79"/>
      <c r="W94" s="79"/>
      <c r="X94" s="79"/>
      <c r="Y94" s="79"/>
      <c r="Z94" s="79"/>
      <c r="AA94" s="79"/>
      <c r="AB94" s="79"/>
      <c r="AC94" s="79"/>
    </row>
    <row r="95">
      <c r="A95" s="98"/>
      <c r="C95" s="99" t="s">
        <v>19</v>
      </c>
      <c r="D95" s="131">
        <v>55.0</v>
      </c>
      <c r="E95" s="132">
        <v>8.0</v>
      </c>
      <c r="F95" s="133">
        <v>26.0</v>
      </c>
      <c r="G95" s="131">
        <v>10.0</v>
      </c>
      <c r="H95" s="132">
        <v>2.0</v>
      </c>
      <c r="I95" s="133">
        <v>5.0</v>
      </c>
      <c r="J95" s="131">
        <v>4.0</v>
      </c>
      <c r="K95" s="132">
        <v>0.0</v>
      </c>
      <c r="L95" s="133">
        <v>4.0</v>
      </c>
      <c r="M95" s="131">
        <v>0.0</v>
      </c>
      <c r="N95" s="132">
        <v>0.0</v>
      </c>
      <c r="O95" s="133">
        <v>0.0</v>
      </c>
      <c r="P95" s="131">
        <v>1.0</v>
      </c>
      <c r="Q95" s="132">
        <v>0.0</v>
      </c>
      <c r="R95" s="133">
        <v>0.0</v>
      </c>
      <c r="S95" s="131">
        <v>2.0</v>
      </c>
      <c r="T95" s="134">
        <v>0.0</v>
      </c>
      <c r="U95" s="135">
        <v>2.0</v>
      </c>
      <c r="V95" s="79"/>
      <c r="W95" s="79"/>
      <c r="X95" s="79"/>
      <c r="Y95" s="79"/>
      <c r="Z95" s="79"/>
      <c r="AA95" s="79"/>
      <c r="AB95" s="79"/>
      <c r="AC95" s="79"/>
    </row>
    <row r="96">
      <c r="A96" s="98"/>
      <c r="C96" s="99" t="s">
        <v>20</v>
      </c>
      <c r="D96" s="131"/>
      <c r="E96" s="132"/>
      <c r="F96" s="133"/>
      <c r="G96" s="131"/>
      <c r="H96" s="132"/>
      <c r="I96" s="133"/>
      <c r="J96" s="131"/>
      <c r="K96" s="132"/>
      <c r="L96" s="133"/>
      <c r="M96" s="131"/>
      <c r="N96" s="132"/>
      <c r="O96" s="133"/>
      <c r="P96" s="131"/>
      <c r="Q96" s="132"/>
      <c r="R96" s="133"/>
      <c r="S96" s="131"/>
      <c r="T96" s="134"/>
      <c r="U96" s="135"/>
      <c r="V96" s="79"/>
      <c r="W96" s="79"/>
      <c r="X96" s="79"/>
      <c r="Y96" s="79"/>
      <c r="Z96" s="79"/>
      <c r="AA96" s="79"/>
      <c r="AB96" s="79"/>
      <c r="AC96" s="79"/>
    </row>
    <row r="97">
      <c r="A97" s="98"/>
      <c r="C97" s="99" t="s">
        <v>21</v>
      </c>
      <c r="D97" s="131"/>
      <c r="E97" s="132"/>
      <c r="F97" s="133"/>
      <c r="G97" s="131"/>
      <c r="H97" s="132"/>
      <c r="I97" s="133"/>
      <c r="J97" s="131"/>
      <c r="K97" s="132"/>
      <c r="L97" s="133"/>
      <c r="M97" s="131"/>
      <c r="N97" s="132"/>
      <c r="O97" s="133"/>
      <c r="P97" s="131"/>
      <c r="Q97" s="132"/>
      <c r="R97" s="133"/>
      <c r="S97" s="131"/>
      <c r="T97" s="134"/>
      <c r="U97" s="135"/>
      <c r="V97" s="79"/>
      <c r="W97" s="79"/>
      <c r="X97" s="79"/>
      <c r="Y97" s="79"/>
      <c r="Z97" s="79"/>
      <c r="AA97" s="79"/>
      <c r="AB97" s="79"/>
      <c r="AC97" s="79"/>
    </row>
    <row r="98">
      <c r="A98" s="98"/>
      <c r="C98" s="99" t="s">
        <v>22</v>
      </c>
      <c r="D98" s="131"/>
      <c r="E98" s="132"/>
      <c r="F98" s="133"/>
      <c r="G98" s="131"/>
      <c r="H98" s="132"/>
      <c r="I98" s="133"/>
      <c r="J98" s="131"/>
      <c r="K98" s="132"/>
      <c r="L98" s="133"/>
      <c r="M98" s="131"/>
      <c r="N98" s="132"/>
      <c r="O98" s="133"/>
      <c r="P98" s="131"/>
      <c r="Q98" s="132"/>
      <c r="R98" s="133"/>
      <c r="S98" s="131"/>
      <c r="T98" s="134"/>
      <c r="U98" s="135"/>
      <c r="V98" s="79"/>
      <c r="W98" s="79"/>
      <c r="X98" s="79"/>
      <c r="Y98" s="79"/>
      <c r="Z98" s="79"/>
      <c r="AA98" s="79"/>
      <c r="AB98" s="79"/>
      <c r="AC98" s="79"/>
    </row>
    <row r="99">
      <c r="A99" s="98"/>
      <c r="C99" s="99" t="s">
        <v>23</v>
      </c>
      <c r="D99" s="131"/>
      <c r="E99" s="132"/>
      <c r="F99" s="133"/>
      <c r="G99" s="131"/>
      <c r="H99" s="132"/>
      <c r="I99" s="133"/>
      <c r="J99" s="131"/>
      <c r="K99" s="132"/>
      <c r="L99" s="133"/>
      <c r="M99" s="131"/>
      <c r="N99" s="132"/>
      <c r="O99" s="133"/>
      <c r="P99" s="131"/>
      <c r="Q99" s="132"/>
      <c r="R99" s="133"/>
      <c r="S99" s="131"/>
      <c r="T99" s="134"/>
      <c r="U99" s="135"/>
      <c r="V99" s="79"/>
      <c r="W99" s="79"/>
      <c r="X99" s="79"/>
      <c r="Y99" s="79"/>
      <c r="Z99" s="79"/>
      <c r="AA99" s="79"/>
      <c r="AB99" s="79"/>
      <c r="AC99" s="79"/>
    </row>
    <row r="100">
      <c r="A100" s="98"/>
      <c r="C100" s="99" t="s">
        <v>24</v>
      </c>
      <c r="D100" s="131"/>
      <c r="E100" s="132"/>
      <c r="F100" s="133"/>
      <c r="G100" s="131"/>
      <c r="H100" s="132"/>
      <c r="I100" s="133"/>
      <c r="J100" s="131"/>
      <c r="K100" s="132"/>
      <c r="L100" s="133"/>
      <c r="M100" s="131"/>
      <c r="N100" s="132"/>
      <c r="O100" s="133"/>
      <c r="P100" s="131"/>
      <c r="Q100" s="132"/>
      <c r="R100" s="133"/>
      <c r="S100" s="131"/>
      <c r="T100" s="134"/>
      <c r="U100" s="135"/>
      <c r="V100" s="79"/>
      <c r="W100" s="79"/>
      <c r="X100" s="79"/>
      <c r="Y100" s="79"/>
      <c r="Z100" s="79"/>
      <c r="AA100" s="79"/>
      <c r="AB100" s="79"/>
      <c r="AC100" s="79"/>
    </row>
    <row r="101">
      <c r="A101" s="98"/>
      <c r="C101" s="99" t="s">
        <v>25</v>
      </c>
      <c r="D101" s="131"/>
      <c r="E101" s="132"/>
      <c r="F101" s="133"/>
      <c r="G101" s="131"/>
      <c r="H101" s="132"/>
      <c r="I101" s="133"/>
      <c r="J101" s="131"/>
      <c r="K101" s="132"/>
      <c r="L101" s="133"/>
      <c r="M101" s="131"/>
      <c r="N101" s="132"/>
      <c r="O101" s="133"/>
      <c r="P101" s="131"/>
      <c r="Q101" s="132"/>
      <c r="R101" s="133"/>
      <c r="S101" s="131"/>
      <c r="T101" s="134"/>
      <c r="U101" s="135"/>
      <c r="V101" s="79"/>
      <c r="W101" s="79"/>
      <c r="X101" s="79"/>
      <c r="Y101" s="79"/>
      <c r="Z101" s="79"/>
      <c r="AA101" s="79"/>
      <c r="AB101" s="79"/>
      <c r="AC101" s="79"/>
    </row>
    <row r="102">
      <c r="A102" s="98"/>
      <c r="C102" s="136" t="s">
        <v>26</v>
      </c>
      <c r="D102" s="131"/>
      <c r="E102" s="132"/>
      <c r="F102" s="133"/>
      <c r="G102" s="131"/>
      <c r="H102" s="132"/>
      <c r="I102" s="133"/>
      <c r="J102" s="131"/>
      <c r="K102" s="132"/>
      <c r="L102" s="133"/>
      <c r="M102" s="131"/>
      <c r="N102" s="132"/>
      <c r="O102" s="133"/>
      <c r="P102" s="131"/>
      <c r="Q102" s="132"/>
      <c r="R102" s="133"/>
      <c r="S102" s="131"/>
      <c r="T102" s="134"/>
      <c r="U102" s="135"/>
      <c r="V102" s="79"/>
      <c r="W102" s="79"/>
      <c r="X102" s="79"/>
      <c r="Y102" s="79"/>
      <c r="Z102" s="79"/>
      <c r="AA102" s="79"/>
      <c r="AB102" s="79"/>
      <c r="AC102" s="79"/>
    </row>
    <row r="103">
      <c r="A103" s="98"/>
      <c r="C103" s="99" t="s">
        <v>3416</v>
      </c>
      <c r="D103" s="100">
        <f>SUM(D91:D102)</f>
        <v>286.0</v>
      </c>
      <c r="E103" s="137">
        <f>SUM(E91:E102)</f>
        <v>71.0</v>
      </c>
      <c r="F103" s="100">
        <f>SUM(F91:F102)</f>
        <v>158.0</v>
      </c>
      <c r="G103" s="100">
        <f>SUM(G91:G102)</f>
        <v>51.0</v>
      </c>
      <c r="H103" s="100">
        <f>SUM(H91:H102)</f>
        <v>15.0</v>
      </c>
      <c r="I103" s="100">
        <f>SUM(I91:I102)</f>
        <v>30.0</v>
      </c>
      <c r="J103" s="100">
        <f>SUM(J91:J102)</f>
        <v>24.0</v>
      </c>
      <c r="K103" s="100">
        <f>SUM(K91:K102)</f>
        <v>8.0</v>
      </c>
      <c r="L103" s="100">
        <f>SUM(L91:L102)</f>
        <v>14.0</v>
      </c>
      <c r="M103" s="100">
        <f>SUM(M91:M102)</f>
        <v>6.0</v>
      </c>
      <c r="N103" s="100">
        <f>SUM(N91:N102)</f>
        <v>0.0</v>
      </c>
      <c r="O103" s="100">
        <f>SUM(O91:O102)</f>
        <v>5.0</v>
      </c>
      <c r="P103" s="100">
        <f>SUM(P91:P102)</f>
        <v>4.0</v>
      </c>
      <c r="Q103" s="109">
        <f>SUM(Q91:Q102)</f>
        <v>0.0</v>
      </c>
      <c r="R103" s="109">
        <f>SUM(R91:R102)</f>
        <v>1.0</v>
      </c>
      <c r="S103" s="109">
        <f>SUM(S91:S102)</f>
        <v>14.0</v>
      </c>
      <c r="T103" s="109">
        <f>SUM(T91:T102)</f>
        <v>6.0</v>
      </c>
      <c r="U103" s="109">
        <f>SUM(U91:U102)</f>
        <v>6.0</v>
      </c>
      <c r="V103" s="79"/>
      <c r="W103" s="79"/>
      <c r="X103" s="79"/>
      <c r="Y103" s="79"/>
      <c r="Z103" s="79"/>
      <c r="AA103" s="79"/>
      <c r="AB103" s="79"/>
      <c r="AC103" s="79"/>
    </row>
    <row r="104">
      <c r="A104" s="98"/>
      <c r="C104" s="99"/>
      <c r="D104" s="100"/>
      <c r="E104" s="137"/>
      <c r="F104" s="100"/>
      <c r="G104" s="100"/>
      <c r="H104" s="100"/>
      <c r="I104" s="100"/>
      <c r="J104" s="100"/>
      <c r="K104" s="100"/>
      <c r="L104" s="100"/>
      <c r="M104" s="100"/>
      <c r="N104" s="100"/>
      <c r="O104" s="100"/>
      <c r="P104" s="100"/>
      <c r="Q104" s="138"/>
      <c r="R104" s="138"/>
      <c r="S104" s="138"/>
      <c r="T104" s="116"/>
      <c r="U104" s="116"/>
      <c r="V104" s="79"/>
      <c r="W104" s="79"/>
      <c r="X104" s="79"/>
      <c r="Y104" s="79"/>
      <c r="Z104" s="79"/>
      <c r="AA104" s="79"/>
      <c r="AB104" s="79"/>
      <c r="AC104" s="79"/>
    </row>
    <row r="105">
      <c r="M105" s="34"/>
      <c r="N105" s="34"/>
      <c r="O105" s="34"/>
      <c r="P105" s="34"/>
      <c r="Q105" s="34"/>
      <c r="R105" s="34"/>
      <c r="S105" s="34"/>
    </row>
    <row r="106">
      <c r="M106" s="34"/>
      <c r="N106" s="34"/>
      <c r="O106" s="34"/>
      <c r="P106" s="34"/>
      <c r="Q106" s="34"/>
      <c r="R106" s="34"/>
      <c r="S106" s="34"/>
    </row>
    <row r="107">
      <c r="M107" s="34"/>
      <c r="N107" s="34"/>
      <c r="O107" s="34"/>
      <c r="P107" s="34"/>
      <c r="Q107" s="34"/>
      <c r="R107" s="34"/>
      <c r="S107" s="34"/>
    </row>
    <row r="108">
      <c r="M108" s="34"/>
      <c r="N108" s="34"/>
      <c r="O108" s="34"/>
      <c r="P108" s="34"/>
      <c r="Q108" s="34"/>
      <c r="R108" s="34"/>
      <c r="S108" s="34"/>
    </row>
    <row r="109">
      <c r="M109" s="34"/>
      <c r="N109" s="34"/>
      <c r="O109" s="34"/>
      <c r="P109" s="34"/>
      <c r="Q109" s="34"/>
      <c r="R109" s="34"/>
      <c r="S109" s="34"/>
    </row>
    <row r="110" customHeight="1" ht="17.0">
      <c r="A110" s="98" t="s">
        <v>3444</v>
      </c>
      <c r="C110" s="100" t="s">
        <v>7</v>
      </c>
      <c r="D110" s="100" t="s">
        <v>97</v>
      </c>
      <c r="E110" s="100" t="s">
        <v>117</v>
      </c>
      <c r="F110" s="100" t="s">
        <v>70</v>
      </c>
      <c r="G110" s="100" t="s">
        <v>3445</v>
      </c>
      <c r="H110" s="100" t="s">
        <v>3446</v>
      </c>
      <c r="M110" s="34"/>
      <c r="N110" s="34"/>
      <c r="O110" s="34"/>
      <c r="P110" s="34"/>
      <c r="Q110" s="34"/>
      <c r="R110" s="34"/>
      <c r="S110" s="34"/>
    </row>
    <row r="111">
      <c r="A111" s="98"/>
      <c r="C111" s="100"/>
      <c r="D111" s="100"/>
      <c r="E111" s="100"/>
      <c r="F111" s="100"/>
      <c r="G111" s="100"/>
      <c r="H111" s="100"/>
      <c r="M111" s="34"/>
      <c r="N111" s="34"/>
      <c r="O111" s="34"/>
      <c r="P111" s="34"/>
      <c r="Q111" s="34"/>
      <c r="R111" s="34"/>
      <c r="S111" s="34"/>
    </row>
    <row r="112">
      <c r="A112" s="98"/>
      <c r="C112" s="116" t="s">
        <v>13</v>
      </c>
      <c r="D112" s="116">
        <v>52.0</v>
      </c>
      <c r="E112" s="116">
        <v>27.0</v>
      </c>
      <c r="F112" s="116">
        <v>3.0</v>
      </c>
      <c r="G112" s="116">
        <v>13.0</v>
      </c>
      <c r="H112" s="116">
        <v>3.0</v>
      </c>
    </row>
    <row r="113">
      <c r="A113" s="98"/>
      <c r="C113" s="100" t="s">
        <v>16</v>
      </c>
      <c r="D113" s="100">
        <v>42.0</v>
      </c>
      <c r="E113" s="100">
        <v>37.0</v>
      </c>
      <c r="F113" s="100">
        <v>2.0</v>
      </c>
      <c r="G113" s="100">
        <v>12.0</v>
      </c>
      <c r="H113" s="100">
        <v>4.0</v>
      </c>
    </row>
    <row r="114">
      <c r="A114" s="98"/>
      <c r="C114" s="100" t="s">
        <v>17</v>
      </c>
      <c r="D114" s="100">
        <v>71.0</v>
      </c>
      <c r="E114" s="100">
        <v>30.0</v>
      </c>
      <c r="F114" s="100">
        <v>2.0</v>
      </c>
      <c r="G114" s="100">
        <v>10.0</v>
      </c>
      <c r="H114" s="100">
        <v>3.0</v>
      </c>
    </row>
    <row r="115">
      <c r="A115" s="98"/>
      <c r="C115" s="100" t="s">
        <v>18</v>
      </c>
      <c r="D115" s="100">
        <v>54.0</v>
      </c>
      <c r="E115" s="100">
        <v>26.0</v>
      </c>
      <c r="F115" s="100">
        <v>2.0</v>
      </c>
      <c r="G115" s="100">
        <v>16.0</v>
      </c>
      <c r="H115" s="100">
        <v>2.0</v>
      </c>
    </row>
    <row r="116">
      <c r="A116" s="98"/>
      <c r="C116" s="100" t="s">
        <v>19</v>
      </c>
      <c r="D116" s="100">
        <v>61.0</v>
      </c>
      <c r="E116" s="100">
        <v>19.0</v>
      </c>
      <c r="F116" s="100">
        <v>3.0</v>
      </c>
      <c r="G116" s="100">
        <v>11.0</v>
      </c>
      <c r="H116" s="100">
        <v>3.0</v>
      </c>
    </row>
    <row r="117">
      <c r="A117" s="98"/>
      <c r="C117" s="100" t="s">
        <v>20</v>
      </c>
      <c r="D117" s="100"/>
      <c r="E117" s="100"/>
      <c r="F117" s="100"/>
      <c r="G117" s="100"/>
      <c r="H117" s="100"/>
    </row>
    <row r="118">
      <c r="A118" s="98"/>
      <c r="C118" s="100" t="s">
        <v>21</v>
      </c>
      <c r="D118" s="100"/>
      <c r="E118" s="100"/>
      <c r="F118" s="100"/>
      <c r="G118" s="100"/>
      <c r="H118" s="100"/>
    </row>
    <row r="119">
      <c r="A119" s="98"/>
      <c r="C119" s="100" t="s">
        <v>22</v>
      </c>
      <c r="D119" s="100"/>
      <c r="E119" s="100"/>
      <c r="F119" s="100"/>
      <c r="G119" s="100"/>
      <c r="H119" s="100"/>
    </row>
    <row r="120">
      <c r="A120" s="98"/>
      <c r="C120" s="100" t="s">
        <v>23</v>
      </c>
      <c r="D120" s="100"/>
      <c r="E120" s="100"/>
      <c r="F120" s="100"/>
      <c r="G120" s="100"/>
      <c r="H120" s="100"/>
    </row>
    <row r="121">
      <c r="A121" s="98"/>
      <c r="C121" s="100" t="s">
        <v>24</v>
      </c>
      <c r="D121" s="100"/>
      <c r="E121" s="100"/>
      <c r="F121" s="100"/>
      <c r="G121" s="100"/>
      <c r="H121" s="100"/>
    </row>
    <row r="122">
      <c r="A122" s="98"/>
      <c r="C122" s="100" t="s">
        <v>25</v>
      </c>
      <c r="D122" s="100"/>
      <c r="E122" s="100"/>
      <c r="F122" s="100"/>
      <c r="G122" s="100"/>
      <c r="H122" s="100"/>
    </row>
    <row r="123">
      <c r="A123" s="98"/>
      <c r="C123" s="109" t="s">
        <v>26</v>
      </c>
      <c r="D123" s="109"/>
      <c r="E123" s="109"/>
      <c r="F123" s="109"/>
      <c r="G123" s="109"/>
      <c r="H123" s="109"/>
    </row>
    <row r="124">
      <c r="A124" s="98"/>
      <c r="C124" s="100" t="s">
        <v>3416</v>
      </c>
      <c r="D124" s="100">
        <f>SUM(D112:D123)</f>
        <v>280.0</v>
      </c>
      <c r="E124" s="100">
        <f>SUM(E112:E123)</f>
        <v>139.0</v>
      </c>
      <c r="F124" s="100">
        <f>SUM(F112:F123)</f>
        <v>12.0</v>
      </c>
      <c r="G124" s="100">
        <f>SUM(G112:G123)</f>
        <v>62.0</v>
      </c>
      <c r="H124" s="100">
        <f>SUM(H112:H123)</f>
        <v>15.0</v>
      </c>
    </row>
    <row r="125">
      <c r="A125" s="98"/>
      <c r="C125" s="100"/>
      <c r="D125" s="100"/>
      <c r="E125" s="100"/>
      <c r="F125" s="100"/>
      <c r="G125" s="100"/>
      <c r="H125" s="100"/>
    </row>
    <row r="131" customHeight="1" ht="12.0">
      <c r="A131" s="98" t="s">
        <v>3447</v>
      </c>
      <c r="C131" s="100" t="s">
        <v>7</v>
      </c>
      <c r="D131" s="100" t="s">
        <v>3448</v>
      </c>
      <c r="E131" s="100" t="s">
        <v>3449</v>
      </c>
      <c r="F131" s="100" t="s">
        <v>3450</v>
      </c>
    </row>
    <row r="132">
      <c r="A132" s="98"/>
      <c r="C132" s="100"/>
      <c r="D132" s="100"/>
      <c r="E132" s="100"/>
      <c r="F132" s="100"/>
    </row>
    <row r="133">
      <c r="A133" s="98"/>
      <c r="C133" s="100" t="s">
        <v>13</v>
      </c>
      <c r="D133" s="100">
        <v>106.0</v>
      </c>
      <c r="E133" s="100">
        <v>496.0</v>
      </c>
      <c r="F133" s="100">
        <v>99.0</v>
      </c>
    </row>
    <row r="134">
      <c r="A134" s="98"/>
      <c r="C134" s="100" t="s">
        <v>16</v>
      </c>
      <c r="D134" s="100">
        <v>112.0</v>
      </c>
      <c r="E134" s="100">
        <v>545.0</v>
      </c>
      <c r="F134" s="100">
        <v>98.0</v>
      </c>
    </row>
    <row r="135">
      <c r="A135" s="98"/>
      <c r="C135" s="100" t="s">
        <v>17</v>
      </c>
      <c r="D135" s="100">
        <v>127.0</v>
      </c>
      <c r="E135" s="100">
        <v>584.0</v>
      </c>
      <c r="F135" s="100">
        <v>118.0</v>
      </c>
    </row>
    <row r="136">
      <c r="A136" s="98"/>
      <c r="C136" s="100" t="s">
        <v>18</v>
      </c>
      <c r="D136" s="100">
        <v>117.0</v>
      </c>
      <c r="E136" s="100">
        <v>556.0</v>
      </c>
      <c r="F136" s="100">
        <v>106.0</v>
      </c>
    </row>
    <row r="137">
      <c r="A137" s="98"/>
      <c r="C137" s="100" t="s">
        <v>19</v>
      </c>
      <c r="D137" s="100"/>
      <c r="E137" s="100">
        <v>539.0</v>
      </c>
      <c r="F137" s="100">
        <v>98.0</v>
      </c>
    </row>
    <row r="138">
      <c r="A138" s="98"/>
      <c r="C138" s="100" t="s">
        <v>20</v>
      </c>
      <c r="D138" s="100"/>
      <c r="E138" s="100"/>
      <c r="F138" s="100"/>
    </row>
    <row r="139">
      <c r="A139" s="98"/>
      <c r="C139" s="100" t="s">
        <v>21</v>
      </c>
      <c r="D139" s="100"/>
      <c r="E139" s="100"/>
      <c r="F139" s="100"/>
    </row>
    <row r="140">
      <c r="A140" s="98"/>
      <c r="C140" s="100" t="s">
        <v>22</v>
      </c>
      <c r="D140" s="100"/>
      <c r="E140" s="100"/>
      <c r="F140" s="100"/>
    </row>
    <row r="141">
      <c r="A141" s="98"/>
      <c r="C141" s="100" t="s">
        <v>23</v>
      </c>
      <c r="D141" s="100"/>
      <c r="E141" s="100"/>
      <c r="F141" s="100"/>
    </row>
    <row r="142">
      <c r="A142" s="98"/>
      <c r="C142" s="100" t="s">
        <v>24</v>
      </c>
      <c r="D142" s="100"/>
      <c r="E142" s="100"/>
      <c r="F142" s="100"/>
    </row>
    <row r="143">
      <c r="A143" s="98"/>
      <c r="C143" s="100" t="s">
        <v>25</v>
      </c>
      <c r="D143" s="100"/>
      <c r="E143" s="100"/>
      <c r="F143" s="100"/>
    </row>
    <row r="144">
      <c r="A144" s="98"/>
      <c r="C144" s="100" t="s">
        <v>26</v>
      </c>
      <c r="D144" s="100"/>
      <c r="E144" s="100"/>
      <c r="F144" s="100"/>
    </row>
    <row r="145">
      <c r="A145" s="98"/>
      <c r="C145" s="100" t="s">
        <v>3416</v>
      </c>
      <c r="D145" s="100">
        <f>SUM(D133:D144)</f>
        <v>462.0</v>
      </c>
      <c r="E145" s="100">
        <f>SUM(E133:E144)</f>
        <v>2720.0</v>
      </c>
      <c r="F145" s="100">
        <f>SUM(F133:F144)</f>
        <v>519.0</v>
      </c>
    </row>
    <row r="146">
      <c r="A146" s="98"/>
      <c r="C146" s="100"/>
      <c r="D146" s="100"/>
      <c r="E146" s="100"/>
      <c r="F146" s="100"/>
    </row>
    <row r="151" ht="27.0">
      <c r="A151" s="98" t="s">
        <v>3451</v>
      </c>
      <c r="C151" s="126" t="s">
        <v>7</v>
      </c>
      <c r="D151" s="100" t="s">
        <v>3452</v>
      </c>
      <c r="E151" s="100" t="s">
        <v>9</v>
      </c>
      <c r="F151" s="100" t="s">
        <v>10</v>
      </c>
      <c r="G151" s="100" t="s">
        <v>11</v>
      </c>
      <c r="H151" s="131" t="s">
        <v>29</v>
      </c>
    </row>
    <row r="152">
      <c r="A152" s="98"/>
      <c r="C152" s="126"/>
      <c r="D152" s="100"/>
      <c r="E152" s="100"/>
      <c r="F152" s="100"/>
      <c r="G152" s="100"/>
      <c r="H152" s="131"/>
    </row>
    <row r="153">
      <c r="A153" s="98"/>
      <c r="C153" s="100" t="s">
        <v>13</v>
      </c>
      <c r="D153" s="100"/>
      <c r="E153" s="100"/>
      <c r="F153" s="100"/>
      <c r="G153" s="100"/>
      <c r="H153" s="131"/>
    </row>
    <row r="154">
      <c r="A154" s="98"/>
      <c r="C154" s="100" t="s">
        <v>16</v>
      </c>
      <c r="D154" s="100"/>
      <c r="E154" s="100"/>
      <c r="F154" s="100"/>
      <c r="G154" s="100"/>
      <c r="H154" s="131"/>
    </row>
    <row r="155">
      <c r="A155" s="98"/>
      <c r="C155" s="100" t="s">
        <v>17</v>
      </c>
      <c r="D155" s="100"/>
      <c r="E155" s="100"/>
      <c r="F155" s="100"/>
      <c r="G155" s="100"/>
      <c r="H155" s="131"/>
    </row>
    <row r="156">
      <c r="A156" s="98"/>
      <c r="C156" s="100" t="s">
        <v>18</v>
      </c>
      <c r="D156" s="100">
        <v>18.0</v>
      </c>
      <c r="E156" s="100">
        <v>7.0</v>
      </c>
      <c r="F156" s="100">
        <v>6.0</v>
      </c>
      <c r="G156" s="100">
        <v>1.0</v>
      </c>
      <c r="H156" s="139">
        <v>0.5</v>
      </c>
    </row>
    <row r="157">
      <c r="A157" s="98"/>
      <c r="C157" s="100" t="s">
        <v>19</v>
      </c>
      <c r="D157" s="100">
        <v>12.0</v>
      </c>
      <c r="E157" s="100">
        <v>5.0</v>
      </c>
      <c r="F157" s="100">
        <v>4.0</v>
      </c>
      <c r="G157" s="100">
        <v>3.0</v>
      </c>
      <c r="H157" s="139">
        <v>0.42</v>
      </c>
    </row>
    <row r="158">
      <c r="A158" s="98"/>
      <c r="C158" s="100" t="s">
        <v>20</v>
      </c>
      <c r="D158" s="100"/>
      <c r="E158" s="100"/>
      <c r="F158" s="100"/>
      <c r="G158" s="100"/>
      <c r="H158" s="131"/>
    </row>
    <row r="159">
      <c r="A159" s="98"/>
      <c r="C159" s="100" t="s">
        <v>21</v>
      </c>
      <c r="D159" s="100"/>
      <c r="E159" s="100"/>
      <c r="F159" s="100"/>
      <c r="G159" s="100"/>
      <c r="H159" s="131"/>
    </row>
    <row r="160">
      <c r="A160" s="98"/>
      <c r="C160" s="100" t="s">
        <v>22</v>
      </c>
      <c r="D160" s="100"/>
      <c r="E160" s="100"/>
      <c r="F160" s="100"/>
      <c r="G160" s="100"/>
      <c r="H160" s="131"/>
    </row>
    <row r="161">
      <c r="A161" s="98"/>
      <c r="C161" s="100" t="s">
        <v>23</v>
      </c>
      <c r="D161" s="100"/>
      <c r="E161" s="100"/>
      <c r="F161" s="100"/>
      <c r="G161" s="100"/>
      <c r="H161" s="131"/>
    </row>
    <row r="162">
      <c r="A162" s="98"/>
      <c r="C162" s="100" t="s">
        <v>24</v>
      </c>
      <c r="D162" s="100"/>
      <c r="E162" s="100"/>
      <c r="F162" s="100"/>
      <c r="G162" s="100"/>
      <c r="H162" s="131"/>
    </row>
    <row r="163">
      <c r="A163" s="98"/>
      <c r="C163" s="100" t="s">
        <v>25</v>
      </c>
      <c r="D163" s="100"/>
      <c r="E163" s="100"/>
      <c r="F163" s="100"/>
      <c r="G163" s="100"/>
      <c r="H163" s="131"/>
    </row>
    <row r="164">
      <c r="A164" s="98"/>
      <c r="C164" s="100" t="s">
        <v>26</v>
      </c>
      <c r="D164" s="100"/>
      <c r="E164" s="100"/>
      <c r="F164" s="100"/>
      <c r="G164" s="100"/>
      <c r="H164" s="131"/>
    </row>
    <row r="165">
      <c r="A165" s="98"/>
      <c r="C165" s="100" t="s">
        <v>3416</v>
      </c>
      <c r="D165" s="100">
        <f>SUM(D153:D164)</f>
        <v>30.0</v>
      </c>
      <c r="E165" s="100">
        <f>SUM(E153:E164)</f>
        <v>12.0</v>
      </c>
      <c r="F165" s="100">
        <f>SUM(F153:F164)</f>
        <v>10.0</v>
      </c>
      <c r="G165" s="100">
        <f>SUM(G153:G164)</f>
        <v>4.0</v>
      </c>
      <c r="H165" s="131" t="s">
        <f>TEXT(AVERAGE(H153:H164),"0.00%")</f>
        <v>3453</v>
      </c>
    </row>
    <row r="166">
      <c r="A166" s="98"/>
      <c r="C166" s="100"/>
      <c r="D166" s="100"/>
      <c r="E166" s="100"/>
      <c r="F166" s="100"/>
      <c r="G166" s="100"/>
      <c r="H166" s="131"/>
    </row>
  </sheetData>
  <mergeCells count="122">
    <mergeCell ref="D110:D111"/>
    <mergeCell ref="D103:D104"/>
    <mergeCell ref="C89:C90"/>
    <mergeCell ref="E131:E132"/>
    <mergeCell ref="D124:D125"/>
    <mergeCell ref="E145:E146"/>
    <mergeCell ref="E151:E152"/>
    <mergeCell ref="A6:A21"/>
    <mergeCell ref="A27:A42"/>
    <mergeCell ref="C68:C69"/>
    <mergeCell ref="F165:F166"/>
    <mergeCell ref="C82:C83"/>
    <mergeCell ref="C110:C111"/>
    <mergeCell ref="D89:F89"/>
    <mergeCell ref="A48:A62"/>
    <mergeCell ref="F145:F146"/>
    <mergeCell ref="C124:C125"/>
    <mergeCell ref="F131:F132"/>
    <mergeCell ref="E165:E166"/>
    <mergeCell ref="F151:F152"/>
    <mergeCell ref="D68:D69"/>
    <mergeCell ref="C103:C104"/>
    <mergeCell ref="D82:D83"/>
    <mergeCell ref="G151:G152"/>
    <mergeCell ref="C20:C21"/>
    <mergeCell ref="C6:C7"/>
    <mergeCell ref="A89:A104"/>
    <mergeCell ref="D41:D42"/>
    <mergeCell ref="H165:H166"/>
    <mergeCell ref="A68:A83"/>
    <mergeCell ref="C49:C51"/>
    <mergeCell ref="C55:C57"/>
    <mergeCell ref="A110:A125"/>
    <mergeCell ref="C52:C53"/>
    <mergeCell ref="D6:D7"/>
    <mergeCell ref="D20:D21"/>
    <mergeCell ref="D27:J27"/>
    <mergeCell ref="G165:G166"/>
    <mergeCell ref="H151:H152"/>
    <mergeCell ref="C41:C42"/>
    <mergeCell ref="H103:H104"/>
    <mergeCell ref="E6:E7"/>
    <mergeCell ref="E20:E21"/>
    <mergeCell ref="H110:H111"/>
    <mergeCell ref="G89:I89"/>
    <mergeCell ref="G82:G83"/>
    <mergeCell ref="H124:H125"/>
    <mergeCell ref="A151:A166"/>
    <mergeCell ref="A131:A146"/>
    <mergeCell ref="F41:F42"/>
    <mergeCell ref="G68:G69"/>
    <mergeCell ref="E56:G56"/>
    <mergeCell ref="H68:H69"/>
    <mergeCell ref="G110:G111"/>
    <mergeCell ref="E59:G59"/>
    <mergeCell ref="E60:G60"/>
    <mergeCell ref="E62:G62"/>
    <mergeCell ref="E61:G61"/>
    <mergeCell ref="E57:G57"/>
    <mergeCell ref="E58:G58"/>
    <mergeCell ref="E55:G55"/>
    <mergeCell ref="E54:G54"/>
    <mergeCell ref="G124:G125"/>
    <mergeCell ref="E53:G53"/>
    <mergeCell ref="E52:G52"/>
    <mergeCell ref="E50:G50"/>
    <mergeCell ref="E49:G49"/>
    <mergeCell ref="E48:G48"/>
    <mergeCell ref="E41:E42"/>
    <mergeCell ref="F20:F21"/>
    <mergeCell ref="F6:F7"/>
    <mergeCell ref="E51:G51"/>
    <mergeCell ref="H82:H83"/>
    <mergeCell ref="G103:G104"/>
    <mergeCell ref="E82:E83"/>
    <mergeCell ref="C145:C146"/>
    <mergeCell ref="C151:C152"/>
    <mergeCell ref="H41:H42"/>
    <mergeCell ref="G20:G21"/>
    <mergeCell ref="E68:E69"/>
    <mergeCell ref="G6:G7"/>
    <mergeCell ref="D165:D166"/>
    <mergeCell ref="F103:F104"/>
    <mergeCell ref="F110:F111"/>
    <mergeCell ref="C131:C132"/>
    <mergeCell ref="F124:F125"/>
    <mergeCell ref="E103:E104"/>
    <mergeCell ref="F68:F69"/>
    <mergeCell ref="E110:E111"/>
    <mergeCell ref="D131:D132"/>
    <mergeCell ref="E124:E125"/>
    <mergeCell ref="G41:G42"/>
    <mergeCell ref="F82:F83"/>
    <mergeCell ref="H6:H7"/>
    <mergeCell ref="H20:H21"/>
    <mergeCell ref="D145:D146"/>
    <mergeCell ref="D151:D152"/>
    <mergeCell ref="C165:C166"/>
    <mergeCell ref="L103:L104"/>
    <mergeCell ref="J41:J42"/>
    <mergeCell ref="I6:I7"/>
    <mergeCell ref="I20:I21"/>
    <mergeCell ref="K103:K104"/>
    <mergeCell ref="J6:J7"/>
    <mergeCell ref="J20:J21"/>
    <mergeCell ref="I41:I42"/>
    <mergeCell ref="J103:J104"/>
    <mergeCell ref="K6:K21"/>
    <mergeCell ref="I103:I104"/>
    <mergeCell ref="J89:L89"/>
    <mergeCell ref="P103:P104"/>
    <mergeCell ref="O103:O104"/>
    <mergeCell ref="P89:R89"/>
    <mergeCell ref="M89:O89"/>
    <mergeCell ref="N103:N104"/>
    <mergeCell ref="M103:M104"/>
    <mergeCell ref="S89:U89"/>
    <mergeCell ref="T103:T104"/>
    <mergeCell ref="S103:S104"/>
    <mergeCell ref="R103:R104"/>
    <mergeCell ref="Q103:Q104"/>
    <mergeCell ref="U103:U104"/>
  </mergeCells>
  <hyperlinks>
    <hyperlink ref="I49" r:id="rId1"/>
    <hyperlink ref="E50" r:id="rId2"/>
    <hyperlink ref="I50" r:id="rId3"/>
    <hyperlink ref="E51" r:id="rId4"/>
    <hyperlink ref="I52" r:id="rId5"/>
    <hyperlink ref="E53" r:id="rId6"/>
    <hyperlink ref="I53" r:id="rId7"/>
    <hyperlink ref="I54" r:id="rId8"/>
    <hyperlink ref="I55" r:id="rId9"/>
    <hyperlink ref="E56" r:id="rId10"/>
    <hyperlink ref="F56" r:id="rId11"/>
    <hyperlink ref="G56" r:id="rId12"/>
    <hyperlink ref="I56" r:id="rId13"/>
    <hyperlink ref="I57" r:id="rId14"/>
  </hyperlinks>
  <drawing r:id="rId15"/>
  <legacyDrawing r:id="rId17"/>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I78"/>
  <sheetViews>
    <sheetView workbookViewId="0"/>
  </sheetViews>
  <sheetFormatPr defaultRowHeight="14.0" customHeight="1"/>
  <cols>
    <col min="1" max="1" style="34" width="15.89"/>
    <col min="2" max="2" style="34" width="24.77"/>
    <col min="3" max="3" style="34" width="53.66"/>
    <col min="4" max="8" style="34" width="20.66"/>
    <col min="9" max="9" style="34" width="44.51"/>
    <col min="10" max="2048" style="34" width="20.66"/>
  </cols>
  <sheetData>
    <row r="1" customFormat="1" s="34">
      <c r="A1" s="140" t="s">
        <v>41</v>
      </c>
      <c r="B1" s="140" t="s">
        <v>3454</v>
      </c>
      <c r="C1" s="140" t="s">
        <v>3455</v>
      </c>
      <c r="D1" s="140" t="s">
        <v>3456</v>
      </c>
      <c r="E1" s="140" t="s">
        <v>3457</v>
      </c>
      <c r="F1" s="140" t="s">
        <v>3458</v>
      </c>
      <c r="G1" s="141" t="s">
        <v>3459</v>
      </c>
      <c r="H1" s="141" t="s">
        <v>3460</v>
      </c>
      <c r="I1" s="141" t="s">
        <v>3461</v>
      </c>
    </row>
    <row r="2" ht="41.0">
      <c r="A2" s="34">
        <v>46024</v>
      </c>
      <c r="B2" s="34" t="s">
        <v>3462</v>
      </c>
      <c r="C2" s="34" t="s">
        <v>3463</v>
      </c>
      <c r="D2" s="34" t="s">
        <v>79</v>
      </c>
      <c r="E2" s="34">
        <v>20.0</v>
      </c>
      <c r="F2" s="34" t="s">
        <v>3464</v>
      </c>
      <c r="H2" s="100"/>
    </row>
    <row r="3" ht="27.0">
      <c r="A3" s="34">
        <v>46028</v>
      </c>
      <c r="B3" s="34" t="s">
        <v>3465</v>
      </c>
      <c r="C3" s="34" t="s">
        <v>3466</v>
      </c>
      <c r="D3" s="38" t="s">
        <v>111</v>
      </c>
      <c r="E3" s="34">
        <v>7.0</v>
      </c>
      <c r="H3" s="100"/>
    </row>
    <row r="4" ht="41.0">
      <c r="A4" s="34">
        <v>46029</v>
      </c>
      <c r="B4" s="34" t="s">
        <v>3467</v>
      </c>
      <c r="C4" s="34" t="s">
        <v>3468</v>
      </c>
      <c r="D4" s="38" t="s">
        <v>143</v>
      </c>
      <c r="E4" s="34">
        <v>500.0</v>
      </c>
      <c r="F4" s="34" t="s">
        <v>3469</v>
      </c>
      <c r="H4" s="100"/>
    </row>
    <row r="5" ht="27.0">
      <c r="A5" s="34">
        <v>46031</v>
      </c>
      <c r="B5" s="34" t="s">
        <v>3470</v>
      </c>
      <c r="C5" s="34" t="s">
        <v>3471</v>
      </c>
      <c r="D5" s="38" t="s">
        <v>229</v>
      </c>
      <c r="E5" s="34">
        <v>12.0</v>
      </c>
      <c r="F5" s="34" t="s">
        <v>3472</v>
      </c>
      <c r="H5" s="100"/>
    </row>
    <row r="6" ht="27.0">
      <c r="A6" s="34">
        <v>46031</v>
      </c>
      <c r="B6" s="34" t="s">
        <v>3473</v>
      </c>
      <c r="C6" s="34" t="s">
        <v>3474</v>
      </c>
      <c r="D6" s="38" t="s">
        <v>245</v>
      </c>
      <c r="E6" s="34" t="s">
        <v>248</v>
      </c>
      <c r="H6" s="100"/>
    </row>
    <row r="7" ht="27.0">
      <c r="A7" s="36">
        <v>46031</v>
      </c>
      <c r="B7" s="34" t="s">
        <v>3475</v>
      </c>
      <c r="C7" s="34" t="s">
        <v>3476</v>
      </c>
      <c r="D7" s="38" t="s">
        <v>257</v>
      </c>
      <c r="E7" s="34">
        <v>15.0</v>
      </c>
      <c r="H7" s="100"/>
    </row>
    <row r="8" ht="41.0">
      <c r="A8" s="36">
        <v>46031</v>
      </c>
      <c r="B8" s="34" t="s">
        <v>3462</v>
      </c>
      <c r="C8" s="34" t="s">
        <v>3477</v>
      </c>
      <c r="D8" s="38" t="s">
        <v>257</v>
      </c>
      <c r="E8" s="34">
        <v>15.0</v>
      </c>
      <c r="H8" s="100"/>
    </row>
    <row r="9" ht="27.0">
      <c r="A9" s="34">
        <v>46031</v>
      </c>
      <c r="B9" s="34" t="s">
        <v>3478</v>
      </c>
      <c r="C9" s="34" t="s">
        <v>3479</v>
      </c>
      <c r="D9" s="38" t="s">
        <v>280</v>
      </c>
      <c r="E9" s="34">
        <v>2.0</v>
      </c>
      <c r="H9" s="100"/>
    </row>
    <row r="10" ht="27.0">
      <c r="A10" s="34">
        <v>46035</v>
      </c>
      <c r="B10" s="34" t="s">
        <v>3462</v>
      </c>
      <c r="C10" s="34" t="s">
        <v>3480</v>
      </c>
      <c r="D10" s="38" t="s">
        <v>355</v>
      </c>
      <c r="E10" s="34">
        <v>6.0</v>
      </c>
      <c r="H10" s="100"/>
    </row>
    <row r="11" ht="27.0">
      <c r="A11" s="34">
        <v>46038</v>
      </c>
      <c r="B11" s="34" t="s">
        <v>3473</v>
      </c>
      <c r="C11" s="34" t="s">
        <v>3481</v>
      </c>
      <c r="D11" s="38" t="s">
        <v>388</v>
      </c>
      <c r="E11" s="34">
        <v>35.0</v>
      </c>
      <c r="H11" s="100"/>
    </row>
    <row r="12">
      <c r="A12" s="34">
        <v>46043</v>
      </c>
      <c r="B12" s="34" t="s">
        <v>3478</v>
      </c>
      <c r="C12" s="34" t="s">
        <v>3482</v>
      </c>
      <c r="D12" s="38" t="s">
        <v>465</v>
      </c>
      <c r="E12" s="34">
        <v>800.0</v>
      </c>
      <c r="H12" s="100"/>
    </row>
    <row r="13" ht="27.0">
      <c r="A13" s="34">
        <v>46050</v>
      </c>
      <c r="B13" s="34" t="s">
        <v>3483</v>
      </c>
      <c r="C13" s="34" t="s">
        <v>3484</v>
      </c>
      <c r="D13" s="38" t="s">
        <v>577</v>
      </c>
      <c r="E13" s="34">
        <v>100.0</v>
      </c>
      <c r="H13" s="100"/>
    </row>
    <row r="14" ht="27.0">
      <c r="A14" s="36">
        <v>46051</v>
      </c>
      <c r="B14" s="34" t="s">
        <v>3465</v>
      </c>
      <c r="C14" s="34" t="s">
        <v>3466</v>
      </c>
      <c r="D14" s="38" t="s">
        <v>599</v>
      </c>
      <c r="E14" s="34" t="s">
        <v>248</v>
      </c>
      <c r="H14" s="100"/>
    </row>
    <row r="15">
      <c r="A15" s="36">
        <v>46051</v>
      </c>
      <c r="B15" s="34" t="s">
        <v>3485</v>
      </c>
      <c r="C15" s="34" t="s">
        <v>3486</v>
      </c>
      <c r="D15" s="38" t="s">
        <v>599</v>
      </c>
      <c r="E15" s="34" t="s">
        <v>248</v>
      </c>
      <c r="H15" s="100"/>
    </row>
    <row r="16" ht="41.0">
      <c r="A16" s="36">
        <v>46051</v>
      </c>
      <c r="B16" s="34" t="s">
        <v>3487</v>
      </c>
      <c r="C16" s="34" t="s">
        <v>3488</v>
      </c>
      <c r="D16" s="38" t="s">
        <v>604</v>
      </c>
      <c r="E16" s="34">
        <v>3.0</v>
      </c>
      <c r="H16" s="100"/>
    </row>
    <row r="17" ht="27.0">
      <c r="A17" s="36">
        <v>46051</v>
      </c>
      <c r="B17" s="34" t="s">
        <v>3489</v>
      </c>
      <c r="C17" s="34" t="s">
        <v>3490</v>
      </c>
      <c r="D17" s="38" t="s">
        <v>604</v>
      </c>
      <c r="E17" s="34">
        <v>3.0</v>
      </c>
      <c r="H17" s="100"/>
    </row>
    <row r="18" ht="27.0">
      <c r="A18" s="34">
        <v>46052</v>
      </c>
      <c r="B18" s="34" t="s">
        <v>3462</v>
      </c>
      <c r="C18" s="34" t="s">
        <v>3491</v>
      </c>
      <c r="D18" s="34" t="s">
        <v>622</v>
      </c>
      <c r="E18" s="34" t="s">
        <v>625</v>
      </c>
      <c r="H18" s="100"/>
    </row>
    <row r="19" ht="27.0">
      <c r="A19" s="34">
        <v>46052</v>
      </c>
      <c r="B19" s="34" t="s">
        <v>3462</v>
      </c>
      <c r="C19" s="34" t="s">
        <v>3480</v>
      </c>
      <c r="D19" s="34" t="s">
        <v>622</v>
      </c>
      <c r="E19" s="34" t="s">
        <v>625</v>
      </c>
      <c r="H19" s="100"/>
    </row>
    <row r="20" ht="41.0" customFormat="1" s="34">
      <c r="A20" s="34">
        <v>46055</v>
      </c>
      <c r="B20" s="34" t="s">
        <v>3492</v>
      </c>
      <c r="C20" s="47" t="s">
        <v>3493</v>
      </c>
      <c r="D20" s="38" t="s">
        <v>664</v>
      </c>
      <c r="E20" s="34">
        <v>550.0</v>
      </c>
      <c r="F20" s="34" t="s">
        <v>3494</v>
      </c>
      <c r="G20" s="34" t="s">
        <v>3495</v>
      </c>
      <c r="H20" s="34" t="s">
        <v>3496</v>
      </c>
      <c r="I20" s="38" t="s">
        <v>3497</v>
      </c>
    </row>
    <row r="21" ht="68.0" customFormat="1" s="34">
      <c r="A21" s="34">
        <v>46055</v>
      </c>
      <c r="B21" s="34" t="s">
        <v>3498</v>
      </c>
      <c r="C21" s="34" t="s">
        <v>3499</v>
      </c>
      <c r="D21" s="38" t="s">
        <v>664</v>
      </c>
      <c r="E21" s="34">
        <v>550.0</v>
      </c>
      <c r="F21" s="34" t="s">
        <v>3494</v>
      </c>
      <c r="G21" s="34" t="s">
        <v>3500</v>
      </c>
      <c r="H21" s="34" t="s">
        <v>3501</v>
      </c>
      <c r="I21" s="38" t="s">
        <v>3502</v>
      </c>
    </row>
    <row r="22" ht="41.0" customFormat="1" s="34">
      <c r="A22" s="34">
        <v>46055</v>
      </c>
      <c r="B22" s="34" t="s">
        <v>3503</v>
      </c>
      <c r="C22" s="34" t="s">
        <v>3504</v>
      </c>
      <c r="D22" s="38" t="s">
        <v>664</v>
      </c>
      <c r="E22" s="34">
        <v>550.0</v>
      </c>
      <c r="F22" s="34" t="s">
        <v>3505</v>
      </c>
      <c r="G22" s="34" t="s">
        <v>3500</v>
      </c>
      <c r="H22" s="34" t="s">
        <v>3496</v>
      </c>
      <c r="I22" s="38" t="s">
        <v>3506</v>
      </c>
    </row>
    <row r="23" ht="41.0" customFormat="1" s="34">
      <c r="A23" s="34">
        <v>46055</v>
      </c>
      <c r="B23" s="34" t="s">
        <v>3507</v>
      </c>
      <c r="C23" s="34" t="s">
        <v>3508</v>
      </c>
      <c r="D23" s="38" t="s">
        <v>664</v>
      </c>
      <c r="E23" s="34">
        <v>550.0</v>
      </c>
      <c r="F23" s="34" t="s">
        <v>3509</v>
      </c>
      <c r="G23" s="34" t="s">
        <v>3500</v>
      </c>
      <c r="H23" s="34" t="s">
        <v>3501</v>
      </c>
      <c r="I23" s="38" t="s">
        <v>3510</v>
      </c>
    </row>
    <row r="24" ht="55.0" customFormat="1" s="34">
      <c r="A24" s="34">
        <v>46055</v>
      </c>
      <c r="B24" s="34" t="s">
        <v>3511</v>
      </c>
      <c r="C24" s="34" t="s">
        <v>3512</v>
      </c>
      <c r="D24" s="38" t="s">
        <v>664</v>
      </c>
      <c r="E24" s="34">
        <v>550.0</v>
      </c>
      <c r="F24" s="34" t="s">
        <v>3472</v>
      </c>
      <c r="G24" s="34" t="s">
        <v>3500</v>
      </c>
      <c r="H24" s="34" t="s">
        <v>3496</v>
      </c>
      <c r="I24" s="38" t="s">
        <v>3513</v>
      </c>
    </row>
    <row r="25" ht="27.0" customFormat="1" s="34">
      <c r="A25" s="36">
        <v>46055</v>
      </c>
      <c r="B25" s="34" t="s">
        <v>3514</v>
      </c>
      <c r="C25" s="34" t="s">
        <v>688</v>
      </c>
      <c r="D25" s="38" t="s">
        <v>686</v>
      </c>
      <c r="E25" s="34">
        <v>1.0</v>
      </c>
      <c r="F25" s="34" t="s">
        <v>3515</v>
      </c>
      <c r="H25" s="100"/>
      <c r="I25" s="41" t="s">
        <v>692</v>
      </c>
    </row>
    <row r="26" ht="27.0" customFormat="1" s="34">
      <c r="A26" s="34">
        <v>46078</v>
      </c>
      <c r="B26" s="34" t="s">
        <v>3514</v>
      </c>
      <c r="C26" s="34" t="s">
        <v>688</v>
      </c>
      <c r="D26" s="38" t="s">
        <v>1134</v>
      </c>
      <c r="E26" s="34" t="s">
        <v>248</v>
      </c>
      <c r="F26" s="34" t="s">
        <v>3515</v>
      </c>
      <c r="H26" s="100"/>
      <c r="I26" s="41" t="s">
        <v>692</v>
      </c>
    </row>
    <row r="27" ht="27.0" customFormat="1" s="34">
      <c r="A27" s="34">
        <v>46057</v>
      </c>
      <c r="B27" s="34" t="s">
        <v>760</v>
      </c>
      <c r="C27" s="34" t="s">
        <v>760</v>
      </c>
      <c r="D27" s="38" t="s">
        <v>758</v>
      </c>
      <c r="E27" s="34" t="s">
        <v>762</v>
      </c>
      <c r="F27" s="34" t="s">
        <v>3516</v>
      </c>
      <c r="G27" s="34" t="s">
        <v>3500</v>
      </c>
      <c r="H27" s="100" t="s">
        <v>3496</v>
      </c>
      <c r="I27" s="34" t="s">
        <v>765</v>
      </c>
    </row>
    <row r="28" ht="27.0" customFormat="1" s="34">
      <c r="A28" s="34">
        <v>46058</v>
      </c>
      <c r="B28" s="34" t="s">
        <v>3462</v>
      </c>
      <c r="C28" s="34" t="s">
        <v>786</v>
      </c>
      <c r="D28" s="37" t="s">
        <v>784</v>
      </c>
      <c r="E28" s="34">
        <v>50.0</v>
      </c>
      <c r="F28" s="34" t="s">
        <v>3464</v>
      </c>
      <c r="H28" s="100"/>
      <c r="I28" s="38" t="s">
        <v>790</v>
      </c>
    </row>
    <row r="29" ht="27.0" customFormat="1" s="34">
      <c r="A29" s="36">
        <v>46058</v>
      </c>
      <c r="B29" s="34" t="s">
        <v>3517</v>
      </c>
      <c r="C29" s="34" t="s">
        <v>3518</v>
      </c>
      <c r="D29" s="38" t="s">
        <v>796</v>
      </c>
      <c r="E29" s="34">
        <v>100.0</v>
      </c>
      <c r="F29" s="34" t="s">
        <v>3519</v>
      </c>
      <c r="H29" s="100"/>
      <c r="I29" s="34" t="s">
        <v>802</v>
      </c>
    </row>
    <row r="30" ht="27.0">
      <c r="A30" s="36">
        <v>46058</v>
      </c>
      <c r="B30" s="34" t="s">
        <v>3462</v>
      </c>
      <c r="C30" s="34" t="s">
        <v>3520</v>
      </c>
      <c r="D30" s="38" t="s">
        <v>819</v>
      </c>
      <c r="E30" s="34" t="s">
        <v>822</v>
      </c>
      <c r="H30" s="100"/>
    </row>
    <row r="31">
      <c r="A31" s="36">
        <v>46058</v>
      </c>
      <c r="B31" s="34" t="s">
        <v>3521</v>
      </c>
      <c r="C31" s="34" t="s">
        <v>3522</v>
      </c>
      <c r="D31" s="38" t="s">
        <v>819</v>
      </c>
      <c r="E31" s="34" t="s">
        <v>822</v>
      </c>
      <c r="H31" s="100"/>
    </row>
    <row r="32" ht="41.0" customFormat="1" s="34">
      <c r="A32" s="36">
        <v>46058</v>
      </c>
      <c r="B32" s="34" t="s">
        <v>3523</v>
      </c>
      <c r="C32" s="34" t="s">
        <v>3524</v>
      </c>
      <c r="D32" s="38" t="s">
        <v>819</v>
      </c>
      <c r="E32" s="34" t="s">
        <v>822</v>
      </c>
      <c r="H32" s="100"/>
      <c r="I32" s="41" t="s">
        <v>825</v>
      </c>
    </row>
    <row r="33">
      <c r="A33" s="36">
        <v>46058</v>
      </c>
      <c r="B33" s="34" t="s">
        <v>3462</v>
      </c>
      <c r="C33" s="34" t="s">
        <v>3525</v>
      </c>
      <c r="D33" s="38" t="s">
        <v>819</v>
      </c>
      <c r="E33" s="34" t="s">
        <v>822</v>
      </c>
      <c r="H33" s="100"/>
    </row>
    <row r="34">
      <c r="A34" s="36">
        <v>46064</v>
      </c>
      <c r="B34" s="34" t="s">
        <v>3523</v>
      </c>
      <c r="C34" s="34" t="s">
        <v>908</v>
      </c>
      <c r="D34" s="38" t="s">
        <v>906</v>
      </c>
      <c r="E34" s="34">
        <v>8.0</v>
      </c>
      <c r="H34" s="100"/>
    </row>
    <row r="35">
      <c r="A35" s="36">
        <v>46066</v>
      </c>
      <c r="B35" s="34" t="s">
        <v>3514</v>
      </c>
      <c r="C35" s="34" t="s">
        <v>3526</v>
      </c>
      <c r="D35" s="38" t="s">
        <v>937</v>
      </c>
      <c r="E35" s="34" t="s">
        <v>943</v>
      </c>
      <c r="H35" s="100"/>
    </row>
    <row r="36" ht="27.0" customFormat="1" s="34">
      <c r="A36" s="36">
        <v>46066</v>
      </c>
      <c r="B36" s="34" t="s">
        <v>3527</v>
      </c>
      <c r="C36" s="34" t="s">
        <v>3528</v>
      </c>
      <c r="D36" s="38" t="s">
        <v>937</v>
      </c>
      <c r="E36" s="34" t="s">
        <v>943</v>
      </c>
      <c r="F36" s="34" t="s">
        <v>3529</v>
      </c>
      <c r="H36" s="100"/>
      <c r="I36" s="46" t="s">
        <v>3530</v>
      </c>
    </row>
    <row r="37" ht="27.0" customFormat="1" s="34">
      <c r="A37" s="36">
        <v>46069</v>
      </c>
      <c r="B37" s="34" t="s">
        <v>3531</v>
      </c>
      <c r="C37" s="34" t="s">
        <v>3532</v>
      </c>
      <c r="D37" s="38" t="s">
        <v>981</v>
      </c>
      <c r="E37" s="34" t="s">
        <v>412</v>
      </c>
      <c r="F37" s="34" t="s">
        <v>3505</v>
      </c>
      <c r="G37" s="34" t="s">
        <v>3500</v>
      </c>
      <c r="H37" s="100" t="s">
        <v>3533</v>
      </c>
      <c r="I37" s="46" t="s">
        <v>3534</v>
      </c>
    </row>
    <row r="38" ht="68.0">
      <c r="A38" s="36">
        <v>46071</v>
      </c>
      <c r="B38" s="34" t="s">
        <v>3531</v>
      </c>
      <c r="C38" s="34" t="s">
        <v>3535</v>
      </c>
      <c r="D38" s="38" t="s">
        <v>1034</v>
      </c>
      <c r="E38" s="34">
        <v>4500.0</v>
      </c>
      <c r="H38" s="100"/>
    </row>
    <row r="39" ht="55.0">
      <c r="A39" s="45">
        <v>46072</v>
      </c>
      <c r="B39" s="34" t="s">
        <v>3536</v>
      </c>
      <c r="C39" s="34" t="s">
        <v>3537</v>
      </c>
      <c r="D39" s="46" t="s">
        <v>1053</v>
      </c>
      <c r="E39" s="34">
        <v>57.0</v>
      </c>
      <c r="H39" s="100"/>
    </row>
    <row r="40" ht="68.0">
      <c r="A40" s="45">
        <v>46072</v>
      </c>
      <c r="B40" s="34" t="s">
        <v>3536</v>
      </c>
      <c r="C40" s="34" t="s">
        <v>3538</v>
      </c>
      <c r="D40" s="46" t="s">
        <v>1053</v>
      </c>
      <c r="E40" s="34">
        <v>57.0</v>
      </c>
      <c r="H40" s="100"/>
    </row>
    <row r="41" ht="41.0">
      <c r="A41" s="45">
        <v>46072</v>
      </c>
      <c r="B41" s="34" t="s">
        <v>3536</v>
      </c>
      <c r="C41" s="34" t="s">
        <v>3539</v>
      </c>
      <c r="D41" s="46" t="s">
        <v>1053</v>
      </c>
      <c r="E41" s="34">
        <v>57.0</v>
      </c>
      <c r="H41" s="100"/>
    </row>
    <row r="42" ht="55.0">
      <c r="A42" s="36">
        <v>46078</v>
      </c>
      <c r="B42" s="34" t="s">
        <v>3478</v>
      </c>
      <c r="C42" s="34" t="s">
        <v>3540</v>
      </c>
      <c r="D42" s="38" t="s">
        <v>1165</v>
      </c>
      <c r="E42" s="34" t="s">
        <v>248</v>
      </c>
      <c r="H42" s="100"/>
    </row>
    <row r="43">
      <c r="A43" s="36">
        <v>46079</v>
      </c>
      <c r="B43" s="34" t="s">
        <v>3541</v>
      </c>
      <c r="C43" s="34" t="s">
        <v>1178</v>
      </c>
      <c r="D43" s="38" t="s">
        <v>1176</v>
      </c>
      <c r="E43" s="34">
        <v>7.0</v>
      </c>
      <c r="H43" s="100"/>
    </row>
    <row r="44" ht="55.0" customFormat="1" s="34">
      <c r="A44" s="36">
        <v>46083</v>
      </c>
      <c r="B44" s="34" t="s">
        <v>3462</v>
      </c>
      <c r="C44" s="34" t="s">
        <v>3542</v>
      </c>
      <c r="D44" s="34" t="s">
        <v>1221</v>
      </c>
      <c r="E44" s="34">
        <v>10.0</v>
      </c>
      <c r="F44" s="34" t="s">
        <v>3464</v>
      </c>
      <c r="H44" s="100"/>
      <c r="I44" s="34" t="s">
        <v>3543</v>
      </c>
    </row>
    <row r="45" ht="27.0">
      <c r="A45" s="34">
        <v>46084</v>
      </c>
      <c r="B45" s="34" t="s">
        <v>3478</v>
      </c>
      <c r="C45" s="34" t="s">
        <v>1235</v>
      </c>
      <c r="D45" s="34" t="s">
        <v>1233</v>
      </c>
      <c r="E45" s="34" t="s">
        <v>248</v>
      </c>
      <c r="H45" s="100"/>
    </row>
    <row r="46" ht="233.0">
      <c r="A46" s="36">
        <v>46084</v>
      </c>
      <c r="B46" s="34" t="s">
        <v>3544</v>
      </c>
      <c r="C46" s="142" t="s">
        <v>3545</v>
      </c>
      <c r="D46" s="34" t="s">
        <v>953</v>
      </c>
      <c r="E46" s="34">
        <v>25.0</v>
      </c>
      <c r="H46" s="100"/>
    </row>
    <row r="47" ht="27.0" customFormat="1" s="34">
      <c r="A47" s="36">
        <v>46086</v>
      </c>
      <c r="B47" s="34" t="s">
        <v>3527</v>
      </c>
      <c r="C47" s="34" t="s">
        <v>1294</v>
      </c>
      <c r="D47" s="143" t="s">
        <v>3546</v>
      </c>
      <c r="E47" s="34">
        <v>30.0</v>
      </c>
      <c r="F47" s="34" t="s">
        <v>3529</v>
      </c>
      <c r="H47" s="100"/>
      <c r="I47" s="34" t="s">
        <v>3547</v>
      </c>
    </row>
    <row r="48" ht="150.0">
      <c r="A48" s="34">
        <v>46086</v>
      </c>
      <c r="B48" s="34" t="s">
        <v>3531</v>
      </c>
      <c r="C48" s="142" t="s">
        <v>3548</v>
      </c>
      <c r="D48" s="34" t="s">
        <v>1299</v>
      </c>
      <c r="E48" s="34" t="s">
        <v>3549</v>
      </c>
      <c r="H48" s="100"/>
    </row>
    <row r="49" ht="96.0">
      <c r="A49" s="34">
        <v>46086</v>
      </c>
      <c r="B49" s="34" t="s">
        <v>3531</v>
      </c>
      <c r="C49" s="142" t="s">
        <v>3550</v>
      </c>
      <c r="D49" s="34" t="s">
        <v>1299</v>
      </c>
      <c r="E49" s="34" t="s">
        <v>3549</v>
      </c>
      <c r="H49" s="100"/>
    </row>
    <row r="50" ht="27.0" customFormat="1" s="34">
      <c r="A50" s="36">
        <v>46091</v>
      </c>
      <c r="B50" s="34" t="s">
        <v>3462</v>
      </c>
      <c r="C50" s="34" t="s">
        <v>3551</v>
      </c>
      <c r="D50" s="38" t="s">
        <v>1370</v>
      </c>
      <c r="E50" s="34" t="s">
        <v>248</v>
      </c>
      <c r="H50" s="100"/>
      <c r="I50" s="34" t="s">
        <v>3552</v>
      </c>
    </row>
    <row r="51">
      <c r="A51" s="34">
        <v>46092</v>
      </c>
      <c r="B51" s="34" t="s">
        <v>3553</v>
      </c>
      <c r="C51" s="34" t="s">
        <v>1414</v>
      </c>
      <c r="D51" s="38" t="s">
        <v>1412</v>
      </c>
      <c r="E51" s="34">
        <v>3000.0</v>
      </c>
      <c r="H51" s="100"/>
    </row>
    <row r="52" ht="96.0">
      <c r="A52" s="36">
        <v>46095</v>
      </c>
      <c r="B52" s="34" t="s">
        <v>3478</v>
      </c>
      <c r="C52" s="142" t="s">
        <v>3554</v>
      </c>
      <c r="D52" s="38" t="s">
        <v>1497</v>
      </c>
      <c r="E52" s="34">
        <v>8700.0</v>
      </c>
      <c r="F52" s="34" t="s">
        <v>3555</v>
      </c>
      <c r="H52" s="100"/>
    </row>
    <row r="53" ht="27.0">
      <c r="A53" s="34">
        <v>46095</v>
      </c>
      <c r="B53" s="34" t="s">
        <v>3478</v>
      </c>
      <c r="C53" s="34" t="s">
        <v>3556</v>
      </c>
      <c r="D53" s="38" t="s">
        <v>1497</v>
      </c>
      <c r="E53" s="34">
        <v>8700.0</v>
      </c>
      <c r="F53" s="34" t="s">
        <v>3557</v>
      </c>
      <c r="H53" s="100"/>
    </row>
    <row r="54">
      <c r="A54" s="34">
        <v>46095</v>
      </c>
      <c r="B54" s="34" t="s">
        <v>3478</v>
      </c>
      <c r="C54" s="34" t="s">
        <v>3558</v>
      </c>
      <c r="D54" s="38" t="s">
        <v>1497</v>
      </c>
      <c r="E54" s="34">
        <v>8700.0</v>
      </c>
      <c r="F54" s="34" t="s">
        <v>3559</v>
      </c>
      <c r="H54" s="100"/>
    </row>
    <row r="55" ht="55.0">
      <c r="A55" s="34">
        <v>46095</v>
      </c>
      <c r="B55" s="34" t="s">
        <v>3478</v>
      </c>
      <c r="C55" s="34" t="s">
        <v>3560</v>
      </c>
      <c r="D55" s="38" t="s">
        <v>1497</v>
      </c>
      <c r="E55" s="34">
        <v>8700.0</v>
      </c>
      <c r="H55" s="100"/>
    </row>
    <row r="56" ht="27.0" customFormat="1" s="34">
      <c r="A56" s="34">
        <v>46095</v>
      </c>
      <c r="B56" s="34" t="s">
        <v>3523</v>
      </c>
      <c r="C56" s="34" t="s">
        <v>3561</v>
      </c>
      <c r="D56" s="38" t="s">
        <v>1512</v>
      </c>
      <c r="H56" s="100"/>
      <c r="I56" s="34" t="s">
        <v>3562</v>
      </c>
    </row>
    <row r="57" ht="27.0" customFormat="1" s="34">
      <c r="A57" s="36">
        <v>46098</v>
      </c>
      <c r="B57" s="34" t="s">
        <v>3563</v>
      </c>
      <c r="C57" s="34" t="s">
        <v>1547</v>
      </c>
      <c r="D57" s="38" t="s">
        <v>1545</v>
      </c>
      <c r="H57" s="100"/>
      <c r="I57" s="34" t="s">
        <v>1549</v>
      </c>
    </row>
    <row r="58" ht="27.0" customFormat="1" s="34">
      <c r="A58" s="34">
        <v>46101</v>
      </c>
      <c r="B58" s="34" t="s">
        <v>3564</v>
      </c>
      <c r="C58" s="34" t="s">
        <v>3565</v>
      </c>
      <c r="D58" s="38" t="s">
        <v>1630</v>
      </c>
      <c r="E58" s="43">
        <v>46238</v>
      </c>
      <c r="H58" s="100"/>
      <c r="I58" s="34" t="s">
        <v>3566</v>
      </c>
    </row>
    <row r="59" ht="27.0" customFormat="1" s="34">
      <c r="A59" s="144">
        <v>46108</v>
      </c>
      <c r="B59" s="34" t="s">
        <v>3517</v>
      </c>
      <c r="C59" s="34" t="s">
        <v>3567</v>
      </c>
      <c r="D59" s="37" t="s">
        <v>1752</v>
      </c>
      <c r="E59" s="34">
        <v>50000.0</v>
      </c>
      <c r="H59" s="100"/>
      <c r="I59" s="34" t="s">
        <v>3568</v>
      </c>
    </row>
    <row r="60" ht="41.0" customFormat="1" s="34">
      <c r="A60" s="36">
        <v>46118</v>
      </c>
      <c r="B60" s="34" t="s">
        <v>3569</v>
      </c>
      <c r="C60" s="34" t="s">
        <v>3570</v>
      </c>
      <c r="D60" s="38" t="s">
        <v>1927</v>
      </c>
      <c r="E60" s="34">
        <v>50000.0</v>
      </c>
      <c r="H60" s="100"/>
      <c r="I60" s="46" t="s">
        <v>3571</v>
      </c>
    </row>
    <row r="61" ht="41.0" customFormat="1" s="34">
      <c r="A61" s="36">
        <v>46118</v>
      </c>
      <c r="B61" s="34" t="s">
        <v>3527</v>
      </c>
      <c r="C61" s="34" t="s">
        <v>3572</v>
      </c>
      <c r="D61" s="38" t="s">
        <v>1927</v>
      </c>
      <c r="E61" s="34">
        <v>50000.0</v>
      </c>
      <c r="H61" s="100"/>
      <c r="I61" s="46" t="s">
        <v>3573</v>
      </c>
    </row>
    <row r="62" ht="27.0" customFormat="1" s="34">
      <c r="A62" s="36">
        <v>46118</v>
      </c>
      <c r="B62" s="34" t="s">
        <v>3574</v>
      </c>
      <c r="C62" s="34" t="s">
        <v>3575</v>
      </c>
      <c r="D62" s="38" t="s">
        <v>1927</v>
      </c>
      <c r="E62" s="34">
        <v>50000.0</v>
      </c>
      <c r="H62" s="100"/>
      <c r="I62" s="145" t="s">
        <v>3576</v>
      </c>
    </row>
    <row r="63" ht="41.0" customFormat="1" s="34">
      <c r="A63" s="36">
        <v>46118</v>
      </c>
      <c r="B63" s="34" t="s">
        <v>3563</v>
      </c>
      <c r="C63" s="34" t="s">
        <v>3577</v>
      </c>
      <c r="D63" s="38" t="s">
        <v>1927</v>
      </c>
      <c r="E63" s="34">
        <v>50000.0</v>
      </c>
      <c r="H63" s="100"/>
      <c r="I63" s="145" t="s">
        <v>3578</v>
      </c>
    </row>
    <row r="64" ht="41.0" customFormat="1" s="34">
      <c r="A64" s="36">
        <v>46118</v>
      </c>
      <c r="B64" s="34" t="s">
        <v>3531</v>
      </c>
      <c r="C64" s="34" t="s">
        <v>3579</v>
      </c>
      <c r="D64" s="38" t="s">
        <v>1927</v>
      </c>
      <c r="E64" s="34">
        <v>50000.0</v>
      </c>
      <c r="H64" s="100"/>
      <c r="I64" s="145" t="s">
        <v>3580</v>
      </c>
    </row>
    <row r="65" ht="55.0">
      <c r="A65" s="36">
        <v>46118</v>
      </c>
      <c r="B65" s="34" t="s">
        <v>3581</v>
      </c>
      <c r="C65" s="34" t="s">
        <v>3582</v>
      </c>
      <c r="D65" s="37" t="s">
        <v>1935</v>
      </c>
      <c r="E65" s="43">
        <v>46300</v>
      </c>
      <c r="H65" s="100"/>
    </row>
    <row r="66" ht="55.0" customFormat="1" s="34">
      <c r="A66" s="36">
        <v>46119</v>
      </c>
      <c r="B66" s="34" t="s">
        <v>3531</v>
      </c>
      <c r="C66" s="34" t="s">
        <v>3583</v>
      </c>
      <c r="D66" s="38" t="s">
        <v>1966</v>
      </c>
      <c r="E66" s="34">
        <v>2000.0</v>
      </c>
      <c r="H66" s="146"/>
      <c r="I66" s="145" t="s">
        <v>3584</v>
      </c>
    </row>
    <row r="67">
      <c r="A67" s="36">
        <v>46120</v>
      </c>
      <c r="B67" s="34" t="s">
        <v>3465</v>
      </c>
      <c r="C67" s="34" t="s">
        <v>2007</v>
      </c>
      <c r="D67" s="38" t="s">
        <v>2005</v>
      </c>
      <c r="E67" s="34">
        <v>30.0</v>
      </c>
      <c r="H67" s="100"/>
    </row>
    <row r="68" ht="55.0">
      <c r="A68" s="36">
        <v>46122</v>
      </c>
      <c r="B68" s="34" t="s">
        <v>3564</v>
      </c>
      <c r="C68" s="142" t="s">
        <v>2070</v>
      </c>
      <c r="D68" s="38" t="s">
        <v>2068</v>
      </c>
      <c r="E68" s="34">
        <v>10.0</v>
      </c>
      <c r="H68" s="100"/>
    </row>
    <row r="69" ht="41.0" customFormat="1" s="34">
      <c r="A69" s="36">
        <v>46127</v>
      </c>
      <c r="B69" s="34" t="s">
        <v>3523</v>
      </c>
      <c r="C69" s="34" t="s">
        <v>2136</v>
      </c>
      <c r="D69" s="38" t="s">
        <v>2134</v>
      </c>
      <c r="E69" s="34">
        <v>80.0</v>
      </c>
      <c r="H69" s="100"/>
      <c r="I69" s="46" t="s">
        <v>3585</v>
      </c>
    </row>
    <row r="70" ht="27.0" customFormat="1" s="34">
      <c r="A70" s="36">
        <v>46128</v>
      </c>
      <c r="B70" s="34" t="s">
        <v>3586</v>
      </c>
      <c r="C70" s="34" t="s">
        <v>2151</v>
      </c>
      <c r="D70" s="37" t="s">
        <v>2149</v>
      </c>
      <c r="E70" s="34">
        <v>150.0</v>
      </c>
      <c r="H70" s="100"/>
      <c r="I70" s="46" t="s">
        <v>3587</v>
      </c>
    </row>
    <row r="71" ht="27.0">
      <c r="A71" s="36">
        <v>46129</v>
      </c>
      <c r="B71" s="34" t="s">
        <v>3462</v>
      </c>
      <c r="C71" s="34" t="s">
        <v>3588</v>
      </c>
      <c r="D71" s="38" t="s">
        <v>1721</v>
      </c>
      <c r="E71" s="34">
        <v>100.0</v>
      </c>
      <c r="H71" s="100"/>
    </row>
    <row r="72" ht="41.0">
      <c r="A72" s="36">
        <v>46129</v>
      </c>
      <c r="B72" s="34" t="s">
        <v>3462</v>
      </c>
      <c r="C72" s="34" t="s">
        <v>3589</v>
      </c>
      <c r="D72" s="38" t="s">
        <v>1721</v>
      </c>
      <c r="H72" s="100"/>
    </row>
    <row r="73" ht="27.0" customFormat="1" s="34">
      <c r="A73" s="36">
        <v>46134</v>
      </c>
      <c r="B73" s="34" t="s">
        <v>3462</v>
      </c>
      <c r="C73" s="34" t="s">
        <v>3590</v>
      </c>
      <c r="D73" s="38" t="s">
        <v>2228</v>
      </c>
      <c r="H73" s="100"/>
      <c r="I73" s="46" t="s">
        <v>3591</v>
      </c>
    </row>
    <row r="74" ht="41.0" customFormat="1" s="34">
      <c r="A74" s="36">
        <v>46136</v>
      </c>
      <c r="B74" s="34" t="s">
        <v>3462</v>
      </c>
      <c r="C74" s="34" t="s">
        <v>3592</v>
      </c>
      <c r="D74" s="38" t="s">
        <v>2243</v>
      </c>
      <c r="E74" s="43">
        <v>46239</v>
      </c>
      <c r="H74" s="100"/>
      <c r="I74" s="46" t="s">
        <v>3593</v>
      </c>
    </row>
    <row r="75" ht="41.0" customFormat="1" s="34">
      <c r="A75" s="36">
        <v>46139</v>
      </c>
      <c r="B75" s="34" t="s">
        <v>3487</v>
      </c>
      <c r="C75" s="34" t="s">
        <v>3594</v>
      </c>
      <c r="D75" s="38" t="s">
        <v>2258</v>
      </c>
      <c r="E75" s="34">
        <v>7.0</v>
      </c>
      <c r="H75" s="100"/>
      <c r="I75" s="46" t="s">
        <v>3595</v>
      </c>
    </row>
    <row r="76" ht="55.0" customFormat="1" s="34">
      <c r="A76" s="36">
        <v>46140</v>
      </c>
      <c r="B76" s="34" t="s">
        <v>3462</v>
      </c>
      <c r="C76" s="34" t="s">
        <v>3596</v>
      </c>
      <c r="D76" s="38" t="s">
        <v>2292</v>
      </c>
      <c r="E76" s="34">
        <v>5.0</v>
      </c>
      <c r="H76" s="100"/>
      <c r="I76" s="46" t="s">
        <v>3597</v>
      </c>
    </row>
    <row r="77" ht="41.0">
      <c r="A77" s="36">
        <v>46140</v>
      </c>
      <c r="B77" s="34" t="s">
        <v>3462</v>
      </c>
      <c r="C77" s="34" t="s">
        <v>3598</v>
      </c>
      <c r="D77" s="38" t="s">
        <v>2320</v>
      </c>
      <c r="H77" s="100"/>
    </row>
    <row r="78">
      <c r="A78" s="36">
        <v>46140</v>
      </c>
      <c r="B78" s="34" t="s">
        <v>3531</v>
      </c>
      <c r="C78" s="34" t="s">
        <v>2333</v>
      </c>
      <c r="D78" s="143" t="s">
        <v>3599</v>
      </c>
      <c r="E78" s="34">
        <v>20.0</v>
      </c>
      <c r="H78" s="100"/>
    </row>
    <row r="79">
      <c r="H79" s="100"/>
    </row>
    <row r="80">
      <c r="H80" s="100"/>
    </row>
    <row r="81">
      <c r="H81" s="100"/>
    </row>
    <row r="82">
      <c r="H82" s="100"/>
    </row>
    <row r="83">
      <c r="H83" s="100"/>
    </row>
    <row r="84">
      <c r="H84" s="100"/>
    </row>
    <row r="85">
      <c r="H85" s="100"/>
    </row>
    <row r="86">
      <c r="H86" s="100"/>
    </row>
    <row r="87">
      <c r="H87" s="100"/>
    </row>
    <row r="88">
      <c r="H88" s="100"/>
    </row>
    <row r="89">
      <c r="H89" s="100"/>
    </row>
    <row r="90">
      <c r="H90" s="100"/>
    </row>
    <row r="91">
      <c r="H91" s="100"/>
    </row>
    <row r="92">
      <c r="H92" s="100"/>
    </row>
    <row r="93">
      <c r="H93" s="100"/>
    </row>
    <row r="94">
      <c r="H94" s="100"/>
    </row>
    <row r="95">
      <c r="H95" s="100"/>
    </row>
    <row r="96">
      <c r="H96" s="100"/>
    </row>
    <row r="97">
      <c r="H97" s="100"/>
    </row>
    <row r="98">
      <c r="H98" s="100"/>
    </row>
    <row r="99">
      <c r="H99" s="100"/>
    </row>
    <row r="100">
      <c r="H100" s="100"/>
    </row>
    <row r="101">
      <c r="H101" s="100"/>
    </row>
    <row r="102">
      <c r="H102" s="100"/>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I20" r:id="rId20"/>
    <hyperlink ref="D21" r:id="rId21"/>
    <hyperlink ref="I21" r:id="rId22"/>
    <hyperlink ref="D22" r:id="rId23"/>
    <hyperlink ref="I22" r:id="rId24"/>
    <hyperlink ref="D23" r:id="rId25"/>
    <hyperlink ref="I23" r:id="rId26"/>
    <hyperlink ref="D24" r:id="rId27"/>
    <hyperlink ref="I24" r:id="rId28"/>
    <hyperlink ref="D25" r:id="rId29"/>
    <hyperlink ref="I25" r:id="rId30"/>
    <hyperlink ref="D26" r:id="rId31"/>
    <hyperlink ref="I26" r:id="rId32"/>
    <hyperlink ref="D27" r:id="rId33"/>
    <hyperlink ref="D28" r:id="rId34"/>
    <hyperlink ref="I28" r:id="rId35"/>
    <hyperlink ref="D29" r:id="rId36"/>
    <hyperlink ref="D30" r:id="rId37"/>
    <hyperlink ref="D31" r:id="rId38"/>
    <hyperlink ref="D32" r:id="rId39"/>
    <hyperlink ref="I32" r:id="rId40"/>
    <hyperlink ref="D33" r:id="rId41"/>
    <hyperlink ref="D34" r:id="rId42"/>
    <hyperlink ref="D35" r:id="rId43"/>
    <hyperlink ref="D36" r:id="rId44"/>
    <hyperlink ref="I36" r:id="rId45"/>
    <hyperlink ref="D37" r:id="rId46"/>
    <hyperlink ref="I37" r:id="rId47"/>
    <hyperlink ref="D38" r:id="rId48"/>
    <hyperlink ref="D39" r:id="rId49"/>
    <hyperlink ref="D40" r:id="rId50"/>
    <hyperlink ref="D41" r:id="rId51"/>
    <hyperlink ref="D42" r:id="rId52"/>
    <hyperlink ref="D43" r:id="rId53"/>
    <hyperlink ref="D44" r:id="rId54"/>
    <hyperlink ref="I44" r:id="rId55"/>
    <hyperlink ref="D45" r:id="rId56"/>
    <hyperlink ref="I47" r:id="rId57"/>
    <hyperlink ref="D48" r:id="rId58"/>
    <hyperlink ref="D49" r:id="rId59"/>
    <hyperlink ref="D50" r:id="rId60"/>
    <hyperlink ref="I50" r:id="rId61"/>
    <hyperlink ref="D51" r:id="rId62"/>
    <hyperlink ref="D52" r:id="rId63"/>
    <hyperlink ref="D53" r:id="rId64"/>
    <hyperlink ref="D54" r:id="rId65"/>
    <hyperlink ref="D55" r:id="rId66"/>
    <hyperlink ref="D56" r:id="rId67"/>
    <hyperlink ref="I56" r:id="rId68"/>
    <hyperlink ref="D57" r:id="rId69"/>
    <hyperlink ref="D58" r:id="rId70"/>
    <hyperlink ref="I58" r:id="rId71"/>
    <hyperlink ref="D59" r:id="rId72"/>
    <hyperlink ref="I59" r:id="rId73"/>
    <hyperlink ref="D60" r:id="rId74"/>
    <hyperlink ref="I60" r:id="rId75"/>
    <hyperlink ref="D61" r:id="rId76"/>
    <hyperlink ref="I61" r:id="rId77"/>
    <hyperlink ref="D62" r:id="rId78"/>
    <hyperlink ref="I62" r:id="rId79"/>
    <hyperlink ref="D63" r:id="rId80"/>
    <hyperlink ref="I63" r:id="rId81"/>
    <hyperlink ref="D64" r:id="rId82"/>
    <hyperlink ref="I64" r:id="rId83"/>
    <hyperlink ref="D65" r:id="rId84"/>
    <hyperlink ref="D66" r:id="rId85"/>
    <hyperlink ref="D67" r:id="rId86"/>
    <hyperlink ref="D68" r:id="rId87"/>
    <hyperlink ref="D69" r:id="rId88"/>
    <hyperlink ref="I69" r:id="rId89"/>
    <hyperlink ref="D70" r:id="rId90"/>
    <hyperlink ref="I70" r:id="rId91"/>
    <hyperlink ref="D71" r:id="rId92"/>
    <hyperlink ref="D72" r:id="rId93"/>
    <hyperlink ref="D73" r:id="rId94"/>
    <hyperlink ref="I73" r:id="rId95"/>
    <hyperlink ref="D74" r:id="rId96"/>
    <hyperlink ref="I74" r:id="rId97"/>
    <hyperlink ref="D75" r:id="rId98"/>
    <hyperlink ref="I75" r:id="rId99"/>
    <hyperlink ref="D76" r:id="rId100"/>
    <hyperlink ref="I76" r:id="rId101"/>
    <hyperlink ref="D77" r:id="rId102"/>
  </hyperlinks>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AD85"/>
  <sheetViews>
    <sheetView workbookViewId="0"/>
  </sheetViews>
  <sheetFormatPr defaultRowHeight="14.0" customHeight="1"/>
  <cols>
    <col min="1" max="1" style="34" width="10.06"/>
    <col min="2" max="2" style="34" width="13.24"/>
    <col min="3" max="3" style="34" width="33.65"/>
    <col min="4" max="4" style="34" width="13.24"/>
    <col min="5" max="5" style="34" width="30.47"/>
    <col min="6" max="6" style="34" width="21.59"/>
    <col min="7" max="7" style="34" width="59.22"/>
    <col min="8" max="11" style="34" width="13.24"/>
    <col min="12" max="12" style="34" width="52.73"/>
    <col min="13" max="13" style="34" width="82.81"/>
    <col min="14" max="2048" style="34" width="13.24"/>
  </cols>
  <sheetData>
    <row r="1" ht="29.0" customFormat="1" s="34">
      <c r="A1" s="147" t="s">
        <v>3600</v>
      </c>
      <c r="B1" s="147" t="s">
        <v>41</v>
      </c>
      <c r="C1" s="147" t="s">
        <v>3601</v>
      </c>
      <c r="D1" s="147" t="s">
        <v>56</v>
      </c>
      <c r="E1" s="147" t="s">
        <v>3602</v>
      </c>
      <c r="F1" s="147" t="s">
        <v>3603</v>
      </c>
      <c r="G1" s="147" t="s">
        <v>3604</v>
      </c>
      <c r="H1" s="147" t="s">
        <v>3605</v>
      </c>
      <c r="I1" s="147" t="s">
        <v>3459</v>
      </c>
      <c r="J1" s="147" t="s">
        <v>3606</v>
      </c>
      <c r="K1" s="147" t="s">
        <v>55</v>
      </c>
      <c r="L1" s="148" t="s">
        <v>3607</v>
      </c>
      <c r="M1" s="148" t="s">
        <v>3608</v>
      </c>
    </row>
    <row r="2" ht="82.0" customFormat="1" s="34">
      <c r="A2" s="34">
        <v>1.0</v>
      </c>
      <c r="B2" s="144">
        <v>46029</v>
      </c>
      <c r="C2" s="34" t="s">
        <v>142</v>
      </c>
      <c r="D2" s="34">
        <v>500.0</v>
      </c>
      <c r="E2" s="34" t="s">
        <v>3609</v>
      </c>
      <c r="F2" s="34" t="s">
        <v>3610</v>
      </c>
      <c r="G2" s="142" t="s">
        <v>145</v>
      </c>
      <c r="H2" s="34" t="s">
        <v>3519</v>
      </c>
      <c r="J2" s="34" t="s">
        <v>3611</v>
      </c>
      <c r="K2" s="34" t="s">
        <v>3533</v>
      </c>
      <c r="M2" s="34" t="s">
        <v>3612</v>
      </c>
    </row>
    <row r="3" ht="27.0" customFormat="1" s="34">
      <c r="A3" s="34">
        <v>2.0</v>
      </c>
      <c r="B3" s="36">
        <v>46043</v>
      </c>
      <c r="C3" s="34" t="s">
        <v>463</v>
      </c>
      <c r="D3" s="34">
        <v>800.0</v>
      </c>
      <c r="E3" s="34" t="s">
        <v>3613</v>
      </c>
      <c r="F3" s="34" t="s">
        <v>3614</v>
      </c>
      <c r="G3" s="34" t="s">
        <v>3615</v>
      </c>
      <c r="H3" s="34" t="s">
        <v>3616</v>
      </c>
      <c r="I3" s="34" t="s">
        <v>3617</v>
      </c>
      <c r="J3" s="34" t="s">
        <v>3618</v>
      </c>
      <c r="K3" s="34" t="s">
        <v>3619</v>
      </c>
      <c r="M3" s="34" t="s">
        <v>3620</v>
      </c>
    </row>
    <row r="4" ht="150.0" customFormat="1" s="34">
      <c r="A4" s="34">
        <v>3.0</v>
      </c>
      <c r="B4" s="144">
        <v>46050</v>
      </c>
      <c r="C4" s="34" t="s">
        <v>575</v>
      </c>
      <c r="D4" s="34">
        <v>100.0</v>
      </c>
      <c r="E4" s="34" t="s">
        <v>3621</v>
      </c>
      <c r="F4" s="34" t="s">
        <v>3622</v>
      </c>
      <c r="G4" s="142" t="s">
        <v>3623</v>
      </c>
      <c r="H4" s="34" t="s">
        <v>3624</v>
      </c>
      <c r="I4" s="34" t="s">
        <v>3500</v>
      </c>
      <c r="J4" s="34" t="s">
        <v>3611</v>
      </c>
      <c r="K4" s="34" t="s">
        <v>3533</v>
      </c>
      <c r="L4" s="34" t="s">
        <v>3625</v>
      </c>
      <c r="M4" s="34" t="s">
        <v>3626</v>
      </c>
    </row>
    <row r="5" ht="27.0" customFormat="1" s="34">
      <c r="A5" s="34">
        <v>4.0</v>
      </c>
      <c r="B5" s="34">
        <v>46052</v>
      </c>
      <c r="C5" s="38" t="s">
        <v>620</v>
      </c>
      <c r="D5" s="34">
        <v>100.0</v>
      </c>
      <c r="E5" s="38" t="s">
        <v>3627</v>
      </c>
      <c r="F5" s="34" t="s">
        <v>3628</v>
      </c>
      <c r="G5" s="34" t="s">
        <v>3629</v>
      </c>
      <c r="H5" s="34" t="s">
        <v>3630</v>
      </c>
      <c r="I5" s="34" t="s">
        <v>3500</v>
      </c>
      <c r="J5" s="34" t="s">
        <v>3611</v>
      </c>
      <c r="K5" s="34" t="s">
        <v>3496</v>
      </c>
      <c r="M5" s="34" t="s">
        <v>3631</v>
      </c>
    </row>
    <row r="6" ht="27.0" customFormat="1" s="34">
      <c r="F6" s="34" t="s">
        <v>3632</v>
      </c>
      <c r="G6" s="142" t="s">
        <v>3633</v>
      </c>
      <c r="H6" s="34" t="s">
        <v>3630</v>
      </c>
      <c r="I6" s="34" t="s">
        <v>3634</v>
      </c>
      <c r="J6" s="34" t="s">
        <v>3611</v>
      </c>
      <c r="K6" s="34" t="s">
        <v>3635</v>
      </c>
      <c r="L6" s="34" t="s">
        <v>3636</v>
      </c>
      <c r="M6" s="34" t="s">
        <v>3637</v>
      </c>
    </row>
    <row r="7" ht="27.0" customFormat="1" s="34">
      <c r="A7" s="34">
        <v>5.0</v>
      </c>
      <c r="B7" s="34">
        <v>46055</v>
      </c>
      <c r="C7" s="38" t="s">
        <v>662</v>
      </c>
      <c r="D7" s="34">
        <v>550.0</v>
      </c>
      <c r="E7" s="34" t="s">
        <v>3638</v>
      </c>
      <c r="F7" s="34" t="s">
        <v>3492</v>
      </c>
      <c r="G7" s="47" t="s">
        <v>3639</v>
      </c>
      <c r="H7" s="34" t="s">
        <v>3494</v>
      </c>
      <c r="I7" s="34" t="s">
        <v>3495</v>
      </c>
      <c r="J7" s="34" t="s">
        <v>3611</v>
      </c>
      <c r="K7" s="34" t="s">
        <v>3496</v>
      </c>
      <c r="M7" s="34" t="s">
        <v>3497</v>
      </c>
    </row>
    <row r="8" ht="82.0" customFormat="1" s="34">
      <c r="F8" s="34" t="s">
        <v>3498</v>
      </c>
      <c r="G8" s="34" t="s">
        <v>3640</v>
      </c>
      <c r="H8" s="34" t="s">
        <v>3494</v>
      </c>
      <c r="I8" s="34" t="s">
        <v>3500</v>
      </c>
      <c r="J8" s="34" t="s">
        <v>3641</v>
      </c>
      <c r="K8" s="34" t="s">
        <v>3501</v>
      </c>
      <c r="L8" s="34" t="s">
        <v>3642</v>
      </c>
      <c r="M8" s="142" t="s">
        <v>3502</v>
      </c>
    </row>
    <row r="9" ht="27.0">
      <c r="F9" s="34" t="s">
        <v>3503</v>
      </c>
      <c r="G9" s="34" t="s">
        <v>3643</v>
      </c>
      <c r="H9" s="34" t="s">
        <v>3505</v>
      </c>
      <c r="I9" s="34" t="s">
        <v>3500</v>
      </c>
      <c r="J9" s="34" t="s">
        <v>3618</v>
      </c>
      <c r="K9" s="34" t="s">
        <v>3496</v>
      </c>
      <c r="M9" s="38" t="s">
        <v>3506</v>
      </c>
    </row>
    <row r="10" ht="15.0">
      <c r="F10" s="34" t="s">
        <v>3507</v>
      </c>
      <c r="G10" s="34" t="s">
        <v>3644</v>
      </c>
      <c r="H10" s="34" t="s">
        <v>3509</v>
      </c>
      <c r="I10" s="34" t="s">
        <v>3500</v>
      </c>
      <c r="J10" s="34" t="s">
        <v>3618</v>
      </c>
      <c r="K10" s="34" t="s">
        <v>3501</v>
      </c>
      <c r="M10" s="34" t="s">
        <v>3510</v>
      </c>
      <c r="N10" s="34">
        <v>7.0</v>
      </c>
    </row>
    <row r="11" ht="41.0">
      <c r="F11" s="34" t="s">
        <v>3511</v>
      </c>
      <c r="G11" s="34" t="s">
        <v>3645</v>
      </c>
      <c r="H11" s="34" t="s">
        <v>3472</v>
      </c>
      <c r="I11" s="34" t="s">
        <v>3500</v>
      </c>
      <c r="J11" s="34" t="s">
        <v>3618</v>
      </c>
      <c r="K11" s="34" t="s">
        <v>3496</v>
      </c>
      <c r="M11" s="142" t="s">
        <v>3513</v>
      </c>
    </row>
    <row r="12" ht="27.0">
      <c r="A12" s="34">
        <v>6.0</v>
      </c>
      <c r="B12" s="36">
        <v>46058</v>
      </c>
      <c r="C12" s="34" t="s">
        <v>782</v>
      </c>
      <c r="D12" s="34">
        <v>50.0</v>
      </c>
      <c r="E12" s="34" t="s">
        <v>3646</v>
      </c>
      <c r="F12" s="34" t="s">
        <v>3551</v>
      </c>
      <c r="G12" s="34" t="s">
        <v>3647</v>
      </c>
      <c r="H12" s="34" t="s">
        <v>3630</v>
      </c>
      <c r="I12" s="34" t="s">
        <v>3500</v>
      </c>
      <c r="J12" s="34" t="s">
        <v>3611</v>
      </c>
      <c r="K12" s="34" t="s">
        <v>3496</v>
      </c>
      <c r="M12" s="34" t="s">
        <v>3648</v>
      </c>
    </row>
    <row r="13" ht="27.0">
      <c r="A13" s="34">
        <v>7.0</v>
      </c>
      <c r="B13" s="36">
        <v>46059</v>
      </c>
      <c r="C13" s="34" t="s">
        <v>795</v>
      </c>
      <c r="D13" s="34">
        <v>100.0</v>
      </c>
      <c r="E13" s="34" t="s">
        <v>3649</v>
      </c>
      <c r="F13" s="34" t="s">
        <v>3518</v>
      </c>
      <c r="G13" s="34" t="s">
        <v>3650</v>
      </c>
      <c r="H13" s="34" t="s">
        <v>3509</v>
      </c>
      <c r="I13" s="34" t="s">
        <v>3500</v>
      </c>
      <c r="J13" s="34" t="s">
        <v>3651</v>
      </c>
      <c r="K13" s="34" t="s">
        <v>3533</v>
      </c>
      <c r="M13" s="142" t="s">
        <v>3652</v>
      </c>
    </row>
    <row r="14" ht="27.0">
      <c r="A14" s="34">
        <v>8.0</v>
      </c>
      <c r="B14" s="34">
        <v>46058</v>
      </c>
      <c r="C14" s="38" t="s">
        <v>818</v>
      </c>
      <c r="D14" s="34">
        <v>500.0</v>
      </c>
      <c r="E14" s="38" t="s">
        <v>3653</v>
      </c>
      <c r="F14" s="34" t="s">
        <v>3654</v>
      </c>
      <c r="G14" s="34" t="s">
        <v>3655</v>
      </c>
      <c r="H14" s="34" t="s">
        <v>3630</v>
      </c>
      <c r="I14" s="34" t="s">
        <v>3500</v>
      </c>
      <c r="J14" s="34"/>
      <c r="K14" s="34" t="s">
        <v>3533</v>
      </c>
      <c r="M14" s="142" t="s">
        <v>3656</v>
      </c>
    </row>
    <row r="15" ht="27.0">
      <c r="G15" s="34" t="s">
        <v>3657</v>
      </c>
      <c r="H15" s="34" t="s">
        <v>3658</v>
      </c>
      <c r="I15" s="34" t="s">
        <v>3500</v>
      </c>
      <c r="J15" s="34" t="s">
        <v>3618</v>
      </c>
      <c r="K15" s="34" t="s">
        <v>3533</v>
      </c>
      <c r="M15" s="38" t="s">
        <v>825</v>
      </c>
    </row>
    <row r="16" ht="15.0" customFormat="1" s="34">
      <c r="G16" s="34" t="s">
        <v>3659</v>
      </c>
      <c r="H16" s="34" t="s">
        <v>3630</v>
      </c>
      <c r="J16" s="34" t="s">
        <v>3611</v>
      </c>
      <c r="K16" s="34" t="s">
        <v>3635</v>
      </c>
      <c r="M16" s="34" t="s">
        <v>3660</v>
      </c>
    </row>
    <row r="17" ht="27.0" customFormat="1" s="34">
      <c r="A17" s="34">
        <v>9.0</v>
      </c>
      <c r="B17" s="36">
        <v>46066</v>
      </c>
      <c r="C17" s="34" t="s">
        <v>935</v>
      </c>
      <c r="D17" s="34">
        <v>200.0</v>
      </c>
      <c r="F17" s="34" t="s">
        <v>3661</v>
      </c>
      <c r="G17" s="34" t="s">
        <v>3662</v>
      </c>
      <c r="H17" s="34" t="s">
        <v>3529</v>
      </c>
      <c r="J17" s="34" t="s">
        <v>3611</v>
      </c>
      <c r="K17" s="34" t="s">
        <v>3533</v>
      </c>
      <c r="M17" s="142" t="s">
        <v>3663</v>
      </c>
    </row>
    <row r="18" ht="178.0" customFormat="1" s="34">
      <c r="A18" s="34">
        <v>10.0</v>
      </c>
      <c r="B18" s="144">
        <v>46069</v>
      </c>
      <c r="C18" s="34" t="s">
        <v>970</v>
      </c>
      <c r="D18" s="34">
        <v>3000.0</v>
      </c>
      <c r="E18" s="34" t="s">
        <v>3664</v>
      </c>
      <c r="F18" s="34" t="s">
        <v>3665</v>
      </c>
      <c r="G18" s="142" t="s">
        <v>972</v>
      </c>
      <c r="H18" s="34" t="s">
        <v>3666</v>
      </c>
      <c r="J18" s="34" t="s">
        <v>3611</v>
      </c>
      <c r="K18" s="34" t="s">
        <v>3533</v>
      </c>
      <c r="M18" s="142" t="s">
        <v>3667</v>
      </c>
    </row>
    <row r="19" ht="41.0" customFormat="1" s="34">
      <c r="A19" s="34">
        <v>11.0</v>
      </c>
      <c r="B19" s="36">
        <v>46065</v>
      </c>
      <c r="C19" s="34" t="s">
        <v>980</v>
      </c>
      <c r="D19" s="34" t="s">
        <v>412</v>
      </c>
      <c r="E19" s="34" t="s">
        <v>3668</v>
      </c>
      <c r="F19" s="34" t="s">
        <v>3669</v>
      </c>
      <c r="G19" s="34" t="s">
        <v>983</v>
      </c>
      <c r="H19" s="34" t="s">
        <v>3505</v>
      </c>
      <c r="I19" s="34" t="s">
        <v>3500</v>
      </c>
      <c r="J19" s="34" t="s">
        <v>3618</v>
      </c>
      <c r="K19" s="34" t="s">
        <v>3533</v>
      </c>
      <c r="M19" s="142" t="s">
        <v>3670</v>
      </c>
    </row>
    <row r="20" ht="68.0" customFormat="1" s="34">
      <c r="A20" s="34">
        <v>13.0</v>
      </c>
      <c r="B20" s="34">
        <v>46071</v>
      </c>
      <c r="C20" s="38" t="s">
        <v>1032</v>
      </c>
      <c r="D20" s="34">
        <v>4500.0</v>
      </c>
      <c r="E20" s="38" t="s">
        <v>3671</v>
      </c>
      <c r="F20" s="34" t="s">
        <v>3672</v>
      </c>
      <c r="G20" s="34" t="s">
        <v>3673</v>
      </c>
      <c r="H20" s="34" t="s">
        <v>3469</v>
      </c>
      <c r="I20" s="34" t="s">
        <v>3500</v>
      </c>
      <c r="J20" s="34" t="s">
        <v>3641</v>
      </c>
      <c r="K20" s="34"/>
      <c r="M20" s="142" t="s">
        <v>3674</v>
      </c>
    </row>
    <row r="21" ht="123.0" customFormat="1" s="34">
      <c r="F21" s="34" t="s">
        <v>3675</v>
      </c>
      <c r="G21" s="34" t="s">
        <v>3676</v>
      </c>
      <c r="H21" s="34" t="s">
        <v>3516</v>
      </c>
      <c r="I21" s="34" t="s">
        <v>3500</v>
      </c>
      <c r="J21" s="34" t="s">
        <v>3641</v>
      </c>
      <c r="K21" s="34"/>
      <c r="M21" s="142" t="s">
        <v>3677</v>
      </c>
    </row>
    <row r="22" ht="82.0" customFormat="1" s="34">
      <c r="A22" s="34">
        <v>14.0</v>
      </c>
      <c r="B22" s="34">
        <v>46105</v>
      </c>
      <c r="C22" s="41" t="s">
        <v>1682</v>
      </c>
      <c r="D22" s="34">
        <v>200.0</v>
      </c>
      <c r="E22" s="38" t="s">
        <v>3678</v>
      </c>
      <c r="F22" s="34" t="s">
        <v>3679</v>
      </c>
      <c r="G22" s="34" t="s">
        <v>3680</v>
      </c>
      <c r="H22" s="34" t="s">
        <v>3469</v>
      </c>
      <c r="I22" s="34" t="s">
        <v>3500</v>
      </c>
      <c r="J22" s="34" t="s">
        <v>3641</v>
      </c>
      <c r="K22" s="34" t="s">
        <v>3533</v>
      </c>
      <c r="M22" s="149" t="s">
        <v>3681</v>
      </c>
    </row>
    <row r="23" ht="41.0">
      <c r="C23" s="41"/>
      <c r="F23" s="34" t="s">
        <v>3682</v>
      </c>
      <c r="G23" s="34" t="s">
        <v>3683</v>
      </c>
      <c r="H23" s="34" t="s">
        <v>3529</v>
      </c>
      <c r="I23" s="34" t="s">
        <v>3500</v>
      </c>
      <c r="J23" s="34" t="s">
        <v>3641</v>
      </c>
      <c r="K23" s="34" t="s">
        <v>3501</v>
      </c>
      <c r="M23" s="149" t="s">
        <v>3684</v>
      </c>
    </row>
    <row r="24" ht="82.0" customFormat="1" s="34">
      <c r="A24" s="34">
        <v>15.0</v>
      </c>
      <c r="B24" s="36">
        <v>46128</v>
      </c>
      <c r="C24" s="37" t="s">
        <v>2147</v>
      </c>
      <c r="D24" s="34">
        <v>150.0</v>
      </c>
      <c r="E24" s="38" t="s">
        <v>3685</v>
      </c>
      <c r="F24" s="34" t="s">
        <v>2151</v>
      </c>
      <c r="G24" s="34" t="s">
        <v>3686</v>
      </c>
      <c r="H24" s="34" t="s">
        <v>3687</v>
      </c>
      <c r="I24" s="34" t="s">
        <v>3500</v>
      </c>
      <c r="J24" s="34" t="s">
        <v>3641</v>
      </c>
      <c r="K24" s="34" t="s">
        <v>3533</v>
      </c>
      <c r="M24" s="150" t="s">
        <v>3587</v>
      </c>
      <c r="N24" s="1"/>
      <c r="O24" s="1"/>
      <c r="P24" s="1"/>
      <c r="Q24" s="1"/>
      <c r="R24" s="1"/>
      <c r="S24" s="1"/>
      <c r="T24" s="1"/>
      <c r="U24" s="1"/>
      <c r="V24" s="1"/>
      <c r="W24" s="1"/>
      <c r="X24" s="1"/>
      <c r="Y24" s="1"/>
      <c r="Z24" s="1"/>
      <c r="AA24" s="1"/>
      <c r="AB24" s="1"/>
    </row>
    <row r="25">
      <c r="J25" s="34"/>
      <c r="K25" s="34"/>
    </row>
    <row r="26">
      <c r="J26" s="34"/>
      <c r="K26" s="34"/>
    </row>
    <row r="27">
      <c r="J27" s="34"/>
      <c r="K27" s="34"/>
    </row>
    <row r="28">
      <c r="J28" s="34"/>
      <c r="K28" s="34"/>
    </row>
    <row r="29">
      <c r="J29" s="34"/>
      <c r="K29" s="34"/>
    </row>
    <row r="30">
      <c r="J30" s="34"/>
      <c r="K30" s="34"/>
    </row>
    <row r="31">
      <c r="J31" s="34"/>
      <c r="K31" s="34"/>
    </row>
    <row r="32">
      <c r="J32" s="34"/>
      <c r="K32" s="34"/>
    </row>
    <row r="33">
      <c r="J33" s="34"/>
      <c r="K33" s="34"/>
    </row>
    <row r="34">
      <c r="J34" s="34"/>
      <c r="K34" s="34"/>
    </row>
    <row r="35">
      <c r="J35" s="34"/>
      <c r="K35" s="34"/>
    </row>
    <row r="36">
      <c r="J36" s="34"/>
      <c r="K36" s="34"/>
    </row>
    <row r="37">
      <c r="J37" s="34"/>
      <c r="K37" s="34"/>
    </row>
    <row r="38">
      <c r="J38" s="34"/>
      <c r="K38" s="34"/>
    </row>
    <row r="39">
      <c r="J39" s="34"/>
      <c r="K39" s="34"/>
    </row>
    <row r="40">
      <c r="J40" s="34"/>
      <c r="K40" s="34"/>
    </row>
    <row r="41">
      <c r="J41" s="34"/>
      <c r="K41" s="34"/>
    </row>
    <row r="42">
      <c r="J42" s="34"/>
      <c r="K42" s="34"/>
    </row>
    <row r="43">
      <c r="J43" s="34"/>
      <c r="K43" s="34"/>
    </row>
    <row r="44">
      <c r="J44" s="34"/>
      <c r="K44" s="34"/>
    </row>
    <row r="45">
      <c r="J45" s="34"/>
      <c r="K45" s="34"/>
    </row>
    <row r="46">
      <c r="J46" s="34"/>
      <c r="K46" s="34"/>
    </row>
    <row r="47">
      <c r="J47" s="34"/>
      <c r="K47" s="34"/>
    </row>
    <row r="48">
      <c r="J48" s="34"/>
      <c r="K48" s="34"/>
    </row>
    <row r="49">
      <c r="J49" s="34"/>
      <c r="K49" s="34"/>
    </row>
    <row r="50">
      <c r="J50" s="34"/>
      <c r="K50" s="34"/>
    </row>
    <row r="51">
      <c r="J51" s="34"/>
      <c r="K51" s="34"/>
    </row>
    <row r="52">
      <c r="J52" s="34"/>
      <c r="K52" s="34"/>
    </row>
    <row r="53">
      <c r="J53" s="34"/>
      <c r="K53" s="34"/>
    </row>
    <row r="54">
      <c r="J54" s="34"/>
      <c r="K54" s="34"/>
    </row>
    <row r="55">
      <c r="J55" s="34"/>
      <c r="K55" s="34"/>
    </row>
    <row r="56">
      <c r="J56" s="34"/>
      <c r="K56" s="34"/>
    </row>
    <row r="57">
      <c r="J57" s="34"/>
      <c r="K57" s="34"/>
    </row>
    <row r="58">
      <c r="J58" s="34"/>
      <c r="K58" s="34"/>
    </row>
    <row r="59">
      <c r="J59" s="34"/>
      <c r="K59" s="34"/>
    </row>
    <row r="60">
      <c r="J60" s="34"/>
      <c r="K60" s="34"/>
    </row>
    <row r="61">
      <c r="J61" s="34"/>
      <c r="K61" s="34"/>
    </row>
    <row r="62">
      <c r="J62" s="34"/>
      <c r="K62" s="34"/>
    </row>
    <row r="63">
      <c r="J63" s="34"/>
      <c r="K63" s="34"/>
    </row>
    <row r="64">
      <c r="J64" s="34"/>
      <c r="K64" s="34"/>
    </row>
    <row r="65">
      <c r="J65" s="34"/>
      <c r="K65" s="34"/>
    </row>
    <row r="66">
      <c r="J66" s="34"/>
      <c r="K66" s="34"/>
    </row>
    <row r="67">
      <c r="J67" s="34"/>
      <c r="K67" s="34"/>
    </row>
    <row r="68">
      <c r="J68" s="34"/>
      <c r="K68" s="34"/>
    </row>
    <row r="69">
      <c r="J69" s="34"/>
      <c r="K69" s="34"/>
    </row>
    <row r="70">
      <c r="J70" s="34"/>
      <c r="K70" s="34"/>
    </row>
    <row r="71">
      <c r="J71" s="34"/>
      <c r="K71" s="34"/>
    </row>
    <row r="72">
      <c r="J72" s="34"/>
      <c r="K72" s="34"/>
    </row>
    <row r="73">
      <c r="J73" s="34"/>
      <c r="K73" s="34"/>
    </row>
    <row r="74">
      <c r="J74" s="34"/>
      <c r="K74" s="34"/>
    </row>
    <row r="75">
      <c r="J75" s="34"/>
      <c r="K75" s="34"/>
    </row>
    <row r="76">
      <c r="J76" s="34"/>
      <c r="K76" s="34"/>
    </row>
    <row r="77">
      <c r="J77" s="34"/>
      <c r="K77" s="34"/>
    </row>
    <row r="78">
      <c r="J78" s="34"/>
      <c r="K78" s="34"/>
    </row>
    <row r="79">
      <c r="J79" s="34"/>
      <c r="K79" s="34"/>
    </row>
    <row r="80">
      <c r="J80" s="34"/>
      <c r="K80" s="34"/>
    </row>
    <row r="81">
      <c r="J81" s="34"/>
      <c r="K81" s="34"/>
    </row>
    <row r="82">
      <c r="J82" s="34"/>
      <c r="K82" s="34"/>
    </row>
    <row r="83">
      <c r="J83" s="34"/>
      <c r="K83" s="34"/>
    </row>
    <row r="84">
      <c r="J84" s="34"/>
      <c r="K84" s="34"/>
    </row>
    <row r="85">
      <c r="J85" s="34"/>
      <c r="K85" s="34"/>
      <c r="AD85" s="34">
        <v>5.0</v>
      </c>
    </row>
    <row r="86">
      <c r="J86" s="34"/>
      <c r="K86" s="34"/>
    </row>
    <row r="87">
      <c r="J87" s="34"/>
      <c r="K87" s="34"/>
    </row>
    <row r="88">
      <c r="J88" s="34"/>
      <c r="K88" s="34"/>
    </row>
    <row r="89">
      <c r="J89" s="34"/>
      <c r="K89" s="34"/>
    </row>
    <row r="90">
      <c r="J90" s="34"/>
      <c r="K90" s="34"/>
    </row>
    <row r="91">
      <c r="J91" s="34"/>
      <c r="K91" s="34"/>
    </row>
    <row r="92">
      <c r="J92" s="34"/>
      <c r="K92" s="34"/>
    </row>
    <row r="93">
      <c r="J93" s="34"/>
      <c r="K93" s="34"/>
    </row>
    <row r="94">
      <c r="J94" s="34"/>
      <c r="K94" s="34"/>
    </row>
    <row r="95">
      <c r="J95" s="34"/>
      <c r="K95" s="34"/>
    </row>
    <row r="96">
      <c r="J96" s="34"/>
      <c r="K96" s="34"/>
    </row>
    <row r="97">
      <c r="J97" s="34"/>
      <c r="K97" s="34"/>
    </row>
    <row r="98">
      <c r="J98" s="34"/>
      <c r="K98" s="34"/>
    </row>
    <row r="99">
      <c r="J99" s="34"/>
      <c r="K99" s="34"/>
    </row>
    <row r="100">
      <c r="J100" s="34"/>
      <c r="K100" s="34"/>
    </row>
    <row r="101">
      <c r="J101" s="34"/>
      <c r="K101" s="34"/>
    </row>
    <row r="102">
      <c r="J102" s="34"/>
      <c r="K102" s="34"/>
    </row>
    <row r="103">
      <c r="J103" s="34"/>
      <c r="K103" s="34"/>
    </row>
    <row r="104">
      <c r="J104" s="34"/>
      <c r="K104" s="34"/>
    </row>
    <row r="105">
      <c r="J105" s="34"/>
      <c r="K105" s="34"/>
    </row>
    <row r="106">
      <c r="J106" s="34"/>
      <c r="K106" s="34"/>
    </row>
    <row r="107">
      <c r="J107" s="34"/>
      <c r="K107" s="34"/>
    </row>
    <row r="108">
      <c r="J108" s="34"/>
      <c r="K108" s="34"/>
    </row>
    <row r="109">
      <c r="K109" s="34"/>
    </row>
  </sheetData>
  <mergeCells count="26">
    <mergeCell ref="A20:A21"/>
    <mergeCell ref="A22:A23"/>
    <mergeCell ref="A14:A16"/>
    <mergeCell ref="A7:A11"/>
    <mergeCell ref="A5:A6"/>
    <mergeCell ref="B7:B11"/>
    <mergeCell ref="B22:B23"/>
    <mergeCell ref="B5:B6"/>
    <mergeCell ref="B20:B21"/>
    <mergeCell ref="B14:B16"/>
    <mergeCell ref="C5:C6"/>
    <mergeCell ref="C7:C11"/>
    <mergeCell ref="C20:C21"/>
    <mergeCell ref="C22:C23"/>
    <mergeCell ref="C14:C16"/>
    <mergeCell ref="D5:D6"/>
    <mergeCell ref="D22:D23"/>
    <mergeCell ref="D14:D16"/>
    <mergeCell ref="D20:D21"/>
    <mergeCell ref="D7:D11"/>
    <mergeCell ref="E20:E21"/>
    <mergeCell ref="E7:E11"/>
    <mergeCell ref="E22:E23"/>
    <mergeCell ref="E14:E16"/>
    <mergeCell ref="E5:E6"/>
    <mergeCell ref="F14:F16"/>
  </mergeCells>
  <hyperlinks>
    <hyperlink ref="C2" r:id="rId1"/>
    <hyperlink ref="E2" r:id="rId2"/>
    <hyperlink ref="M2" r:id="rId3"/>
    <hyperlink ref="C3" r:id="rId4"/>
    <hyperlink ref="E3" r:id="rId5"/>
    <hyperlink ref="C4" r:id="rId6"/>
    <hyperlink ref="E4" r:id="rId7"/>
    <hyperlink ref="C5" r:id="rId8"/>
    <hyperlink ref="E5" r:id="rId9"/>
    <hyperlink ref="M5" r:id="rId10"/>
    <hyperlink ref="C7" r:id="rId11"/>
    <hyperlink ref="M7" r:id="rId12"/>
    <hyperlink ref="M8" r:id="rId13"/>
    <hyperlink ref="M9" r:id="rId14"/>
    <hyperlink ref="M10" r:id="rId15"/>
    <hyperlink ref="M11" r:id="rId16"/>
    <hyperlink ref="C12" r:id="rId17"/>
    <hyperlink ref="E12" r:id="rId18"/>
    <hyperlink ref="M12" r:id="rId19"/>
    <hyperlink ref="C13" r:id="rId20"/>
    <hyperlink ref="E13" r:id="rId21"/>
    <hyperlink ref="M13" r:id="rId22"/>
    <hyperlink ref="C14" r:id="rId23"/>
    <hyperlink ref="E14" r:id="rId24"/>
    <hyperlink ref="M14" r:id="rId25"/>
    <hyperlink ref="M15" r:id="rId26"/>
    <hyperlink ref="C17" r:id="rId27"/>
    <hyperlink ref="M17" r:id="rId28"/>
    <hyperlink ref="C18" r:id="rId29"/>
    <hyperlink ref="E18" r:id="rId30"/>
    <hyperlink ref="M18" r:id="rId31"/>
    <hyperlink ref="C19" r:id="rId32"/>
    <hyperlink ref="E19" r:id="rId33"/>
    <hyperlink ref="M19" r:id="rId34"/>
    <hyperlink ref="C20" r:id="rId35"/>
    <hyperlink ref="E20" r:id="rId36"/>
    <hyperlink ref="M20" r:id="rId37"/>
    <hyperlink ref="M21" r:id="rId38"/>
    <hyperlink ref="E22" r:id="rId39"/>
    <hyperlink ref="G22" r:id="rId40"/>
    <hyperlink ref="M22" r:id="rId41"/>
    <hyperlink ref="M23" r:id="rId42"/>
    <hyperlink ref="C24" r:id="rId43"/>
    <hyperlink ref="E24" r:id="rId44"/>
    <hyperlink ref="M24" r:id="rId45"/>
  </hyperlinks>
  <extLs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F2"/>
  <sheetViews>
    <sheetView workbookViewId="0"/>
  </sheetViews>
  <sheetFormatPr defaultRowHeight="14.0" customHeight="1"/>
  <cols>
    <col min="1" max="1" width="17.22"/>
    <col min="2" max="2" width="33.38"/>
    <col min="3" max="5" width="13.24"/>
    <col min="6" max="6" width="17.48"/>
  </cols>
  <sheetData>
    <row r="1">
      <c r="A1" t="s">
        <v>3688</v>
      </c>
      <c r="B1" t="s">
        <v>43</v>
      </c>
      <c r="C1" t="s">
        <v>3689</v>
      </c>
      <c r="D1" t="s">
        <v>3457</v>
      </c>
      <c r="E1" t="s">
        <v>3690</v>
      </c>
      <c r="F1" t="s">
        <v>3691</v>
      </c>
    </row>
    <row r="2" ht="14.0">
      <c r="A2" s="151">
        <v>46044</v>
      </c>
      <c r="B2" s="88" t="s">
        <v>499</v>
      </c>
      <c r="C2" t="s">
        <v>3692</v>
      </c>
      <c r="D2">
        <v>100.0</v>
      </c>
      <c r="E2" s="151">
        <v>46409</v>
      </c>
      <c r="F2" t="s">
        <v>1666</v>
      </c>
    </row>
  </sheetData>
  <hyperlinks>
    <hyperlink ref="B2" r:id="rId1"/>
    <hyperlink ref="C2" r:id="rId2"/>
  </hyperlink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2026-06-16T14:12:34Z</dcterms:created>
</cp:coreProperties>
</file>